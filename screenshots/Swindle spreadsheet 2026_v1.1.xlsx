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329fb5996d24d84/Documents/1 - Wrotham Heath/Wrotham Heath Swindle Files/"/>
    </mc:Choice>
  </mc:AlternateContent>
  <xr:revisionPtr revIDLastSave="1861" documentId="13_ncr:1_{4D5869AD-8AB7-4003-B13E-60F0155B6C41}" xr6:coauthVersionLast="47" xr6:coauthVersionMax="47" xr10:uidLastSave="{9FCF87BE-994D-40E1-8935-6EE6194C743A}"/>
  <bookViews>
    <workbookView xWindow="-120" yWindow="-120" windowWidth="29040" windowHeight="15720" tabRatio="761" firstSheet="1" activeTab="7" xr2:uid="{40EBDA08-FECE-48EF-857C-540253BC2594}"/>
  </bookViews>
  <sheets>
    <sheet name="Hall of Fame" sheetId="7" state="hidden" r:id="rId1"/>
    <sheet name="Name List" sheetId="3" r:id="rId2"/>
    <sheet name="Scores and stats" sheetId="2" r:id="rId3"/>
    <sheet name="Weekly Summary" sheetId="38" r:id="rId4"/>
    <sheet name="Money" sheetId="41" r:id="rId5"/>
    <sheet name="New Stats Sheet" sheetId="42" r:id="rId6"/>
    <sheet name="Yearly Records" sheetId="5" r:id="rId7"/>
    <sheet name="Order of merit 2025" sheetId="24" r:id="rId8"/>
    <sheet name="Eagles" sheetId="21" r:id="rId9"/>
    <sheet name="Birdies" sheetId="19" r:id="rId10"/>
    <sheet name="Pars" sheetId="20" r:id="rId11"/>
    <sheet name="Blobs" sheetId="22" r:id="rId12"/>
    <sheet name="Best front 9" sheetId="25" state="hidden" r:id="rId13"/>
    <sheet name="Best Back 9" sheetId="26" state="hidden" r:id="rId14"/>
    <sheet name="Highest Swindle SS" sheetId="27" state="hidden" r:id="rId15"/>
    <sheet name="Worst front 9" sheetId="28" state="hidden" r:id="rId16"/>
    <sheet name="Worst Back 9" sheetId="31" state="hidden" r:id="rId17"/>
    <sheet name="Worst Stableford score" sheetId="32" state="hidden" r:id="rId18"/>
    <sheet name="Highest Competition SS " sheetId="33" state="hidden" r:id="rId19"/>
    <sheet name="lowest comp Stableford score" sheetId="35" state="hidden" r:id="rId20"/>
    <sheet name="Highest Competition Medal" sheetId="36" state="hidden" r:id="rId21"/>
    <sheet name="lowest comp Medal score" sheetId="37" state="hidden" r:id="rId22"/>
    <sheet name="Appearances &amp; Xmas Dinner" sheetId="23" r:id="rId23"/>
    <sheet name="Individual Scores Print sheet" sheetId="9" state="hidden" r:id="rId24"/>
    <sheet name="Team Scores Print Sheet" sheetId="10" state="hidden" r:id="rId25"/>
  </sheets>
  <definedNames>
    <definedName name="_xlnm._FilterDatabase" localSheetId="3" hidden="1">'Weekly Summary'!$B$2:$U$54</definedName>
    <definedName name="_xlnm.Print_Area" localSheetId="6">'Yearly Records'!$A$1:$W$92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R8" i="2" l="1"/>
  <c r="HR9" i="2"/>
  <c r="HR10" i="2"/>
  <c r="HR11" i="2"/>
  <c r="HR12" i="2"/>
  <c r="HR13" i="2"/>
  <c r="HR14" i="2"/>
  <c r="HR15" i="2"/>
  <c r="HR16" i="2"/>
  <c r="HR17" i="2"/>
  <c r="HR18" i="2"/>
  <c r="HR19" i="2"/>
  <c r="HR20" i="2"/>
  <c r="HR21" i="2"/>
  <c r="HR22" i="2"/>
  <c r="HR25" i="2"/>
  <c r="HR26" i="2"/>
  <c r="HR27" i="2"/>
  <c r="HR28" i="2"/>
  <c r="HR29" i="2"/>
  <c r="HR30" i="2"/>
  <c r="HR32" i="2"/>
  <c r="HR33" i="2"/>
  <c r="HR34" i="2"/>
  <c r="HR35" i="2"/>
  <c r="HR36" i="2"/>
  <c r="HR37" i="2"/>
  <c r="HR38" i="2"/>
  <c r="HR40" i="2"/>
  <c r="HR41" i="2"/>
  <c r="HR42" i="2"/>
  <c r="HR43" i="2"/>
  <c r="HR44" i="2"/>
  <c r="HR45" i="2"/>
  <c r="HR46" i="2"/>
  <c r="HR47" i="2"/>
  <c r="HR48" i="2"/>
  <c r="HR49" i="2"/>
  <c r="HR50" i="2"/>
  <c r="HR51" i="2"/>
  <c r="HR52" i="2"/>
  <c r="HR53" i="2"/>
  <c r="HR54" i="2"/>
  <c r="HR55" i="2"/>
  <c r="HR56" i="2"/>
  <c r="HR58" i="2"/>
  <c r="HR59" i="2"/>
  <c r="HR61" i="2"/>
  <c r="HR62" i="2"/>
  <c r="HR63" i="2"/>
  <c r="HR64" i="2"/>
  <c r="HR65" i="2"/>
  <c r="HR66" i="2"/>
  <c r="HR67" i="2"/>
  <c r="HR68" i="2"/>
  <c r="HR69" i="2"/>
  <c r="HR70" i="2"/>
  <c r="HR71" i="2"/>
  <c r="HR74" i="2"/>
  <c r="HR75" i="2"/>
  <c r="HR76" i="2"/>
  <c r="HR77" i="2"/>
  <c r="HR78" i="2"/>
  <c r="HR79" i="2"/>
  <c r="HR80" i="2"/>
  <c r="HR81" i="2"/>
  <c r="HR82" i="2"/>
  <c r="HR83" i="2"/>
  <c r="HR84" i="2"/>
  <c r="HR85" i="2"/>
  <c r="HR86" i="2"/>
  <c r="HR87" i="2"/>
  <c r="HR88" i="2"/>
  <c r="HR89" i="2"/>
  <c r="HR90" i="2"/>
  <c r="HR91" i="2"/>
  <c r="HR92" i="2"/>
  <c r="HR93" i="2"/>
  <c r="HR94" i="2"/>
  <c r="HR95" i="2"/>
  <c r="HR96" i="2"/>
  <c r="HR97" i="2"/>
  <c r="HR98" i="2"/>
  <c r="HR99" i="2"/>
  <c r="HM7" i="2"/>
  <c r="HR7" i="2" s="1"/>
  <c r="HM8" i="2"/>
  <c r="HM9" i="2"/>
  <c r="HM10" i="2"/>
  <c r="HM11" i="2"/>
  <c r="HM12" i="2"/>
  <c r="HM13" i="2"/>
  <c r="HM14" i="2"/>
  <c r="HM15" i="2"/>
  <c r="HM16" i="2"/>
  <c r="HM17" i="2"/>
  <c r="HM18" i="2"/>
  <c r="HM19" i="2"/>
  <c r="HM20" i="2"/>
  <c r="HM21" i="2"/>
  <c r="HM22" i="2"/>
  <c r="HM23" i="2"/>
  <c r="HR23" i="2" s="1"/>
  <c r="HM24" i="2"/>
  <c r="HR24" i="2" s="1"/>
  <c r="HM25" i="2"/>
  <c r="HM26" i="2"/>
  <c r="HM27" i="2"/>
  <c r="HM28" i="2"/>
  <c r="HM29" i="2"/>
  <c r="HM30" i="2"/>
  <c r="HM31" i="2"/>
  <c r="HR31" i="2" s="1"/>
  <c r="HM32" i="2"/>
  <c r="HM33" i="2"/>
  <c r="HM34" i="2"/>
  <c r="HM35" i="2"/>
  <c r="HM36" i="2"/>
  <c r="HM37" i="2"/>
  <c r="HM38" i="2"/>
  <c r="HM39" i="2"/>
  <c r="HR39" i="2" s="1"/>
  <c r="HM40" i="2"/>
  <c r="HM41" i="2"/>
  <c r="HM42" i="2"/>
  <c r="HM43" i="2"/>
  <c r="HM44" i="2"/>
  <c r="HM45" i="2"/>
  <c r="HM46" i="2"/>
  <c r="HM47" i="2"/>
  <c r="HM48" i="2"/>
  <c r="HM49" i="2"/>
  <c r="HM50" i="2"/>
  <c r="HM51" i="2"/>
  <c r="HM52" i="2"/>
  <c r="HM53" i="2"/>
  <c r="HM54" i="2"/>
  <c r="HM55" i="2"/>
  <c r="HM56" i="2"/>
  <c r="HM57" i="2"/>
  <c r="HR57" i="2" s="1"/>
  <c r="HM58" i="2"/>
  <c r="HM59" i="2"/>
  <c r="HM60" i="2"/>
  <c r="HR60" i="2" s="1"/>
  <c r="HM61" i="2"/>
  <c r="HM62" i="2"/>
  <c r="HM63" i="2"/>
  <c r="HM64" i="2"/>
  <c r="HM65" i="2"/>
  <c r="HM66" i="2"/>
  <c r="HM67" i="2"/>
  <c r="HM68" i="2"/>
  <c r="HM69" i="2"/>
  <c r="HM70" i="2"/>
  <c r="HM71" i="2"/>
  <c r="HM72" i="2"/>
  <c r="HR72" i="2" s="1"/>
  <c r="HM73" i="2"/>
  <c r="HR73" i="2" s="1"/>
  <c r="HM74" i="2"/>
  <c r="HM75" i="2"/>
  <c r="HM76" i="2"/>
  <c r="HM77" i="2"/>
  <c r="HM78" i="2"/>
  <c r="HM79" i="2"/>
  <c r="HM80" i="2"/>
  <c r="HM81" i="2"/>
  <c r="HM82" i="2"/>
  <c r="HM83" i="2"/>
  <c r="HM84" i="2"/>
  <c r="HM85" i="2"/>
  <c r="HM86" i="2"/>
  <c r="HM87" i="2"/>
  <c r="HM88" i="2"/>
  <c r="HM89" i="2"/>
  <c r="HM90" i="2"/>
  <c r="HM91" i="2"/>
  <c r="HM92" i="2"/>
  <c r="HM93" i="2"/>
  <c r="HM94" i="2"/>
  <c r="HM95" i="2"/>
  <c r="HM96" i="2"/>
  <c r="HM97" i="2"/>
  <c r="HM98" i="2"/>
  <c r="HM99" i="2"/>
  <c r="HM100" i="2"/>
  <c r="E2" i="41"/>
  <c r="HI8" i="2"/>
  <c r="HI9" i="2"/>
  <c r="HI10" i="2"/>
  <c r="HI12" i="2"/>
  <c r="HI13" i="2"/>
  <c r="HI14" i="2"/>
  <c r="HI16" i="2"/>
  <c r="HI17" i="2"/>
  <c r="HI18" i="2"/>
  <c r="HI19" i="2"/>
  <c r="HI20" i="2"/>
  <c r="HI21" i="2"/>
  <c r="HI25" i="2"/>
  <c r="HI26" i="2"/>
  <c r="HI27" i="2"/>
  <c r="HI28" i="2"/>
  <c r="HI29" i="2"/>
  <c r="HI30" i="2"/>
  <c r="HI31" i="2"/>
  <c r="HI33" i="2"/>
  <c r="HI34" i="2"/>
  <c r="HI35" i="2"/>
  <c r="HI36" i="2"/>
  <c r="HI37" i="2"/>
  <c r="HI38" i="2"/>
  <c r="HI40" i="2"/>
  <c r="HI41" i="2"/>
  <c r="HI42" i="2"/>
  <c r="HI43" i="2"/>
  <c r="HI44" i="2"/>
  <c r="HI46" i="2"/>
  <c r="HI47" i="2"/>
  <c r="HI49" i="2"/>
  <c r="HI50" i="2"/>
  <c r="HI51" i="2"/>
  <c r="HI52" i="2"/>
  <c r="HI53" i="2"/>
  <c r="HI54" i="2"/>
  <c r="HI55" i="2"/>
  <c r="HI56" i="2"/>
  <c r="HI58" i="2"/>
  <c r="HI60" i="2"/>
  <c r="HI63" i="2"/>
  <c r="HI64" i="2"/>
  <c r="HI65" i="2"/>
  <c r="HI66" i="2"/>
  <c r="HI67" i="2"/>
  <c r="HI68" i="2"/>
  <c r="HI69" i="2"/>
  <c r="HI70" i="2"/>
  <c r="HI71" i="2"/>
  <c r="HI74" i="2"/>
  <c r="HI75" i="2"/>
  <c r="HI76" i="2"/>
  <c r="HI77" i="2"/>
  <c r="HD7" i="2"/>
  <c r="HD8" i="2"/>
  <c r="HD9" i="2"/>
  <c r="HD10" i="2"/>
  <c r="HD11" i="2"/>
  <c r="HD12" i="2"/>
  <c r="HD13" i="2"/>
  <c r="HD14" i="2"/>
  <c r="HD15" i="2"/>
  <c r="HD16" i="2"/>
  <c r="HD17" i="2"/>
  <c r="HD18" i="2"/>
  <c r="HD19" i="2"/>
  <c r="HD20" i="2"/>
  <c r="HD21" i="2"/>
  <c r="HD22" i="2"/>
  <c r="HD23" i="2"/>
  <c r="HD24" i="2"/>
  <c r="HD25" i="2"/>
  <c r="HD26" i="2"/>
  <c r="HD27" i="2"/>
  <c r="HD28" i="2"/>
  <c r="HD29" i="2"/>
  <c r="HD30" i="2"/>
  <c r="HD31" i="2"/>
  <c r="HD32" i="2"/>
  <c r="HD33" i="2"/>
  <c r="HD34" i="2"/>
  <c r="HD35" i="2"/>
  <c r="HD36" i="2"/>
  <c r="HD37" i="2"/>
  <c r="HD38" i="2"/>
  <c r="HD39" i="2"/>
  <c r="HD40" i="2"/>
  <c r="HD41" i="2"/>
  <c r="HD42" i="2"/>
  <c r="HD43" i="2"/>
  <c r="HD44" i="2"/>
  <c r="HD45" i="2"/>
  <c r="HD46" i="2"/>
  <c r="HD47" i="2"/>
  <c r="HD48" i="2"/>
  <c r="HD49" i="2"/>
  <c r="HD50" i="2"/>
  <c r="HD51" i="2"/>
  <c r="HD52" i="2"/>
  <c r="HD53" i="2"/>
  <c r="HD54" i="2"/>
  <c r="HD55" i="2"/>
  <c r="HD56" i="2"/>
  <c r="HD57" i="2"/>
  <c r="HD58" i="2"/>
  <c r="HD59" i="2"/>
  <c r="HD60" i="2"/>
  <c r="HD61" i="2"/>
  <c r="HD62" i="2"/>
  <c r="HD63" i="2"/>
  <c r="HD64" i="2"/>
  <c r="HD65" i="2"/>
  <c r="HD66" i="2"/>
  <c r="HD67" i="2"/>
  <c r="HD68" i="2"/>
  <c r="HD69" i="2"/>
  <c r="HD70" i="2"/>
  <c r="HD71" i="2"/>
  <c r="HD72" i="2"/>
  <c r="HD73" i="2"/>
  <c r="HD74" i="2"/>
  <c r="HD75" i="2"/>
  <c r="HD76" i="2"/>
  <c r="RF6" i="2"/>
  <c r="RE6" i="2"/>
  <c r="RD6" i="2"/>
  <c r="RC6" i="2"/>
  <c r="RB6" i="2"/>
  <c r="RA6" i="2"/>
  <c r="I24" i="38"/>
  <c r="GQ8" i="2"/>
  <c r="GQ9" i="2"/>
  <c r="GQ10" i="2"/>
  <c r="GQ11" i="2"/>
  <c r="GQ12" i="2"/>
  <c r="GQ13" i="2"/>
  <c r="GQ14" i="2"/>
  <c r="GQ16" i="2"/>
  <c r="GQ18" i="2"/>
  <c r="GQ19" i="2"/>
  <c r="GQ20" i="2"/>
  <c r="GQ23" i="2"/>
  <c r="GQ25" i="2"/>
  <c r="GQ26" i="2"/>
  <c r="GQ27" i="2"/>
  <c r="GQ28" i="2"/>
  <c r="GQ29" i="2"/>
  <c r="GQ30" i="2"/>
  <c r="GQ33" i="2"/>
  <c r="GQ36" i="2"/>
  <c r="GQ38" i="2"/>
  <c r="GQ40" i="2"/>
  <c r="GQ41" i="2"/>
  <c r="GQ42" i="2"/>
  <c r="GQ46" i="2"/>
  <c r="GQ47" i="2"/>
  <c r="GQ48" i="2"/>
  <c r="GQ49" i="2"/>
  <c r="GQ50" i="2"/>
  <c r="GQ51" i="2"/>
  <c r="GQ52" i="2"/>
  <c r="GQ53" i="2"/>
  <c r="GQ54" i="2"/>
  <c r="GQ55" i="2"/>
  <c r="GQ56" i="2"/>
  <c r="GQ57" i="2"/>
  <c r="GQ60" i="2"/>
  <c r="GQ61" i="2"/>
  <c r="GQ62" i="2"/>
  <c r="GQ63" i="2"/>
  <c r="GQ64" i="2"/>
  <c r="GQ66" i="2"/>
  <c r="GQ67" i="2"/>
  <c r="GQ68" i="2"/>
  <c r="GQ69" i="2"/>
  <c r="GQ70" i="2"/>
  <c r="GQ71" i="2"/>
  <c r="GQ75" i="2"/>
  <c r="GQ76" i="2"/>
  <c r="GQ77" i="2"/>
  <c r="GQ78" i="2"/>
  <c r="GQ79" i="2"/>
  <c r="GL7" i="2"/>
  <c r="GL8" i="2"/>
  <c r="GL9" i="2"/>
  <c r="GL10" i="2"/>
  <c r="GL11" i="2"/>
  <c r="GL12" i="2"/>
  <c r="GL13" i="2"/>
  <c r="GL14" i="2"/>
  <c r="GL15" i="2"/>
  <c r="GL16" i="2"/>
  <c r="GL17" i="2"/>
  <c r="GL18" i="2"/>
  <c r="GL19" i="2"/>
  <c r="GL20" i="2"/>
  <c r="GL21" i="2"/>
  <c r="GL22" i="2"/>
  <c r="GL23" i="2"/>
  <c r="GL24" i="2"/>
  <c r="GL25" i="2"/>
  <c r="GL26" i="2"/>
  <c r="GL27" i="2"/>
  <c r="GL28" i="2"/>
  <c r="GL29" i="2"/>
  <c r="GL30" i="2"/>
  <c r="GL31" i="2"/>
  <c r="GL32" i="2"/>
  <c r="GL33" i="2"/>
  <c r="GL34" i="2"/>
  <c r="GL35" i="2"/>
  <c r="GL36" i="2"/>
  <c r="GL37" i="2"/>
  <c r="GL38" i="2"/>
  <c r="GL39" i="2"/>
  <c r="GL40" i="2"/>
  <c r="GL41" i="2"/>
  <c r="GL42" i="2"/>
  <c r="GL43" i="2"/>
  <c r="GL44" i="2"/>
  <c r="GL45" i="2"/>
  <c r="GL46" i="2"/>
  <c r="GL47" i="2"/>
  <c r="GL48" i="2"/>
  <c r="GL49" i="2"/>
  <c r="GL50" i="2"/>
  <c r="GL51" i="2"/>
  <c r="GL52" i="2"/>
  <c r="GL53" i="2"/>
  <c r="GL54" i="2"/>
  <c r="GL55" i="2"/>
  <c r="GL56" i="2"/>
  <c r="GL57" i="2"/>
  <c r="GL58" i="2"/>
  <c r="GL59" i="2"/>
  <c r="GL60" i="2"/>
  <c r="GL61" i="2"/>
  <c r="GL62" i="2"/>
  <c r="GL63" i="2"/>
  <c r="GL64" i="2"/>
  <c r="GL65" i="2"/>
  <c r="GL66" i="2"/>
  <c r="GL67" i="2"/>
  <c r="GL68" i="2"/>
  <c r="GL69" i="2"/>
  <c r="GL70" i="2"/>
  <c r="GL71" i="2"/>
  <c r="GL72" i="2"/>
  <c r="GL73" i="2"/>
  <c r="GL74" i="2"/>
  <c r="GL75" i="2"/>
  <c r="GL76" i="2"/>
  <c r="GL77" i="2"/>
  <c r="GL78" i="2"/>
  <c r="GL79" i="2"/>
  <c r="GL80" i="2"/>
  <c r="GC74" i="2"/>
  <c r="GC75" i="2"/>
  <c r="GH7" i="2"/>
  <c r="GH8" i="2"/>
  <c r="GH9" i="2"/>
  <c r="GH10" i="2"/>
  <c r="GH11" i="2"/>
  <c r="GH12" i="2"/>
  <c r="GH13" i="2"/>
  <c r="GH14" i="2"/>
  <c r="GH16" i="2"/>
  <c r="GH17" i="2"/>
  <c r="GH18" i="2"/>
  <c r="GH19" i="2"/>
  <c r="GH20" i="2"/>
  <c r="GH21" i="2"/>
  <c r="GH23" i="2"/>
  <c r="GH25" i="2"/>
  <c r="GH26" i="2"/>
  <c r="GH27" i="2"/>
  <c r="GH28" i="2"/>
  <c r="GH29" i="2"/>
  <c r="GH30" i="2"/>
  <c r="GH31" i="2"/>
  <c r="GH32" i="2"/>
  <c r="GH33" i="2"/>
  <c r="GH34" i="2"/>
  <c r="GH35" i="2"/>
  <c r="GH36" i="2"/>
  <c r="GH38" i="2"/>
  <c r="GH39" i="2"/>
  <c r="GH40" i="2"/>
  <c r="GH41" i="2"/>
  <c r="GH42" i="2"/>
  <c r="GH43" i="2"/>
  <c r="GH44" i="2"/>
  <c r="GH45" i="2"/>
  <c r="GH46" i="2"/>
  <c r="GH47" i="2"/>
  <c r="GH48" i="2"/>
  <c r="GH49" i="2"/>
  <c r="GH50" i="2"/>
  <c r="GH51" i="2"/>
  <c r="GH52" i="2"/>
  <c r="GH53" i="2"/>
  <c r="GH54" i="2"/>
  <c r="GH55" i="2"/>
  <c r="GH56" i="2"/>
  <c r="GH58" i="2"/>
  <c r="GH59" i="2"/>
  <c r="GH61" i="2"/>
  <c r="GH62" i="2"/>
  <c r="GH63" i="2"/>
  <c r="GH64" i="2"/>
  <c r="GH65" i="2"/>
  <c r="GH67" i="2"/>
  <c r="GH68" i="2"/>
  <c r="GH69" i="2"/>
  <c r="GH70" i="2"/>
  <c r="GH71" i="2"/>
  <c r="GH72" i="2"/>
  <c r="GH73" i="2"/>
  <c r="GH74" i="2"/>
  <c r="GC7" i="2"/>
  <c r="GC8" i="2"/>
  <c r="GC9" i="2"/>
  <c r="GC10" i="2"/>
  <c r="GC11" i="2"/>
  <c r="GC12" i="2"/>
  <c r="GC13" i="2"/>
  <c r="GC14" i="2"/>
  <c r="GC15" i="2"/>
  <c r="GC16" i="2"/>
  <c r="GC17" i="2"/>
  <c r="GC18" i="2"/>
  <c r="GC19" i="2"/>
  <c r="GC20" i="2"/>
  <c r="GC21" i="2"/>
  <c r="GC22" i="2"/>
  <c r="GC23" i="2"/>
  <c r="GC24" i="2"/>
  <c r="GC25" i="2"/>
  <c r="GC26" i="2"/>
  <c r="GC27" i="2"/>
  <c r="GC28" i="2"/>
  <c r="GC29" i="2"/>
  <c r="GC30" i="2"/>
  <c r="GC31" i="2"/>
  <c r="GC32" i="2"/>
  <c r="GC33" i="2"/>
  <c r="GC34" i="2"/>
  <c r="GC35" i="2"/>
  <c r="GC36" i="2"/>
  <c r="GC37" i="2"/>
  <c r="GC38" i="2"/>
  <c r="GC39" i="2"/>
  <c r="GC40" i="2"/>
  <c r="GC41" i="2"/>
  <c r="GC42" i="2"/>
  <c r="GC43" i="2"/>
  <c r="GC44" i="2"/>
  <c r="GC45" i="2"/>
  <c r="GC46" i="2"/>
  <c r="GC47" i="2"/>
  <c r="GC48" i="2"/>
  <c r="GC49" i="2"/>
  <c r="GC50" i="2"/>
  <c r="GC51" i="2"/>
  <c r="GC52" i="2"/>
  <c r="GC53" i="2"/>
  <c r="GC54" i="2"/>
  <c r="GC55" i="2"/>
  <c r="GC56" i="2"/>
  <c r="GC57" i="2"/>
  <c r="GC58" i="2"/>
  <c r="GC59" i="2"/>
  <c r="GC60" i="2"/>
  <c r="GC61" i="2"/>
  <c r="GC62" i="2"/>
  <c r="GC63" i="2"/>
  <c r="GC64" i="2"/>
  <c r="GC65" i="2"/>
  <c r="GC66" i="2"/>
  <c r="GC67" i="2"/>
  <c r="GC68" i="2"/>
  <c r="GC69" i="2"/>
  <c r="GC70" i="2"/>
  <c r="GC71" i="2"/>
  <c r="GC72" i="2"/>
  <c r="GC73" i="2"/>
  <c r="U13" i="22"/>
  <c r="C100" i="24"/>
  <c r="C101" i="24"/>
  <c r="C102" i="24"/>
  <c r="C103" i="24"/>
  <c r="C104" i="24"/>
  <c r="C105" i="24"/>
  <c r="I9" i="41"/>
  <c r="FP7" i="2"/>
  <c r="FP10" i="2"/>
  <c r="FP11" i="2"/>
  <c r="FP13" i="2"/>
  <c r="FP14" i="2"/>
  <c r="FP16" i="2"/>
  <c r="FP17" i="2"/>
  <c r="FP18" i="2"/>
  <c r="FP19" i="2"/>
  <c r="FP20" i="2"/>
  <c r="FP21" i="2"/>
  <c r="FP22" i="2"/>
  <c r="FP23" i="2"/>
  <c r="FP25" i="2"/>
  <c r="FP26" i="2"/>
  <c r="FP27" i="2"/>
  <c r="FP28" i="2"/>
  <c r="FP29" i="2"/>
  <c r="FP30" i="2"/>
  <c r="FP31" i="2"/>
  <c r="FP32" i="2"/>
  <c r="FP33" i="2"/>
  <c r="FP34" i="2"/>
  <c r="FP35" i="2"/>
  <c r="FP36" i="2"/>
  <c r="FP37" i="2"/>
  <c r="FP38" i="2"/>
  <c r="FP39" i="2"/>
  <c r="FP40" i="2"/>
  <c r="FP41" i="2"/>
  <c r="FP42" i="2"/>
  <c r="FP43" i="2"/>
  <c r="FP44" i="2"/>
  <c r="FP46" i="2"/>
  <c r="FP47" i="2"/>
  <c r="FP48" i="2"/>
  <c r="FP49" i="2"/>
  <c r="FP50" i="2"/>
  <c r="FP51" i="2"/>
  <c r="FP52" i="2"/>
  <c r="FP53" i="2"/>
  <c r="FP54" i="2"/>
  <c r="FP55" i="2"/>
  <c r="FP56" i="2"/>
  <c r="FP58" i="2"/>
  <c r="FP60" i="2"/>
  <c r="FP61" i="2"/>
  <c r="FP62" i="2"/>
  <c r="FP63" i="2"/>
  <c r="FP64" i="2"/>
  <c r="FP66" i="2"/>
  <c r="FP67" i="2"/>
  <c r="FP68" i="2"/>
  <c r="FP69" i="2"/>
  <c r="FP70" i="2"/>
  <c r="FP71" i="2"/>
  <c r="FP72" i="2"/>
  <c r="FP74" i="2"/>
  <c r="FK7" i="2"/>
  <c r="FK8" i="2"/>
  <c r="FP8" i="2" s="1"/>
  <c r="FK9" i="2"/>
  <c r="FP9" i="2" s="1"/>
  <c r="FK10" i="2"/>
  <c r="FK11" i="2"/>
  <c r="FK12" i="2"/>
  <c r="FP12" i="2" s="1"/>
  <c r="FK13" i="2"/>
  <c r="FK14" i="2"/>
  <c r="FK15" i="2"/>
  <c r="FP15" i="2" s="1"/>
  <c r="FK16" i="2"/>
  <c r="FK17" i="2"/>
  <c r="FK18" i="2"/>
  <c r="FK19" i="2"/>
  <c r="FK20" i="2"/>
  <c r="FK21" i="2"/>
  <c r="FK22" i="2"/>
  <c r="FK23" i="2"/>
  <c r="FK24" i="2"/>
  <c r="FP24" i="2" s="1"/>
  <c r="FK25" i="2"/>
  <c r="FK26" i="2"/>
  <c r="FK27" i="2"/>
  <c r="FK28" i="2"/>
  <c r="FK29" i="2"/>
  <c r="FK30" i="2"/>
  <c r="FK31" i="2"/>
  <c r="FK32" i="2"/>
  <c r="FK33" i="2"/>
  <c r="FK34" i="2"/>
  <c r="FK35" i="2"/>
  <c r="FK36" i="2"/>
  <c r="FK37" i="2"/>
  <c r="FK38" i="2"/>
  <c r="FK39" i="2"/>
  <c r="FK40" i="2"/>
  <c r="FK41" i="2"/>
  <c r="FK42" i="2"/>
  <c r="FK43" i="2"/>
  <c r="FK44" i="2"/>
  <c r="FK45" i="2"/>
  <c r="FP45" i="2" s="1"/>
  <c r="FK46" i="2"/>
  <c r="FK47" i="2"/>
  <c r="FK48" i="2"/>
  <c r="FK49" i="2"/>
  <c r="FK50" i="2"/>
  <c r="FK51" i="2"/>
  <c r="FK52" i="2"/>
  <c r="FK53" i="2"/>
  <c r="FK54" i="2"/>
  <c r="FK55" i="2"/>
  <c r="FK56" i="2"/>
  <c r="FK57" i="2"/>
  <c r="FP57" i="2" s="1"/>
  <c r="FK58" i="2"/>
  <c r="FK59" i="2"/>
  <c r="FP59" i="2" s="1"/>
  <c r="FK60" i="2"/>
  <c r="FK61" i="2"/>
  <c r="FK62" i="2"/>
  <c r="FK63" i="2"/>
  <c r="FK64" i="2"/>
  <c r="FK65" i="2"/>
  <c r="FP65" i="2" s="1"/>
  <c r="FK66" i="2"/>
  <c r="FK67" i="2"/>
  <c r="FK68" i="2"/>
  <c r="FK69" i="2"/>
  <c r="FK70" i="2"/>
  <c r="FK71" i="2"/>
  <c r="FK72" i="2"/>
  <c r="FK73" i="2"/>
  <c r="FP73" i="2" s="1"/>
  <c r="FK74" i="2"/>
  <c r="EX7" i="2"/>
  <c r="EX8" i="2"/>
  <c r="EX9" i="2"/>
  <c r="EX10" i="2"/>
  <c r="EX11" i="2"/>
  <c r="EX12" i="2"/>
  <c r="EX13" i="2"/>
  <c r="EX14" i="2"/>
  <c r="EX15" i="2"/>
  <c r="EX16" i="2"/>
  <c r="EX17" i="2"/>
  <c r="EX18" i="2"/>
  <c r="EX19" i="2"/>
  <c r="EX20" i="2"/>
  <c r="EX21" i="2"/>
  <c r="EX22" i="2"/>
  <c r="EX23" i="2"/>
  <c r="EX24" i="2"/>
  <c r="EX25" i="2"/>
  <c r="EX26" i="2"/>
  <c r="EX27" i="2"/>
  <c r="EX28" i="2"/>
  <c r="EX29" i="2"/>
  <c r="EX30" i="2"/>
  <c r="EX31" i="2"/>
  <c r="EX32" i="2"/>
  <c r="EX33" i="2"/>
  <c r="EX34" i="2"/>
  <c r="EX35" i="2"/>
  <c r="EX36" i="2"/>
  <c r="EX37" i="2"/>
  <c r="EX38" i="2"/>
  <c r="EX39" i="2"/>
  <c r="EX40" i="2"/>
  <c r="EX41" i="2"/>
  <c r="EX42" i="2"/>
  <c r="EX43" i="2"/>
  <c r="EX44" i="2"/>
  <c r="EX45" i="2"/>
  <c r="EX46" i="2"/>
  <c r="EX47" i="2"/>
  <c r="EX48" i="2"/>
  <c r="EX49" i="2"/>
  <c r="EX50" i="2"/>
  <c r="EX51" i="2"/>
  <c r="EX52" i="2"/>
  <c r="EX53" i="2"/>
  <c r="EX54" i="2"/>
  <c r="EX55" i="2"/>
  <c r="EX56" i="2"/>
  <c r="EX57" i="2"/>
  <c r="EX58" i="2"/>
  <c r="EX59" i="2"/>
  <c r="EX60" i="2"/>
  <c r="EX61" i="2"/>
  <c r="EX62" i="2"/>
  <c r="EX63" i="2"/>
  <c r="EX64" i="2"/>
  <c r="EX65" i="2"/>
  <c r="EX66" i="2"/>
  <c r="EX67" i="2"/>
  <c r="EX68" i="2"/>
  <c r="EX69" i="2"/>
  <c r="EX70" i="2"/>
  <c r="EX71" i="2"/>
  <c r="EX72" i="2"/>
  <c r="EX73" i="2"/>
  <c r="EX74" i="2"/>
  <c r="IJ7" i="2"/>
  <c r="IJ8" i="2"/>
  <c r="IJ9" i="2"/>
  <c r="IJ10" i="2"/>
  <c r="IJ11" i="2"/>
  <c r="IJ12" i="2"/>
  <c r="IJ13" i="2"/>
  <c r="IJ14" i="2"/>
  <c r="IJ15" i="2"/>
  <c r="IJ16" i="2"/>
  <c r="IJ17" i="2"/>
  <c r="IJ18" i="2"/>
  <c r="IJ19" i="2"/>
  <c r="IJ20" i="2"/>
  <c r="IJ21" i="2"/>
  <c r="IJ22" i="2"/>
  <c r="IJ23" i="2"/>
  <c r="IJ24" i="2"/>
  <c r="IJ25" i="2"/>
  <c r="IJ26" i="2"/>
  <c r="IJ27" i="2"/>
  <c r="IJ28" i="2"/>
  <c r="IJ29" i="2"/>
  <c r="IJ30" i="2"/>
  <c r="IJ31" i="2"/>
  <c r="IJ32" i="2"/>
  <c r="IJ33" i="2"/>
  <c r="IJ34" i="2"/>
  <c r="IJ35" i="2"/>
  <c r="IJ36" i="2"/>
  <c r="IJ37" i="2"/>
  <c r="IJ38" i="2"/>
  <c r="IJ39" i="2"/>
  <c r="IJ40" i="2"/>
  <c r="IJ41" i="2"/>
  <c r="IJ42" i="2"/>
  <c r="IJ43" i="2"/>
  <c r="IJ44" i="2"/>
  <c r="IJ45" i="2"/>
  <c r="IJ46" i="2"/>
  <c r="IJ47" i="2"/>
  <c r="IJ48" i="2"/>
  <c r="IJ49" i="2"/>
  <c r="IJ50" i="2"/>
  <c r="IJ51" i="2"/>
  <c r="IJ52" i="2"/>
  <c r="IJ53" i="2"/>
  <c r="IJ54" i="2"/>
  <c r="IJ55" i="2"/>
  <c r="IJ56" i="2"/>
  <c r="IJ57" i="2"/>
  <c r="IJ58" i="2"/>
  <c r="IJ59" i="2"/>
  <c r="IJ60" i="2"/>
  <c r="IJ61" i="2"/>
  <c r="IJ62" i="2"/>
  <c r="IJ63" i="2"/>
  <c r="IJ64" i="2"/>
  <c r="IJ65" i="2"/>
  <c r="IJ66" i="2"/>
  <c r="IJ67" i="2"/>
  <c r="IJ68" i="2"/>
  <c r="IJ69" i="2"/>
  <c r="IJ70" i="2"/>
  <c r="IJ71" i="2"/>
  <c r="IJ72" i="2"/>
  <c r="IJ73" i="2"/>
  <c r="IJ74" i="2"/>
  <c r="IJ75" i="2"/>
  <c r="HI24" i="2" l="1"/>
  <c r="HI72" i="2"/>
  <c r="HI32" i="2"/>
  <c r="HI73" i="2"/>
  <c r="HI39" i="2"/>
  <c r="HI45" i="2"/>
  <c r="HI23" i="2"/>
  <c r="HI11" i="2"/>
  <c r="HI48" i="2"/>
  <c r="HI61" i="2"/>
  <c r="HI22" i="2"/>
  <c r="HI15" i="2"/>
  <c r="HI57" i="2"/>
  <c r="HI59" i="2"/>
  <c r="HI62" i="2"/>
  <c r="HI7" i="2"/>
  <c r="GQ74" i="2"/>
  <c r="GQ73" i="2"/>
  <c r="GQ34" i="2"/>
  <c r="GQ59" i="2"/>
  <c r="GQ22" i="2"/>
  <c r="GQ72" i="2"/>
  <c r="GQ21" i="2"/>
  <c r="GQ58" i="2"/>
  <c r="GQ17" i="2"/>
  <c r="GQ15" i="2"/>
  <c r="GQ31" i="2"/>
  <c r="GQ45" i="2"/>
  <c r="GQ35" i="2"/>
  <c r="GQ43" i="2"/>
  <c r="GQ37" i="2"/>
  <c r="GQ32" i="2"/>
  <c r="GQ39" i="2"/>
  <c r="GQ65" i="2"/>
  <c r="GQ44" i="2"/>
  <c r="GQ24" i="2"/>
  <c r="GQ7" i="2"/>
  <c r="GH22" i="2"/>
  <c r="GH60" i="2"/>
  <c r="GH24" i="2"/>
  <c r="GH57" i="2"/>
  <c r="GH66" i="2"/>
  <c r="GH15" i="2"/>
  <c r="GH37" i="2"/>
  <c r="FY7" i="2"/>
  <c r="FY8" i="2"/>
  <c r="FY9" i="2"/>
  <c r="FY10" i="2"/>
  <c r="FY11" i="2"/>
  <c r="FY12" i="2"/>
  <c r="FY13" i="2"/>
  <c r="FY14" i="2"/>
  <c r="FY15" i="2"/>
  <c r="FY16" i="2"/>
  <c r="FY17" i="2"/>
  <c r="FY18" i="2"/>
  <c r="FY19" i="2"/>
  <c r="FY20" i="2"/>
  <c r="FY21" i="2"/>
  <c r="FY22" i="2"/>
  <c r="FY23" i="2"/>
  <c r="FY24" i="2"/>
  <c r="FY25" i="2"/>
  <c r="FY26" i="2"/>
  <c r="FY27" i="2"/>
  <c r="FY28" i="2"/>
  <c r="FY29" i="2"/>
  <c r="FY30" i="2"/>
  <c r="FY31" i="2"/>
  <c r="FY32" i="2"/>
  <c r="FY33" i="2"/>
  <c r="FY34" i="2"/>
  <c r="FY35" i="2"/>
  <c r="FY36" i="2"/>
  <c r="FY37" i="2"/>
  <c r="FY38" i="2"/>
  <c r="FY39" i="2"/>
  <c r="FY40" i="2"/>
  <c r="FY41" i="2"/>
  <c r="FY42" i="2"/>
  <c r="FY43" i="2"/>
  <c r="FY44" i="2"/>
  <c r="FY45" i="2"/>
  <c r="FY46" i="2"/>
  <c r="FY47" i="2"/>
  <c r="FY48" i="2"/>
  <c r="FY49" i="2"/>
  <c r="FY50" i="2"/>
  <c r="FY51" i="2"/>
  <c r="FY52" i="2"/>
  <c r="FY53" i="2"/>
  <c r="FY54" i="2"/>
  <c r="FY55" i="2"/>
  <c r="FY56" i="2"/>
  <c r="FY57" i="2"/>
  <c r="FY58" i="2"/>
  <c r="FY59" i="2"/>
  <c r="FY60" i="2"/>
  <c r="FY61" i="2"/>
  <c r="FY62" i="2"/>
  <c r="FY63" i="2"/>
  <c r="FY64" i="2"/>
  <c r="FY65" i="2"/>
  <c r="FY66" i="2"/>
  <c r="FY67" i="2"/>
  <c r="FY68" i="2"/>
  <c r="FY69" i="2"/>
  <c r="FY70" i="2"/>
  <c r="FY71" i="2"/>
  <c r="FY72" i="2"/>
  <c r="FY73" i="2"/>
  <c r="FY74" i="2"/>
  <c r="FY75" i="2"/>
  <c r="FT7" i="2"/>
  <c r="FT8" i="2"/>
  <c r="FT9" i="2"/>
  <c r="FT10" i="2"/>
  <c r="FT11" i="2"/>
  <c r="FT12" i="2"/>
  <c r="FT13" i="2"/>
  <c r="FT14" i="2"/>
  <c r="FT15" i="2"/>
  <c r="FT16" i="2"/>
  <c r="FT17" i="2"/>
  <c r="FT18" i="2"/>
  <c r="FT19" i="2"/>
  <c r="FT20" i="2"/>
  <c r="FT21" i="2"/>
  <c r="FT22" i="2"/>
  <c r="FT23" i="2"/>
  <c r="FT24" i="2"/>
  <c r="FT25" i="2"/>
  <c r="FT26" i="2"/>
  <c r="FT27" i="2"/>
  <c r="FT28" i="2"/>
  <c r="FT29" i="2"/>
  <c r="FT30" i="2"/>
  <c r="FT31" i="2"/>
  <c r="FT32" i="2"/>
  <c r="FT33" i="2"/>
  <c r="FT34" i="2"/>
  <c r="FT35" i="2"/>
  <c r="FT36" i="2"/>
  <c r="FT37" i="2"/>
  <c r="FT38" i="2"/>
  <c r="FT39" i="2"/>
  <c r="FT40" i="2"/>
  <c r="FT41" i="2"/>
  <c r="FT42" i="2"/>
  <c r="FT43" i="2"/>
  <c r="FT44" i="2"/>
  <c r="FT45" i="2"/>
  <c r="FT46" i="2"/>
  <c r="FT47" i="2"/>
  <c r="FT48" i="2"/>
  <c r="FT49" i="2"/>
  <c r="FT50" i="2"/>
  <c r="FT51" i="2"/>
  <c r="FT52" i="2"/>
  <c r="FT53" i="2"/>
  <c r="FT54" i="2"/>
  <c r="FT55" i="2"/>
  <c r="FT56" i="2"/>
  <c r="FT57" i="2"/>
  <c r="FT58" i="2"/>
  <c r="FT59" i="2"/>
  <c r="FT60" i="2"/>
  <c r="FT61" i="2"/>
  <c r="FT62" i="2"/>
  <c r="FT63" i="2"/>
  <c r="FT64" i="2"/>
  <c r="FT65" i="2"/>
  <c r="FT66" i="2"/>
  <c r="FT67" i="2"/>
  <c r="FT68" i="2"/>
  <c r="FT69" i="2"/>
  <c r="FT70" i="2"/>
  <c r="FT71" i="2"/>
  <c r="FT72" i="2"/>
  <c r="FT73" i="2"/>
  <c r="W16" i="38" l="1"/>
  <c r="EJ22" i="2"/>
  <c r="I16" i="38" l="1"/>
  <c r="EO7" i="2"/>
  <c r="EO8" i="2"/>
  <c r="EO9" i="2"/>
  <c r="EO10" i="2"/>
  <c r="EO11" i="2"/>
  <c r="EO12" i="2"/>
  <c r="EO13" i="2"/>
  <c r="EO15" i="2"/>
  <c r="EO16" i="2"/>
  <c r="EO17" i="2"/>
  <c r="EO18" i="2"/>
  <c r="EO19" i="2"/>
  <c r="EO20" i="2"/>
  <c r="EO21" i="2"/>
  <c r="EO23" i="2"/>
  <c r="EO24" i="2"/>
  <c r="EO25" i="2"/>
  <c r="EO26" i="2"/>
  <c r="EO27" i="2"/>
  <c r="EO28" i="2"/>
  <c r="EO29" i="2"/>
  <c r="EO30" i="2"/>
  <c r="EO31" i="2"/>
  <c r="EO32" i="2"/>
  <c r="EO33" i="2"/>
  <c r="EO34" i="2"/>
  <c r="EO35" i="2"/>
  <c r="EO36" i="2"/>
  <c r="EO38" i="2"/>
  <c r="EO39" i="2"/>
  <c r="EO40" i="2"/>
  <c r="EO41" i="2"/>
  <c r="EO42" i="2"/>
  <c r="EO43" i="2"/>
  <c r="EO44" i="2"/>
  <c r="EO45" i="2"/>
  <c r="EO46" i="2"/>
  <c r="EO47" i="2"/>
  <c r="EO48" i="2"/>
  <c r="EO49" i="2"/>
  <c r="EO50" i="2"/>
  <c r="EO51" i="2"/>
  <c r="EO52" i="2"/>
  <c r="EO53" i="2"/>
  <c r="EO54" i="2"/>
  <c r="EO55" i="2"/>
  <c r="EO56" i="2"/>
  <c r="EO57" i="2"/>
  <c r="EO58" i="2"/>
  <c r="EO60" i="2"/>
  <c r="EO61" i="2"/>
  <c r="EO62" i="2"/>
  <c r="EO63" i="2"/>
  <c r="EO64" i="2"/>
  <c r="EO65" i="2"/>
  <c r="EO66" i="2"/>
  <c r="EO67" i="2"/>
  <c r="EO68" i="2"/>
  <c r="EO69" i="2"/>
  <c r="EO70" i="2"/>
  <c r="EO71" i="2"/>
  <c r="EO73" i="2"/>
  <c r="EO74" i="2"/>
  <c r="EO75" i="2"/>
  <c r="EO76" i="2"/>
  <c r="EO77" i="2"/>
  <c r="EO78" i="2"/>
  <c r="EO79" i="2"/>
  <c r="EO80" i="2"/>
  <c r="EO81" i="2"/>
  <c r="EO82" i="2"/>
  <c r="EO83" i="2"/>
  <c r="EO84" i="2"/>
  <c r="EO85" i="2"/>
  <c r="EO86" i="2"/>
  <c r="EO87" i="2"/>
  <c r="EO88" i="2"/>
  <c r="EO89" i="2"/>
  <c r="EO90" i="2"/>
  <c r="EO91" i="2"/>
  <c r="EJ7" i="2"/>
  <c r="EJ8" i="2"/>
  <c r="EJ9" i="2"/>
  <c r="EJ10" i="2"/>
  <c r="EJ11" i="2"/>
  <c r="EJ12" i="2"/>
  <c r="EJ13" i="2"/>
  <c r="EJ14" i="2"/>
  <c r="EO14" i="2" s="1"/>
  <c r="EJ15" i="2"/>
  <c r="EJ16" i="2"/>
  <c r="EJ17" i="2"/>
  <c r="EJ18" i="2"/>
  <c r="EJ19" i="2"/>
  <c r="EJ20" i="2"/>
  <c r="EJ21" i="2"/>
  <c r="EO22" i="2"/>
  <c r="EJ23" i="2"/>
  <c r="EJ24" i="2"/>
  <c r="EJ25" i="2"/>
  <c r="EJ26" i="2"/>
  <c r="EJ27" i="2"/>
  <c r="EJ28" i="2"/>
  <c r="EJ29" i="2"/>
  <c r="EJ30" i="2"/>
  <c r="EJ31" i="2"/>
  <c r="EJ32" i="2"/>
  <c r="EJ33" i="2"/>
  <c r="EJ34" i="2"/>
  <c r="EJ35" i="2"/>
  <c r="EJ36" i="2"/>
  <c r="EJ37" i="2"/>
  <c r="EO37" i="2" s="1"/>
  <c r="EJ38" i="2"/>
  <c r="EJ39" i="2"/>
  <c r="EJ40" i="2"/>
  <c r="EJ41" i="2"/>
  <c r="EJ42" i="2"/>
  <c r="EJ43" i="2"/>
  <c r="EJ44" i="2"/>
  <c r="EJ45" i="2"/>
  <c r="EJ46" i="2"/>
  <c r="EJ47" i="2"/>
  <c r="EJ48" i="2"/>
  <c r="EJ49" i="2"/>
  <c r="EJ50" i="2"/>
  <c r="EJ51" i="2"/>
  <c r="EJ52" i="2"/>
  <c r="EJ53" i="2"/>
  <c r="EJ54" i="2"/>
  <c r="EJ55" i="2"/>
  <c r="EJ56" i="2"/>
  <c r="EJ57" i="2"/>
  <c r="EJ58" i="2"/>
  <c r="EJ59" i="2"/>
  <c r="EO59" i="2" s="1"/>
  <c r="EJ60" i="2"/>
  <c r="EJ61" i="2"/>
  <c r="EJ62" i="2"/>
  <c r="EJ63" i="2"/>
  <c r="EJ64" i="2"/>
  <c r="EJ65" i="2"/>
  <c r="EJ66" i="2"/>
  <c r="EJ67" i="2"/>
  <c r="EJ68" i="2"/>
  <c r="EJ69" i="2"/>
  <c r="EJ70" i="2"/>
  <c r="EJ71" i="2"/>
  <c r="EJ72" i="2"/>
  <c r="EO72" i="2" s="1"/>
  <c r="EJ73" i="2"/>
  <c r="EJ74" i="2"/>
  <c r="EJ75" i="2"/>
  <c r="EJ76" i="2"/>
  <c r="EJ77" i="2"/>
  <c r="EJ78" i="2"/>
  <c r="EJ79" i="2"/>
  <c r="EJ80" i="2"/>
  <c r="EJ81" i="2"/>
  <c r="EJ82" i="2"/>
  <c r="EJ83" i="2"/>
  <c r="EJ84" i="2"/>
  <c r="EJ85" i="2"/>
  <c r="EJ86" i="2"/>
  <c r="EJ87" i="2"/>
  <c r="EJ88" i="2"/>
  <c r="EJ89" i="2"/>
  <c r="EJ90" i="2"/>
  <c r="EJ91" i="2"/>
  <c r="EJ92" i="2"/>
  <c r="EJ93" i="2"/>
  <c r="EF16" i="2"/>
  <c r="EF17" i="2"/>
  <c r="EF18" i="2"/>
  <c r="EF28" i="2"/>
  <c r="EF38" i="2"/>
  <c r="EF39" i="2"/>
  <c r="EF40" i="2"/>
  <c r="EF49" i="2"/>
  <c r="EF50" i="2"/>
  <c r="EF60" i="2"/>
  <c r="EF61" i="2"/>
  <c r="EF62" i="2"/>
  <c r="EF71" i="2"/>
  <c r="EF82" i="2"/>
  <c r="EF83" i="2"/>
  <c r="EF84" i="2"/>
  <c r="EA7" i="2"/>
  <c r="EF7" i="2" s="1"/>
  <c r="EA8" i="2"/>
  <c r="EF8" i="2" s="1"/>
  <c r="EA9" i="2"/>
  <c r="EF9" i="2" s="1"/>
  <c r="EA10" i="2"/>
  <c r="EF10" i="2" s="1"/>
  <c r="EA11" i="2"/>
  <c r="EF11" i="2" s="1"/>
  <c r="EA12" i="2"/>
  <c r="EF12" i="2" s="1"/>
  <c r="EA13" i="2"/>
  <c r="EF13" i="2" s="1"/>
  <c r="EA14" i="2"/>
  <c r="EF14" i="2" s="1"/>
  <c r="EA15" i="2"/>
  <c r="EF15" i="2" s="1"/>
  <c r="EA16" i="2"/>
  <c r="EA17" i="2"/>
  <c r="EA18" i="2"/>
  <c r="EA19" i="2"/>
  <c r="EF19" i="2" s="1"/>
  <c r="EA20" i="2"/>
  <c r="EF20" i="2" s="1"/>
  <c r="EA21" i="2"/>
  <c r="EF21" i="2" s="1"/>
  <c r="EA22" i="2"/>
  <c r="EF22" i="2" s="1"/>
  <c r="EA23" i="2"/>
  <c r="EF23" i="2" s="1"/>
  <c r="EA24" i="2"/>
  <c r="EF24" i="2" s="1"/>
  <c r="EA25" i="2"/>
  <c r="EF25" i="2" s="1"/>
  <c r="EA26" i="2"/>
  <c r="EF26" i="2" s="1"/>
  <c r="EA27" i="2"/>
  <c r="EF27" i="2" s="1"/>
  <c r="EA28" i="2"/>
  <c r="EA29" i="2"/>
  <c r="EF29" i="2" s="1"/>
  <c r="EA30" i="2"/>
  <c r="EF30" i="2" s="1"/>
  <c r="EA31" i="2"/>
  <c r="EF31" i="2" s="1"/>
  <c r="EA32" i="2"/>
  <c r="EF32" i="2" s="1"/>
  <c r="EA33" i="2"/>
  <c r="EF33" i="2" s="1"/>
  <c r="EA34" i="2"/>
  <c r="EF34" i="2" s="1"/>
  <c r="EA35" i="2"/>
  <c r="EF35" i="2" s="1"/>
  <c r="EA36" i="2"/>
  <c r="EF36" i="2" s="1"/>
  <c r="EA37" i="2"/>
  <c r="EF37" i="2" s="1"/>
  <c r="EA38" i="2"/>
  <c r="EA39" i="2"/>
  <c r="EA40" i="2"/>
  <c r="EA41" i="2"/>
  <c r="EF41" i="2" s="1"/>
  <c r="EA42" i="2"/>
  <c r="EF42" i="2" s="1"/>
  <c r="EA43" i="2"/>
  <c r="EF43" i="2" s="1"/>
  <c r="EA44" i="2"/>
  <c r="EF44" i="2" s="1"/>
  <c r="EA45" i="2"/>
  <c r="EF45" i="2" s="1"/>
  <c r="EA46" i="2"/>
  <c r="EF46" i="2" s="1"/>
  <c r="EA47" i="2"/>
  <c r="EF47" i="2" s="1"/>
  <c r="EA48" i="2"/>
  <c r="EF48" i="2" s="1"/>
  <c r="EA49" i="2"/>
  <c r="EA50" i="2"/>
  <c r="EA51" i="2"/>
  <c r="EF51" i="2" s="1"/>
  <c r="EA52" i="2"/>
  <c r="EF52" i="2" s="1"/>
  <c r="EA53" i="2"/>
  <c r="EF53" i="2" s="1"/>
  <c r="EA54" i="2"/>
  <c r="EF54" i="2" s="1"/>
  <c r="EA55" i="2"/>
  <c r="EF55" i="2" s="1"/>
  <c r="EA56" i="2"/>
  <c r="EF56" i="2" s="1"/>
  <c r="EA57" i="2"/>
  <c r="EF57" i="2" s="1"/>
  <c r="EA58" i="2"/>
  <c r="EF58" i="2" s="1"/>
  <c r="EA59" i="2"/>
  <c r="EF59" i="2" s="1"/>
  <c r="EA60" i="2"/>
  <c r="EA61" i="2"/>
  <c r="EA62" i="2"/>
  <c r="EA63" i="2"/>
  <c r="EF63" i="2" s="1"/>
  <c r="EA64" i="2"/>
  <c r="EF64" i="2" s="1"/>
  <c r="EA65" i="2"/>
  <c r="EF65" i="2" s="1"/>
  <c r="EA66" i="2"/>
  <c r="EF66" i="2" s="1"/>
  <c r="EA67" i="2"/>
  <c r="EF67" i="2" s="1"/>
  <c r="EA68" i="2"/>
  <c r="EF68" i="2" s="1"/>
  <c r="EA69" i="2"/>
  <c r="EF69" i="2" s="1"/>
  <c r="EA70" i="2"/>
  <c r="EF70" i="2" s="1"/>
  <c r="EA71" i="2"/>
  <c r="EA72" i="2"/>
  <c r="EF72" i="2" s="1"/>
  <c r="EA73" i="2"/>
  <c r="EF73" i="2" s="1"/>
  <c r="EA74" i="2"/>
  <c r="EF74" i="2" s="1"/>
  <c r="EA75" i="2"/>
  <c r="EF75" i="2" s="1"/>
  <c r="EA76" i="2"/>
  <c r="EF76" i="2" s="1"/>
  <c r="EA77" i="2"/>
  <c r="EF77" i="2" s="1"/>
  <c r="EA78" i="2"/>
  <c r="EF78" i="2" s="1"/>
  <c r="EA79" i="2"/>
  <c r="EF79" i="2" s="1"/>
  <c r="EA80" i="2"/>
  <c r="EF80" i="2" s="1"/>
  <c r="EA81" i="2"/>
  <c r="EF81" i="2" s="1"/>
  <c r="EA82" i="2"/>
  <c r="EA83" i="2"/>
  <c r="EA84" i="2"/>
  <c r="EA85" i="2"/>
  <c r="EF85" i="2" s="1"/>
  <c r="EA86" i="2"/>
  <c r="EA87" i="2"/>
  <c r="EA88" i="2"/>
  <c r="EA89" i="2"/>
  <c r="EA90" i="2"/>
  <c r="EA91" i="2"/>
  <c r="EA92" i="2"/>
  <c r="EA93" i="2"/>
  <c r="EA94" i="2"/>
  <c r="EA95" i="2"/>
  <c r="EA96" i="2"/>
  <c r="EA97" i="2"/>
  <c r="EA98" i="2"/>
  <c r="EA99" i="2"/>
  <c r="DW7" i="2"/>
  <c r="DW8" i="2"/>
  <c r="DW9" i="2"/>
  <c r="DW10" i="2"/>
  <c r="DW12" i="2"/>
  <c r="DW16" i="2"/>
  <c r="DW17" i="2"/>
  <c r="DW18" i="2"/>
  <c r="DW19" i="2"/>
  <c r="DW20" i="2"/>
  <c r="DW21" i="2"/>
  <c r="DW22" i="2"/>
  <c r="DW23" i="2"/>
  <c r="DW25" i="2"/>
  <c r="DW26" i="2"/>
  <c r="DW28" i="2"/>
  <c r="DW29" i="2"/>
  <c r="DW30" i="2"/>
  <c r="DW31" i="2"/>
  <c r="DW32" i="2"/>
  <c r="DW33" i="2"/>
  <c r="DW34" i="2"/>
  <c r="DW35" i="2"/>
  <c r="DW36" i="2"/>
  <c r="DW38" i="2"/>
  <c r="DW40" i="2"/>
  <c r="DW41" i="2"/>
  <c r="DW42" i="2"/>
  <c r="DW43" i="2"/>
  <c r="DW44" i="2"/>
  <c r="DW46" i="2"/>
  <c r="DW47" i="2"/>
  <c r="DW48" i="2"/>
  <c r="DW49" i="2"/>
  <c r="DW50" i="2"/>
  <c r="DW51" i="2"/>
  <c r="DW52" i="2"/>
  <c r="DW53" i="2"/>
  <c r="DW54" i="2"/>
  <c r="DW55" i="2"/>
  <c r="DW56" i="2"/>
  <c r="DW57" i="2"/>
  <c r="DW58" i="2"/>
  <c r="DW59" i="2"/>
  <c r="DW60" i="2"/>
  <c r="DW62" i="2"/>
  <c r="DW63" i="2"/>
  <c r="DW64" i="2"/>
  <c r="DW65" i="2"/>
  <c r="DW66" i="2"/>
  <c r="DW67" i="2"/>
  <c r="DW68" i="2"/>
  <c r="DW69" i="2"/>
  <c r="DW70" i="2"/>
  <c r="DW71" i="2"/>
  <c r="DW72" i="2"/>
  <c r="DW73" i="2"/>
  <c r="DW74" i="2"/>
  <c r="DW75" i="2"/>
  <c r="DW76" i="2"/>
  <c r="DW77" i="2"/>
  <c r="DW78" i="2"/>
  <c r="DW79" i="2"/>
  <c r="DW80" i="2"/>
  <c r="DW81" i="2"/>
  <c r="DW82" i="2"/>
  <c r="DW83" i="2"/>
  <c r="DW84" i="2"/>
  <c r="DW85" i="2"/>
  <c r="DW86" i="2"/>
  <c r="DW87" i="2"/>
  <c r="DR7" i="2"/>
  <c r="DR8" i="2"/>
  <c r="DR9" i="2"/>
  <c r="DR10" i="2"/>
  <c r="DR11" i="2"/>
  <c r="DW11" i="2" s="1"/>
  <c r="DR12" i="2"/>
  <c r="DR13" i="2"/>
  <c r="DW13" i="2" s="1"/>
  <c r="DR14" i="2"/>
  <c r="DW14" i="2" s="1"/>
  <c r="DR15" i="2"/>
  <c r="DW15" i="2" s="1"/>
  <c r="DR16" i="2"/>
  <c r="DR17" i="2"/>
  <c r="DR18" i="2"/>
  <c r="DR19" i="2"/>
  <c r="DR20" i="2"/>
  <c r="DR21" i="2"/>
  <c r="DR22" i="2"/>
  <c r="DR23" i="2"/>
  <c r="DR24" i="2"/>
  <c r="DW24" i="2" s="1"/>
  <c r="DR25" i="2"/>
  <c r="DR26" i="2"/>
  <c r="DR27" i="2"/>
  <c r="DW27" i="2" s="1"/>
  <c r="DR28" i="2"/>
  <c r="DR29" i="2"/>
  <c r="DR30" i="2"/>
  <c r="DR31" i="2"/>
  <c r="DR32" i="2"/>
  <c r="DR33" i="2"/>
  <c r="DR34" i="2"/>
  <c r="DR35" i="2"/>
  <c r="DR36" i="2"/>
  <c r="DR37" i="2"/>
  <c r="DW37" i="2" s="1"/>
  <c r="DR38" i="2"/>
  <c r="DR39" i="2"/>
  <c r="DW39" i="2" s="1"/>
  <c r="DR40" i="2"/>
  <c r="DR41" i="2"/>
  <c r="DR42" i="2"/>
  <c r="DR43" i="2"/>
  <c r="DR44" i="2"/>
  <c r="DR45" i="2"/>
  <c r="DW45" i="2" s="1"/>
  <c r="DR46" i="2"/>
  <c r="DR47" i="2"/>
  <c r="DR48" i="2"/>
  <c r="DR49" i="2"/>
  <c r="DR50" i="2"/>
  <c r="DR51" i="2"/>
  <c r="DR52" i="2"/>
  <c r="DR53" i="2"/>
  <c r="DR54" i="2"/>
  <c r="DR55" i="2"/>
  <c r="DR56" i="2"/>
  <c r="DR57" i="2"/>
  <c r="DR58" i="2"/>
  <c r="DR59" i="2"/>
  <c r="DR60" i="2"/>
  <c r="DR61" i="2"/>
  <c r="DW61" i="2" s="1"/>
  <c r="DR62" i="2"/>
  <c r="DR63" i="2"/>
  <c r="DR64" i="2"/>
  <c r="DR65" i="2"/>
  <c r="DR66" i="2"/>
  <c r="DR67" i="2"/>
  <c r="DR68" i="2"/>
  <c r="DR69" i="2"/>
  <c r="DR70" i="2"/>
  <c r="DR71" i="2"/>
  <c r="DR72" i="2"/>
  <c r="DR73" i="2"/>
  <c r="DR74" i="2"/>
  <c r="DR75" i="2"/>
  <c r="DR76" i="2"/>
  <c r="DR77" i="2"/>
  <c r="DR78" i="2"/>
  <c r="DR79" i="2"/>
  <c r="DR80" i="2"/>
  <c r="DR81" i="2"/>
  <c r="DR82" i="2"/>
  <c r="DR83" i="2"/>
  <c r="DR84" i="2"/>
  <c r="DR85" i="2"/>
  <c r="DR86" i="2"/>
  <c r="DR87" i="2"/>
  <c r="DR88" i="2"/>
  <c r="DR89" i="2"/>
  <c r="DR90" i="2"/>
  <c r="DR91" i="2"/>
  <c r="DR92" i="2"/>
  <c r="DR93" i="2"/>
  <c r="DR94" i="2"/>
  <c r="DR95" i="2"/>
  <c r="DR96" i="2"/>
  <c r="DR97" i="2"/>
  <c r="DR98" i="2"/>
  <c r="DR99" i="2"/>
  <c r="DR100" i="2"/>
  <c r="DR101" i="2"/>
  <c r="DR102" i="2"/>
  <c r="DR103" i="2"/>
  <c r="W15" i="38"/>
  <c r="DN9" i="2"/>
  <c r="DN10" i="2"/>
  <c r="DN11" i="2"/>
  <c r="DN12" i="2"/>
  <c r="DN13" i="2"/>
  <c r="DN15" i="2"/>
  <c r="DN16" i="2"/>
  <c r="DN17" i="2"/>
  <c r="DN18" i="2"/>
  <c r="DN19" i="2"/>
  <c r="DN20" i="2"/>
  <c r="DN21" i="2"/>
  <c r="DN25" i="2"/>
  <c r="DN26" i="2"/>
  <c r="DN27" i="2"/>
  <c r="DN28" i="2"/>
  <c r="DN29" i="2"/>
  <c r="DN30" i="2"/>
  <c r="DN32" i="2"/>
  <c r="DN33" i="2"/>
  <c r="DN34" i="2"/>
  <c r="DN35" i="2"/>
  <c r="DN36" i="2"/>
  <c r="DN38" i="2"/>
  <c r="DN40" i="2"/>
  <c r="DN41" i="2"/>
  <c r="DN43" i="2"/>
  <c r="DN44" i="2"/>
  <c r="DN45" i="2"/>
  <c r="DN47" i="2"/>
  <c r="DN49" i="2"/>
  <c r="DN50" i="2"/>
  <c r="DN51" i="2"/>
  <c r="DN52" i="2"/>
  <c r="DN53" i="2"/>
  <c r="DN54" i="2"/>
  <c r="DN55" i="2"/>
  <c r="DN56" i="2"/>
  <c r="DN57" i="2"/>
  <c r="DN58" i="2"/>
  <c r="DN60" i="2"/>
  <c r="DN61" i="2"/>
  <c r="DN63" i="2"/>
  <c r="DN64" i="2"/>
  <c r="DN66" i="2"/>
  <c r="DN67" i="2"/>
  <c r="DN68" i="2"/>
  <c r="DN69" i="2"/>
  <c r="DN70" i="2"/>
  <c r="DN71" i="2"/>
  <c r="DN73" i="2"/>
  <c r="DN74" i="2"/>
  <c r="DN75" i="2"/>
  <c r="DN76" i="2"/>
  <c r="DN77" i="2"/>
  <c r="DN78" i="2"/>
  <c r="DN79" i="2"/>
  <c r="DN80" i="2"/>
  <c r="DN81" i="2"/>
  <c r="DN82" i="2"/>
  <c r="DN83" i="2"/>
  <c r="DN84" i="2"/>
  <c r="DI7" i="2"/>
  <c r="DN7" i="2" s="1"/>
  <c r="DI8" i="2"/>
  <c r="DN8" i="2" s="1"/>
  <c r="DI9" i="2"/>
  <c r="DI10" i="2"/>
  <c r="DI11" i="2"/>
  <c r="DI12" i="2"/>
  <c r="DI13" i="2"/>
  <c r="DI14" i="2"/>
  <c r="DN14" i="2" s="1"/>
  <c r="DI15" i="2"/>
  <c r="DI16" i="2"/>
  <c r="DI17" i="2"/>
  <c r="DI18" i="2"/>
  <c r="DI19" i="2"/>
  <c r="DI20" i="2"/>
  <c r="DI21" i="2"/>
  <c r="DI22" i="2"/>
  <c r="DN22" i="2" s="1"/>
  <c r="DI23" i="2"/>
  <c r="DN23" i="2" s="1"/>
  <c r="DI24" i="2"/>
  <c r="DN24" i="2" s="1"/>
  <c r="DI25" i="2"/>
  <c r="DI26" i="2"/>
  <c r="DI27" i="2"/>
  <c r="DI28" i="2"/>
  <c r="DI29" i="2"/>
  <c r="DI30" i="2"/>
  <c r="DI31" i="2"/>
  <c r="DN31" i="2" s="1"/>
  <c r="DI32" i="2"/>
  <c r="DI33" i="2"/>
  <c r="DI34" i="2"/>
  <c r="DI35" i="2"/>
  <c r="DI36" i="2"/>
  <c r="DI37" i="2"/>
  <c r="DN37" i="2" s="1"/>
  <c r="DI38" i="2"/>
  <c r="DI39" i="2"/>
  <c r="DN39" i="2" s="1"/>
  <c r="DI40" i="2"/>
  <c r="DI41" i="2"/>
  <c r="DI42" i="2"/>
  <c r="DN42" i="2" s="1"/>
  <c r="DI43" i="2"/>
  <c r="DI44" i="2"/>
  <c r="DI45" i="2"/>
  <c r="DI46" i="2"/>
  <c r="DN46" i="2" s="1"/>
  <c r="DI47" i="2"/>
  <c r="DI48" i="2"/>
  <c r="DN48" i="2" s="1"/>
  <c r="DI49" i="2"/>
  <c r="DI50" i="2"/>
  <c r="DI51" i="2"/>
  <c r="DI52" i="2"/>
  <c r="DI53" i="2"/>
  <c r="DI54" i="2"/>
  <c r="DI55" i="2"/>
  <c r="DI56" i="2"/>
  <c r="DI57" i="2"/>
  <c r="DI58" i="2"/>
  <c r="DI59" i="2"/>
  <c r="DN59" i="2" s="1"/>
  <c r="DI60" i="2"/>
  <c r="DI61" i="2"/>
  <c r="DI62" i="2"/>
  <c r="DN62" i="2" s="1"/>
  <c r="DI63" i="2"/>
  <c r="DI64" i="2"/>
  <c r="DI65" i="2"/>
  <c r="DN65" i="2" s="1"/>
  <c r="DI66" i="2"/>
  <c r="DI67" i="2"/>
  <c r="DI68" i="2"/>
  <c r="DI69" i="2"/>
  <c r="DI70" i="2"/>
  <c r="DI71" i="2"/>
  <c r="DI72" i="2"/>
  <c r="DN72" i="2" s="1"/>
  <c r="DI73" i="2"/>
  <c r="DI74" i="2"/>
  <c r="DI75" i="2"/>
  <c r="DI76" i="2"/>
  <c r="DI77" i="2"/>
  <c r="DI78" i="2"/>
  <c r="DI79" i="2"/>
  <c r="DI80" i="2"/>
  <c r="DI81" i="2"/>
  <c r="DI82" i="2"/>
  <c r="DI83" i="2"/>
  <c r="DI84" i="2"/>
  <c r="DI85" i="2"/>
  <c r="DI86" i="2"/>
  <c r="W14" i="38"/>
  <c r="I7" i="41"/>
  <c r="I8" i="41"/>
  <c r="H7" i="41"/>
  <c r="H8" i="41"/>
  <c r="I14" i="38"/>
  <c r="DE7" i="2"/>
  <c r="DE8" i="2"/>
  <c r="DE9" i="2"/>
  <c r="DE10" i="2"/>
  <c r="DE11" i="2"/>
  <c r="DE12" i="2"/>
  <c r="DE13" i="2"/>
  <c r="DE15" i="2"/>
  <c r="DE16" i="2"/>
  <c r="DE17" i="2"/>
  <c r="DE18" i="2"/>
  <c r="DE19" i="2"/>
  <c r="DE20" i="2"/>
  <c r="DE21" i="2"/>
  <c r="DE25" i="2"/>
  <c r="DE26" i="2"/>
  <c r="DE28" i="2"/>
  <c r="DE29" i="2"/>
  <c r="DE30" i="2"/>
  <c r="DE32" i="2"/>
  <c r="DE33" i="2"/>
  <c r="DE34" i="2"/>
  <c r="DE35" i="2"/>
  <c r="DE36" i="2"/>
  <c r="DE37" i="2"/>
  <c r="DE38" i="2"/>
  <c r="DE39" i="2"/>
  <c r="DE41" i="2"/>
  <c r="DE42" i="2"/>
  <c r="DE43" i="2"/>
  <c r="DE44" i="2"/>
  <c r="DE46" i="2"/>
  <c r="DE47" i="2"/>
  <c r="DE48" i="2"/>
  <c r="DE49" i="2"/>
  <c r="DE50" i="2"/>
  <c r="DE51" i="2"/>
  <c r="DE52" i="2"/>
  <c r="DE54" i="2"/>
  <c r="DE55" i="2"/>
  <c r="DE56" i="2"/>
  <c r="DE59" i="2"/>
  <c r="DE60" i="2"/>
  <c r="DE62" i="2"/>
  <c r="DE65" i="2"/>
  <c r="DE66" i="2"/>
  <c r="DE67" i="2"/>
  <c r="DE68" i="2"/>
  <c r="DE69" i="2"/>
  <c r="DE70" i="2"/>
  <c r="DE71" i="2"/>
  <c r="DE72" i="2"/>
  <c r="DE73" i="2"/>
  <c r="DE74" i="2"/>
  <c r="DE75" i="2"/>
  <c r="DE76" i="2"/>
  <c r="DE77" i="2"/>
  <c r="DE78" i="2"/>
  <c r="DE79" i="2"/>
  <c r="DE80" i="2"/>
  <c r="DE81" i="2"/>
  <c r="DE82" i="2"/>
  <c r="DE83" i="2"/>
  <c r="DE84" i="2"/>
  <c r="DE85" i="2"/>
  <c r="DE86" i="2"/>
  <c r="DE87" i="2"/>
  <c r="DE88" i="2"/>
  <c r="DE89" i="2"/>
  <c r="DE90" i="2"/>
  <c r="DE91" i="2"/>
  <c r="DE92" i="2"/>
  <c r="DE93" i="2"/>
  <c r="DE94" i="2"/>
  <c r="DE95" i="2"/>
  <c r="CZ7" i="2"/>
  <c r="CZ8" i="2"/>
  <c r="CZ9" i="2"/>
  <c r="CZ10" i="2"/>
  <c r="CZ11" i="2"/>
  <c r="CZ12" i="2"/>
  <c r="CZ13" i="2"/>
  <c r="CZ14" i="2"/>
  <c r="DE14" i="2" s="1"/>
  <c r="CZ15" i="2"/>
  <c r="CZ16" i="2"/>
  <c r="CZ17" i="2"/>
  <c r="CZ18" i="2"/>
  <c r="CZ19" i="2"/>
  <c r="CZ20" i="2"/>
  <c r="CZ21" i="2"/>
  <c r="CZ22" i="2"/>
  <c r="DE22" i="2" s="1"/>
  <c r="CZ23" i="2"/>
  <c r="DE23" i="2" s="1"/>
  <c r="CZ24" i="2"/>
  <c r="DE24" i="2" s="1"/>
  <c r="CZ25" i="2"/>
  <c r="CZ26" i="2"/>
  <c r="CZ27" i="2"/>
  <c r="DE27" i="2" s="1"/>
  <c r="CZ28" i="2"/>
  <c r="CZ29" i="2"/>
  <c r="CZ30" i="2"/>
  <c r="CZ31" i="2"/>
  <c r="DE31" i="2" s="1"/>
  <c r="CZ32" i="2"/>
  <c r="CZ33" i="2"/>
  <c r="CZ34" i="2"/>
  <c r="CZ35" i="2"/>
  <c r="CZ36" i="2"/>
  <c r="CZ37" i="2"/>
  <c r="CZ38" i="2"/>
  <c r="CZ39" i="2"/>
  <c r="CZ40" i="2"/>
  <c r="DE40" i="2" s="1"/>
  <c r="CZ41" i="2"/>
  <c r="CZ42" i="2"/>
  <c r="CZ43" i="2"/>
  <c r="CZ44" i="2"/>
  <c r="CZ45" i="2"/>
  <c r="DE45" i="2" s="1"/>
  <c r="CZ46" i="2"/>
  <c r="CZ47" i="2"/>
  <c r="CZ48" i="2"/>
  <c r="CZ49" i="2"/>
  <c r="CZ50" i="2"/>
  <c r="CZ51" i="2"/>
  <c r="CZ52" i="2"/>
  <c r="CZ53" i="2"/>
  <c r="DE53" i="2" s="1"/>
  <c r="CZ54" i="2"/>
  <c r="CZ55" i="2"/>
  <c r="CZ56" i="2"/>
  <c r="CZ57" i="2"/>
  <c r="DE57" i="2" s="1"/>
  <c r="CZ58" i="2"/>
  <c r="DE58" i="2" s="1"/>
  <c r="CZ59" i="2"/>
  <c r="CZ60" i="2"/>
  <c r="CZ61" i="2"/>
  <c r="DE61" i="2" s="1"/>
  <c r="CZ62" i="2"/>
  <c r="CZ63" i="2"/>
  <c r="DE63" i="2" s="1"/>
  <c r="CZ64" i="2"/>
  <c r="DE64" i="2" s="1"/>
  <c r="CZ65" i="2"/>
  <c r="CZ66" i="2"/>
  <c r="CZ67" i="2"/>
  <c r="CZ68" i="2"/>
  <c r="CZ69" i="2"/>
  <c r="CZ70" i="2"/>
  <c r="CZ71" i="2"/>
  <c r="CZ72" i="2"/>
  <c r="CZ73" i="2"/>
  <c r="CZ74" i="2"/>
  <c r="CZ75" i="2"/>
  <c r="CZ76" i="2"/>
  <c r="CZ77" i="2"/>
  <c r="CZ78" i="2"/>
  <c r="CZ79" i="2"/>
  <c r="CZ80" i="2"/>
  <c r="CZ81" i="2"/>
  <c r="CZ82" i="2"/>
  <c r="CZ83" i="2"/>
  <c r="CZ84" i="2"/>
  <c r="CZ85" i="2"/>
  <c r="CZ86" i="2"/>
  <c r="CZ87" i="2"/>
  <c r="CZ88" i="2"/>
  <c r="CZ89" i="2"/>
  <c r="CZ90" i="2"/>
  <c r="CZ91" i="2"/>
  <c r="CZ92" i="2"/>
  <c r="CZ93" i="2"/>
  <c r="CZ94" i="2"/>
  <c r="CZ95" i="2"/>
  <c r="I13" i="38"/>
  <c r="W13" i="38"/>
  <c r="CV9" i="2"/>
  <c r="CV12" i="2"/>
  <c r="CV13" i="2"/>
  <c r="CV14" i="2"/>
  <c r="CV16" i="2"/>
  <c r="CV17" i="2"/>
  <c r="CV18" i="2"/>
  <c r="CV19" i="2"/>
  <c r="CV20" i="2"/>
  <c r="CV21" i="2"/>
  <c r="CV23" i="2"/>
  <c r="CV25" i="2"/>
  <c r="CV29" i="2"/>
  <c r="CV30" i="2"/>
  <c r="CV31" i="2"/>
  <c r="CV32" i="2"/>
  <c r="CV33" i="2"/>
  <c r="CV34" i="2"/>
  <c r="CV35" i="2"/>
  <c r="CV36" i="2"/>
  <c r="CV37" i="2"/>
  <c r="CV38" i="2"/>
  <c r="CV39" i="2"/>
  <c r="CV41" i="2"/>
  <c r="CV42" i="2"/>
  <c r="CV43" i="2"/>
  <c r="CV46" i="2"/>
  <c r="CV47" i="2"/>
  <c r="CV49" i="2"/>
  <c r="CV50" i="2"/>
  <c r="CV51" i="2"/>
  <c r="CV52" i="2"/>
  <c r="CV53" i="2"/>
  <c r="CV54" i="2"/>
  <c r="CV55" i="2"/>
  <c r="CV56" i="2"/>
  <c r="CV58" i="2"/>
  <c r="CV60" i="2"/>
  <c r="CV63" i="2"/>
  <c r="CV64" i="2"/>
  <c r="CV66" i="2"/>
  <c r="CV67" i="2"/>
  <c r="CV68" i="2"/>
  <c r="CV69" i="2"/>
  <c r="CV70" i="2"/>
  <c r="CV71" i="2"/>
  <c r="CV72" i="2"/>
  <c r="CV73" i="2"/>
  <c r="CV74" i="2"/>
  <c r="CV75" i="2"/>
  <c r="CV76" i="2"/>
  <c r="CV77" i="2"/>
  <c r="CV78" i="2"/>
  <c r="CV79" i="2"/>
  <c r="CV80" i="2"/>
  <c r="CV81" i="2"/>
  <c r="CV82" i="2"/>
  <c r="CV83" i="2"/>
  <c r="CV84" i="2"/>
  <c r="CV85" i="2"/>
  <c r="CV86" i="2"/>
  <c r="CV87" i="2"/>
  <c r="CV88" i="2"/>
  <c r="CV89" i="2"/>
  <c r="CV90" i="2"/>
  <c r="CV91" i="2"/>
  <c r="CV92" i="2"/>
  <c r="CV93" i="2"/>
  <c r="CV94" i="2"/>
  <c r="CV95" i="2"/>
  <c r="CV96" i="2"/>
  <c r="CV97" i="2"/>
  <c r="CV98" i="2"/>
  <c r="CV99" i="2"/>
  <c r="CV100" i="2"/>
  <c r="CV101" i="2"/>
  <c r="CV102" i="2"/>
  <c r="CV103" i="2"/>
  <c r="CQ7" i="2"/>
  <c r="CV7" i="2" s="1"/>
  <c r="CQ8" i="2"/>
  <c r="CV8" i="2" s="1"/>
  <c r="CQ9" i="2"/>
  <c r="CQ10" i="2"/>
  <c r="CV10" i="2" s="1"/>
  <c r="CQ11" i="2"/>
  <c r="CV11" i="2" s="1"/>
  <c r="CQ12" i="2"/>
  <c r="CQ13" i="2"/>
  <c r="CQ14" i="2"/>
  <c r="CQ15" i="2"/>
  <c r="CV15" i="2" s="1"/>
  <c r="CQ16" i="2"/>
  <c r="CQ17" i="2"/>
  <c r="CQ18" i="2"/>
  <c r="CQ19" i="2"/>
  <c r="CQ20" i="2"/>
  <c r="CQ21" i="2"/>
  <c r="CQ22" i="2"/>
  <c r="CV22" i="2" s="1"/>
  <c r="CQ23" i="2"/>
  <c r="CQ24" i="2"/>
  <c r="CV24" i="2" s="1"/>
  <c r="CQ25" i="2"/>
  <c r="CQ26" i="2"/>
  <c r="CV26" i="2" s="1"/>
  <c r="CQ27" i="2"/>
  <c r="CV27" i="2" s="1"/>
  <c r="CQ28" i="2"/>
  <c r="CV28" i="2" s="1"/>
  <c r="CQ29" i="2"/>
  <c r="CQ30" i="2"/>
  <c r="CQ31" i="2"/>
  <c r="CQ32" i="2"/>
  <c r="CQ33" i="2"/>
  <c r="CQ34" i="2"/>
  <c r="CQ35" i="2"/>
  <c r="CQ36" i="2"/>
  <c r="CQ37" i="2"/>
  <c r="CQ38" i="2"/>
  <c r="CQ39" i="2"/>
  <c r="CQ40" i="2"/>
  <c r="CV40" i="2" s="1"/>
  <c r="CQ41" i="2"/>
  <c r="CQ42" i="2"/>
  <c r="CQ43" i="2"/>
  <c r="CQ44" i="2"/>
  <c r="CV44" i="2" s="1"/>
  <c r="CQ45" i="2"/>
  <c r="CV45" i="2" s="1"/>
  <c r="CQ46" i="2"/>
  <c r="CQ47" i="2"/>
  <c r="CQ48" i="2"/>
  <c r="CV48" i="2" s="1"/>
  <c r="CQ49" i="2"/>
  <c r="CQ50" i="2"/>
  <c r="CQ51" i="2"/>
  <c r="CQ52" i="2"/>
  <c r="CQ53" i="2"/>
  <c r="CQ54" i="2"/>
  <c r="CQ55" i="2"/>
  <c r="CQ56" i="2"/>
  <c r="CQ57" i="2"/>
  <c r="CV57" i="2" s="1"/>
  <c r="CQ58" i="2"/>
  <c r="CQ59" i="2"/>
  <c r="CV59" i="2" s="1"/>
  <c r="CQ60" i="2"/>
  <c r="CQ61" i="2"/>
  <c r="CV61" i="2" s="1"/>
  <c r="CQ62" i="2"/>
  <c r="CV62" i="2" s="1"/>
  <c r="CQ63" i="2"/>
  <c r="CQ64" i="2"/>
  <c r="CQ65" i="2"/>
  <c r="CV65" i="2" s="1"/>
  <c r="CQ66" i="2"/>
  <c r="CQ67" i="2"/>
  <c r="CQ68" i="2"/>
  <c r="CQ69" i="2"/>
  <c r="CQ70" i="2"/>
  <c r="CQ71" i="2"/>
  <c r="CQ72" i="2"/>
  <c r="CQ73" i="2"/>
  <c r="CQ74" i="2"/>
  <c r="CQ75" i="2"/>
  <c r="CQ76" i="2"/>
  <c r="CQ77" i="2"/>
  <c r="CQ78" i="2"/>
  <c r="CQ79" i="2"/>
  <c r="CQ80" i="2"/>
  <c r="CQ81" i="2"/>
  <c r="CQ82" i="2"/>
  <c r="CQ83" i="2"/>
  <c r="CQ84" i="2"/>
  <c r="CQ85" i="2"/>
  <c r="CQ86" i="2"/>
  <c r="CQ87" i="2"/>
  <c r="CQ88" i="2"/>
  <c r="CQ89" i="2"/>
  <c r="CQ90" i="2"/>
  <c r="CQ91" i="2"/>
  <c r="CQ92" i="2"/>
  <c r="CQ93" i="2"/>
  <c r="CQ94" i="2"/>
  <c r="CQ95" i="2"/>
  <c r="CQ96" i="2"/>
  <c r="CQ97" i="2"/>
  <c r="CQ98" i="2"/>
  <c r="CQ99" i="2"/>
  <c r="CQ100" i="2"/>
  <c r="CQ101" i="2"/>
  <c r="CQ102" i="2"/>
  <c r="CQ103" i="2"/>
  <c r="CQ104" i="2"/>
  <c r="I12" i="38"/>
  <c r="CM9" i="2"/>
  <c r="CM12" i="2"/>
  <c r="CM13" i="2"/>
  <c r="CM14" i="2"/>
  <c r="CM16" i="2"/>
  <c r="CM17" i="2"/>
  <c r="CM18" i="2"/>
  <c r="CM20" i="2"/>
  <c r="CM21" i="2"/>
  <c r="CM22" i="2"/>
  <c r="CM24" i="2"/>
  <c r="CM25" i="2"/>
  <c r="CM26" i="2"/>
  <c r="CM27" i="2"/>
  <c r="CM28" i="2"/>
  <c r="CM29" i="2"/>
  <c r="CM32" i="2"/>
  <c r="CM33" i="2"/>
  <c r="CM34" i="2"/>
  <c r="CM35" i="2"/>
  <c r="CM36" i="2"/>
  <c r="CM37" i="2"/>
  <c r="CM38" i="2"/>
  <c r="CM40" i="2"/>
  <c r="CM41" i="2"/>
  <c r="CM42" i="2"/>
  <c r="CM43" i="2"/>
  <c r="CM44" i="2"/>
  <c r="CM46" i="2"/>
  <c r="CM47" i="2"/>
  <c r="CM49" i="2"/>
  <c r="CM50" i="2"/>
  <c r="CM51" i="2"/>
  <c r="CM52" i="2"/>
  <c r="CM53" i="2"/>
  <c r="CM54" i="2"/>
  <c r="CM55" i="2"/>
  <c r="CM56" i="2"/>
  <c r="CM58" i="2"/>
  <c r="CM60" i="2"/>
  <c r="CM62" i="2"/>
  <c r="CM63" i="2"/>
  <c r="CM64" i="2"/>
  <c r="CM66" i="2"/>
  <c r="CM67" i="2"/>
  <c r="CM68" i="2"/>
  <c r="CM69" i="2"/>
  <c r="CM70" i="2"/>
  <c r="CM71" i="2"/>
  <c r="CM72" i="2"/>
  <c r="CM73" i="2"/>
  <c r="CM74" i="2"/>
  <c r="CM75" i="2"/>
  <c r="CM76" i="2"/>
  <c r="CM77" i="2"/>
  <c r="CM78" i="2"/>
  <c r="CM79" i="2"/>
  <c r="CM80" i="2"/>
  <c r="CM81" i="2"/>
  <c r="CM82" i="2"/>
  <c r="CM83" i="2"/>
  <c r="CM84" i="2"/>
  <c r="CM85" i="2"/>
  <c r="CH7" i="2"/>
  <c r="CM7" i="2" s="1"/>
  <c r="CH8" i="2"/>
  <c r="CM8" i="2" s="1"/>
  <c r="CH9" i="2"/>
  <c r="CH10" i="2"/>
  <c r="CM10" i="2" s="1"/>
  <c r="CH11" i="2"/>
  <c r="CM11" i="2" s="1"/>
  <c r="CH12" i="2"/>
  <c r="CH13" i="2"/>
  <c r="CH14" i="2"/>
  <c r="CH15" i="2"/>
  <c r="CM15" i="2" s="1"/>
  <c r="CH16" i="2"/>
  <c r="CH17" i="2"/>
  <c r="CH18" i="2"/>
  <c r="CH19" i="2"/>
  <c r="CM19" i="2" s="1"/>
  <c r="CH20" i="2"/>
  <c r="CH21" i="2"/>
  <c r="CH22" i="2"/>
  <c r="CH23" i="2"/>
  <c r="CM23" i="2" s="1"/>
  <c r="CH24" i="2"/>
  <c r="CH25" i="2"/>
  <c r="CH26" i="2"/>
  <c r="CH27" i="2"/>
  <c r="CH28" i="2"/>
  <c r="CH29" i="2"/>
  <c r="CH30" i="2"/>
  <c r="CM30" i="2" s="1"/>
  <c r="CH31" i="2"/>
  <c r="CM31" i="2" s="1"/>
  <c r="CH32" i="2"/>
  <c r="CH33" i="2"/>
  <c r="CH34" i="2"/>
  <c r="CH35" i="2"/>
  <c r="CH36" i="2"/>
  <c r="CH37" i="2"/>
  <c r="CH38" i="2"/>
  <c r="CH39" i="2"/>
  <c r="CM39" i="2" s="1"/>
  <c r="CH40" i="2"/>
  <c r="CH41" i="2"/>
  <c r="CH42" i="2"/>
  <c r="CH43" i="2"/>
  <c r="CH44" i="2"/>
  <c r="CH45" i="2"/>
  <c r="CM45" i="2" s="1"/>
  <c r="CH46" i="2"/>
  <c r="CH47" i="2"/>
  <c r="CH48" i="2"/>
  <c r="CM48" i="2" s="1"/>
  <c r="CH49" i="2"/>
  <c r="CH50" i="2"/>
  <c r="CH51" i="2"/>
  <c r="CH52" i="2"/>
  <c r="CH53" i="2"/>
  <c r="CH54" i="2"/>
  <c r="CH55" i="2"/>
  <c r="CH56" i="2"/>
  <c r="CH57" i="2"/>
  <c r="CM57" i="2" s="1"/>
  <c r="CH58" i="2"/>
  <c r="CH59" i="2"/>
  <c r="CM59" i="2" s="1"/>
  <c r="CH60" i="2"/>
  <c r="CH61" i="2"/>
  <c r="CM61" i="2" s="1"/>
  <c r="CH62" i="2"/>
  <c r="CH63" i="2"/>
  <c r="CH64" i="2"/>
  <c r="CH65" i="2"/>
  <c r="CM65" i="2" s="1"/>
  <c r="CH66" i="2"/>
  <c r="CH67" i="2"/>
  <c r="CH68" i="2"/>
  <c r="CH69" i="2"/>
  <c r="CH70" i="2"/>
  <c r="CH71" i="2"/>
  <c r="CH72" i="2"/>
  <c r="CH73" i="2"/>
  <c r="CH74" i="2"/>
  <c r="CH75" i="2"/>
  <c r="CH76" i="2"/>
  <c r="CH77" i="2"/>
  <c r="CH78" i="2"/>
  <c r="CH79" i="2"/>
  <c r="CH80" i="2"/>
  <c r="CH81" i="2"/>
  <c r="CH82" i="2"/>
  <c r="CH83" i="2"/>
  <c r="CH84" i="2"/>
  <c r="CH85" i="2"/>
  <c r="CH86" i="2"/>
  <c r="CH87" i="2"/>
  <c r="CH88" i="2"/>
  <c r="CH89" i="2"/>
  <c r="CH90" i="2"/>
  <c r="CH91" i="2"/>
  <c r="CH92" i="2"/>
  <c r="CH93" i="2"/>
  <c r="CH94" i="2"/>
  <c r="CH95" i="2"/>
  <c r="K104" i="22"/>
  <c r="K105" i="22"/>
  <c r="BO26" i="42"/>
  <c r="BO27" i="42"/>
  <c r="BO28" i="42"/>
  <c r="BO29" i="42"/>
  <c r="BG26" i="42"/>
  <c r="BG27" i="42"/>
  <c r="BG28" i="42"/>
  <c r="BG29" i="42"/>
  <c r="CD9" i="2"/>
  <c r="CD10" i="2"/>
  <c r="CD11" i="2"/>
  <c r="CD12" i="2"/>
  <c r="CD13" i="2"/>
  <c r="CD14" i="2"/>
  <c r="CD15" i="2"/>
  <c r="CD16" i="2"/>
  <c r="CD17" i="2"/>
  <c r="CD18" i="2"/>
  <c r="CD19" i="2"/>
  <c r="CD20" i="2"/>
  <c r="CD24" i="2"/>
  <c r="CD27" i="2"/>
  <c r="CD28" i="2"/>
  <c r="CD29" i="2"/>
  <c r="CD30" i="2"/>
  <c r="CD31" i="2"/>
  <c r="CD32" i="2"/>
  <c r="CD33" i="2"/>
  <c r="CD34" i="2"/>
  <c r="CD35" i="2"/>
  <c r="CD36" i="2"/>
  <c r="CD38" i="2"/>
  <c r="CD40" i="2"/>
  <c r="CD41" i="2"/>
  <c r="CD42" i="2"/>
  <c r="CD43" i="2"/>
  <c r="CD46" i="2"/>
  <c r="CD47" i="2"/>
  <c r="CD48" i="2"/>
  <c r="CD49" i="2"/>
  <c r="CD50" i="2"/>
  <c r="CD51" i="2"/>
  <c r="CD52" i="2"/>
  <c r="CD53" i="2"/>
  <c r="CD54" i="2"/>
  <c r="CD55" i="2"/>
  <c r="CD56" i="2"/>
  <c r="CD57" i="2"/>
  <c r="CD58" i="2"/>
  <c r="CD59" i="2"/>
  <c r="CD60" i="2"/>
  <c r="CD61" i="2"/>
  <c r="CD62" i="2"/>
  <c r="CD65" i="2"/>
  <c r="CD66" i="2"/>
  <c r="CD67" i="2"/>
  <c r="CD68" i="2"/>
  <c r="CD69" i="2"/>
  <c r="CD70" i="2"/>
  <c r="CD71" i="2"/>
  <c r="CD72" i="2"/>
  <c r="CD73" i="2"/>
  <c r="CD74" i="2"/>
  <c r="CD75" i="2"/>
  <c r="CD76" i="2"/>
  <c r="CD77" i="2"/>
  <c r="CD78" i="2"/>
  <c r="CD79" i="2"/>
  <c r="CD80" i="2"/>
  <c r="CD81" i="2"/>
  <c r="CD82" i="2"/>
  <c r="CD83" i="2"/>
  <c r="CD84" i="2"/>
  <c r="CD85" i="2"/>
  <c r="CD86" i="2"/>
  <c r="CD87" i="2"/>
  <c r="CD88" i="2"/>
  <c r="CD89" i="2"/>
  <c r="CD90" i="2"/>
  <c r="CD91" i="2"/>
  <c r="CD92" i="2"/>
  <c r="CD93" i="2"/>
  <c r="CD94" i="2"/>
  <c r="CD95" i="2"/>
  <c r="CD96" i="2"/>
  <c r="CD97" i="2"/>
  <c r="CD98" i="2"/>
  <c r="CD99" i="2"/>
  <c r="CD100" i="2"/>
  <c r="CD101" i="2"/>
  <c r="CD102" i="2"/>
  <c r="CD103" i="2"/>
  <c r="CD104" i="2"/>
  <c r="CD105" i="2"/>
  <c r="BY7" i="2"/>
  <c r="CD7" i="2" s="1"/>
  <c r="BY8" i="2"/>
  <c r="CD8" i="2" s="1"/>
  <c r="BY9" i="2"/>
  <c r="BY10" i="2"/>
  <c r="BY11" i="2"/>
  <c r="BY12" i="2"/>
  <c r="BY13" i="2"/>
  <c r="BY14" i="2"/>
  <c r="BY15" i="2"/>
  <c r="BY16" i="2"/>
  <c r="BY17" i="2"/>
  <c r="BY18" i="2"/>
  <c r="BY19" i="2"/>
  <c r="BY20" i="2"/>
  <c r="BY21" i="2"/>
  <c r="CD21" i="2" s="1"/>
  <c r="BY22" i="2"/>
  <c r="CD22" i="2" s="1"/>
  <c r="BY23" i="2"/>
  <c r="CD23" i="2" s="1"/>
  <c r="BY24" i="2"/>
  <c r="BY25" i="2"/>
  <c r="CD25" i="2" s="1"/>
  <c r="BY26" i="2"/>
  <c r="CD26" i="2" s="1"/>
  <c r="BY27" i="2"/>
  <c r="BY28" i="2"/>
  <c r="BY29" i="2"/>
  <c r="BY30" i="2"/>
  <c r="BY31" i="2"/>
  <c r="BY32" i="2"/>
  <c r="BY33" i="2"/>
  <c r="BY34" i="2"/>
  <c r="BY35" i="2"/>
  <c r="BY36" i="2"/>
  <c r="BY37" i="2"/>
  <c r="CD37" i="2" s="1"/>
  <c r="BY38" i="2"/>
  <c r="BY39" i="2"/>
  <c r="CD39" i="2" s="1"/>
  <c r="BY40" i="2"/>
  <c r="BY41" i="2"/>
  <c r="BY42" i="2"/>
  <c r="BY43" i="2"/>
  <c r="BY44" i="2"/>
  <c r="CD44" i="2" s="1"/>
  <c r="BY45" i="2"/>
  <c r="CD45" i="2" s="1"/>
  <c r="BY46" i="2"/>
  <c r="BY47" i="2"/>
  <c r="BY48" i="2"/>
  <c r="BY49" i="2"/>
  <c r="BY50" i="2"/>
  <c r="BY51" i="2"/>
  <c r="BY52" i="2"/>
  <c r="BY53" i="2"/>
  <c r="BY54" i="2"/>
  <c r="BY55" i="2"/>
  <c r="BY56" i="2"/>
  <c r="BY57" i="2"/>
  <c r="BY58" i="2"/>
  <c r="BY59" i="2"/>
  <c r="BY60" i="2"/>
  <c r="BY61" i="2"/>
  <c r="BY62" i="2"/>
  <c r="BY63" i="2"/>
  <c r="CD63" i="2" s="1"/>
  <c r="BY64" i="2"/>
  <c r="CD64" i="2" s="1"/>
  <c r="BY65" i="2"/>
  <c r="BY66" i="2"/>
  <c r="BY67" i="2"/>
  <c r="BY68" i="2"/>
  <c r="BY69" i="2"/>
  <c r="BY70" i="2"/>
  <c r="BY71" i="2"/>
  <c r="BY72" i="2"/>
  <c r="BY73" i="2"/>
  <c r="BY74" i="2"/>
  <c r="BY75" i="2"/>
  <c r="BY76" i="2"/>
  <c r="BY77" i="2"/>
  <c r="BY78" i="2"/>
  <c r="BY79" i="2"/>
  <c r="BY80" i="2"/>
  <c r="BY81" i="2"/>
  <c r="BY82" i="2"/>
  <c r="BY83" i="2"/>
  <c r="BY84" i="2"/>
  <c r="BY85" i="2"/>
  <c r="BY86" i="2"/>
  <c r="BY87" i="2"/>
  <c r="BY88" i="2"/>
  <c r="BY89" i="2"/>
  <c r="BY90" i="2"/>
  <c r="BY91" i="2"/>
  <c r="BY92" i="2"/>
  <c r="BY93" i="2"/>
  <c r="BY94" i="2"/>
  <c r="BY95" i="2"/>
  <c r="BY96" i="2"/>
  <c r="BY97" i="2"/>
  <c r="BY98" i="2"/>
  <c r="BY99" i="2"/>
  <c r="BY100" i="2"/>
  <c r="BY101" i="2"/>
  <c r="BY102" i="2"/>
  <c r="BY103" i="2"/>
  <c r="BY104" i="2"/>
  <c r="BY105" i="2"/>
  <c r="I3" i="41"/>
  <c r="I4" i="41"/>
  <c r="I5" i="41"/>
  <c r="I6" i="41"/>
  <c r="I2" i="41"/>
  <c r="H3" i="41"/>
  <c r="H4" i="41"/>
  <c r="H5" i="41"/>
  <c r="H6" i="41"/>
  <c r="H2" i="41"/>
  <c r="I8" i="38"/>
  <c r="BL7" i="2"/>
  <c r="BL8" i="2"/>
  <c r="BL9" i="2"/>
  <c r="BL10" i="2"/>
  <c r="BL11" i="2"/>
  <c r="BL12" i="2"/>
  <c r="BL13" i="2"/>
  <c r="BL16" i="2"/>
  <c r="BL17" i="2"/>
  <c r="BL18" i="2"/>
  <c r="BL19" i="2"/>
  <c r="BL20" i="2"/>
  <c r="BL21" i="2"/>
  <c r="BL23" i="2"/>
  <c r="BL25" i="2"/>
  <c r="BL26" i="2"/>
  <c r="BL28" i="2"/>
  <c r="BL29" i="2"/>
  <c r="BL30" i="2"/>
  <c r="BL31" i="2"/>
  <c r="BL33" i="2"/>
  <c r="BL34" i="2"/>
  <c r="BL35" i="2"/>
  <c r="BL36" i="2"/>
  <c r="BL38" i="2"/>
  <c r="BL40" i="2"/>
  <c r="BL41" i="2"/>
  <c r="BL42" i="2"/>
  <c r="BL43" i="2"/>
  <c r="BL44" i="2"/>
  <c r="BL46" i="2"/>
  <c r="BL47" i="2"/>
  <c r="BL49" i="2"/>
  <c r="BL50" i="2"/>
  <c r="BL51" i="2"/>
  <c r="BL52" i="2"/>
  <c r="BL53" i="2"/>
  <c r="BL54" i="2"/>
  <c r="BL55" i="2"/>
  <c r="BL56" i="2"/>
  <c r="BL58" i="2"/>
  <c r="BL60" i="2"/>
  <c r="BL62" i="2"/>
  <c r="BL63" i="2"/>
  <c r="BL64" i="2"/>
  <c r="BL66" i="2"/>
  <c r="BL67" i="2"/>
  <c r="BL68" i="2"/>
  <c r="BL70" i="2"/>
  <c r="BL71" i="2"/>
  <c r="BL72" i="2"/>
  <c r="BL73" i="2"/>
  <c r="BL74" i="2"/>
  <c r="BL75" i="2"/>
  <c r="BL76" i="2"/>
  <c r="BL77" i="2"/>
  <c r="BL78" i="2"/>
  <c r="BL79" i="2"/>
  <c r="BL80" i="2"/>
  <c r="BL81" i="2"/>
  <c r="BG7" i="2"/>
  <c r="BG8" i="2"/>
  <c r="BG9" i="2"/>
  <c r="BG10" i="2"/>
  <c r="BG11" i="2"/>
  <c r="BG12" i="2"/>
  <c r="BG13" i="2"/>
  <c r="BG14" i="2"/>
  <c r="BL14" i="2" s="1"/>
  <c r="BG15" i="2"/>
  <c r="BL15" i="2" s="1"/>
  <c r="BG16" i="2"/>
  <c r="BG17" i="2"/>
  <c r="BG18" i="2"/>
  <c r="BG19" i="2"/>
  <c r="BG20" i="2"/>
  <c r="BG21" i="2"/>
  <c r="BG22" i="2"/>
  <c r="BL22" i="2" s="1"/>
  <c r="BG23" i="2"/>
  <c r="BG24" i="2"/>
  <c r="BL24" i="2" s="1"/>
  <c r="BG25" i="2"/>
  <c r="BG26" i="2"/>
  <c r="BG27" i="2"/>
  <c r="BL27" i="2" s="1"/>
  <c r="BG28" i="2"/>
  <c r="BG29" i="2"/>
  <c r="BG30" i="2"/>
  <c r="BG31" i="2"/>
  <c r="BG32" i="2"/>
  <c r="BL32" i="2" s="1"/>
  <c r="BG33" i="2"/>
  <c r="BG34" i="2"/>
  <c r="BG35" i="2"/>
  <c r="BG36" i="2"/>
  <c r="BG37" i="2"/>
  <c r="BL37" i="2" s="1"/>
  <c r="BG38" i="2"/>
  <c r="BG39" i="2"/>
  <c r="BL39" i="2" s="1"/>
  <c r="BG40" i="2"/>
  <c r="BG41" i="2"/>
  <c r="BG42" i="2"/>
  <c r="BG43" i="2"/>
  <c r="BG44" i="2"/>
  <c r="BG45" i="2"/>
  <c r="BL45" i="2" s="1"/>
  <c r="BG46" i="2"/>
  <c r="BG47" i="2"/>
  <c r="BG48" i="2"/>
  <c r="BL48" i="2" s="1"/>
  <c r="BG49" i="2"/>
  <c r="BG50" i="2"/>
  <c r="BG51" i="2"/>
  <c r="BG52" i="2"/>
  <c r="BG53" i="2"/>
  <c r="BG54" i="2"/>
  <c r="BG55" i="2"/>
  <c r="BG56" i="2"/>
  <c r="BG57" i="2"/>
  <c r="BL57" i="2" s="1"/>
  <c r="BG58" i="2"/>
  <c r="BG59" i="2"/>
  <c r="BL59" i="2" s="1"/>
  <c r="BG60" i="2"/>
  <c r="BG61" i="2"/>
  <c r="BL61" i="2" s="1"/>
  <c r="BG62" i="2"/>
  <c r="BG63" i="2"/>
  <c r="BG64" i="2"/>
  <c r="BG65" i="2"/>
  <c r="BL65" i="2" s="1"/>
  <c r="BG66" i="2"/>
  <c r="BG67" i="2"/>
  <c r="BG68" i="2"/>
  <c r="BG69" i="2"/>
  <c r="BL69" i="2" s="1"/>
  <c r="BG70" i="2"/>
  <c r="BG71" i="2"/>
  <c r="BG72" i="2"/>
  <c r="BG73" i="2"/>
  <c r="BG74" i="2"/>
  <c r="BG75" i="2"/>
  <c r="BG76" i="2"/>
  <c r="BG77" i="2"/>
  <c r="BG78" i="2"/>
  <c r="BG79" i="2"/>
  <c r="BG80" i="2"/>
  <c r="BG81" i="2"/>
  <c r="BG82" i="2"/>
  <c r="BG83" i="2"/>
  <c r="BG84" i="2"/>
  <c r="BG85" i="2"/>
  <c r="BG86" i="2"/>
  <c r="BG87" i="2"/>
  <c r="BG88" i="2"/>
  <c r="BG89" i="2"/>
  <c r="BG90" i="2"/>
  <c r="BG91" i="2"/>
  <c r="BG92" i="2"/>
  <c r="BG93" i="2"/>
  <c r="BG94" i="2"/>
  <c r="BG95" i="2"/>
  <c r="BG96" i="2"/>
  <c r="BO23" i="42"/>
  <c r="BO24" i="42"/>
  <c r="BO25" i="42"/>
  <c r="BG25" i="42"/>
  <c r="BG23" i="42"/>
  <c r="BG24" i="42"/>
  <c r="BC8" i="2" l="1"/>
  <c r="BC9" i="2"/>
  <c r="BC10" i="2"/>
  <c r="BC12" i="2"/>
  <c r="BC13" i="2"/>
  <c r="BC14" i="2"/>
  <c r="BC16" i="2"/>
  <c r="BC17" i="2"/>
  <c r="BC18" i="2"/>
  <c r="BC19" i="2"/>
  <c r="BC20" i="2"/>
  <c r="BC21" i="2"/>
  <c r="BC22" i="2"/>
  <c r="BC23" i="2"/>
  <c r="BC24" i="2"/>
  <c r="BC25" i="2"/>
  <c r="BC26" i="2"/>
  <c r="BC27" i="2"/>
  <c r="BC28" i="2"/>
  <c r="BC29" i="2"/>
  <c r="BC30" i="2"/>
  <c r="BC31" i="2"/>
  <c r="BC33" i="2"/>
  <c r="BC34" i="2"/>
  <c r="BC35" i="2"/>
  <c r="BC36" i="2"/>
  <c r="BC37" i="2"/>
  <c r="BC38" i="2"/>
  <c r="BC39" i="2"/>
  <c r="BC40" i="2"/>
  <c r="BC41" i="2"/>
  <c r="BC42" i="2"/>
  <c r="BC43" i="2"/>
  <c r="BC45" i="2"/>
  <c r="BC46" i="2"/>
  <c r="BC47" i="2"/>
  <c r="BC48" i="2"/>
  <c r="BC49" i="2"/>
  <c r="BC50" i="2"/>
  <c r="BC51" i="2"/>
  <c r="BC52" i="2"/>
  <c r="BC53" i="2"/>
  <c r="BC54" i="2"/>
  <c r="BC55" i="2"/>
  <c r="BC56" i="2"/>
  <c r="BC57" i="2"/>
  <c r="BC58" i="2"/>
  <c r="BC59" i="2"/>
  <c r="BC60" i="2"/>
  <c r="BC61" i="2"/>
  <c r="BC62" i="2"/>
  <c r="BC63" i="2"/>
  <c r="BC64" i="2"/>
  <c r="BC66" i="2"/>
  <c r="BC67" i="2"/>
  <c r="BC68" i="2"/>
  <c r="BC70" i="2"/>
  <c r="BC71" i="2"/>
  <c r="BC72" i="2"/>
  <c r="BC73" i="2"/>
  <c r="BC74" i="2"/>
  <c r="BC75" i="2"/>
  <c r="BC76" i="2"/>
  <c r="BC79" i="2"/>
  <c r="BC80" i="2"/>
  <c r="BC81" i="2"/>
  <c r="BC82" i="2"/>
  <c r="BC83" i="2"/>
  <c r="BC84" i="2"/>
  <c r="BC85" i="2"/>
  <c r="BC86" i="2"/>
  <c r="BC87" i="2"/>
  <c r="BC88" i="2"/>
  <c r="BC89" i="2"/>
  <c r="BC90" i="2"/>
  <c r="BC91" i="2"/>
  <c r="BC92" i="2"/>
  <c r="BC93" i="2"/>
  <c r="BC94" i="2"/>
  <c r="BC95" i="2"/>
  <c r="BC96" i="2"/>
  <c r="BC97" i="2"/>
  <c r="BC98" i="2"/>
  <c r="BC99" i="2"/>
  <c r="BC100" i="2"/>
  <c r="BC101" i="2"/>
  <c r="BC102" i="2"/>
  <c r="BC103" i="2"/>
  <c r="BC104" i="2"/>
  <c r="BC105" i="2"/>
  <c r="AX7" i="2"/>
  <c r="BC7" i="2" s="1"/>
  <c r="AX8" i="2"/>
  <c r="AX9" i="2"/>
  <c r="AX10" i="2"/>
  <c r="AX11" i="2"/>
  <c r="BC11" i="2" s="1"/>
  <c r="AX12" i="2"/>
  <c r="AX13" i="2"/>
  <c r="AX14" i="2"/>
  <c r="AX15" i="2"/>
  <c r="BC15" i="2" s="1"/>
  <c r="AX16" i="2"/>
  <c r="AX17" i="2"/>
  <c r="AX18" i="2"/>
  <c r="AX19" i="2"/>
  <c r="AX20" i="2"/>
  <c r="AX21" i="2"/>
  <c r="AX22" i="2"/>
  <c r="AX23" i="2"/>
  <c r="AX24" i="2"/>
  <c r="AX25" i="2"/>
  <c r="AX26" i="2"/>
  <c r="AX27" i="2"/>
  <c r="AX28" i="2"/>
  <c r="AX29" i="2"/>
  <c r="AX30" i="2"/>
  <c r="AX31" i="2"/>
  <c r="AX32" i="2"/>
  <c r="BC32" i="2" s="1"/>
  <c r="AX33" i="2"/>
  <c r="AX34" i="2"/>
  <c r="AX35" i="2"/>
  <c r="AX36" i="2"/>
  <c r="AX37" i="2"/>
  <c r="AX38" i="2"/>
  <c r="AX39" i="2"/>
  <c r="AX40" i="2"/>
  <c r="AX41" i="2"/>
  <c r="AX42" i="2"/>
  <c r="AX43" i="2"/>
  <c r="AX44" i="2"/>
  <c r="BC44" i="2" s="1"/>
  <c r="AX45" i="2"/>
  <c r="AX46" i="2"/>
  <c r="AX47" i="2"/>
  <c r="AX48" i="2"/>
  <c r="AX49" i="2"/>
  <c r="AX50" i="2"/>
  <c r="AX51" i="2"/>
  <c r="AX52" i="2"/>
  <c r="AX53" i="2"/>
  <c r="AX54" i="2"/>
  <c r="AX55" i="2"/>
  <c r="AX56" i="2"/>
  <c r="AX57" i="2"/>
  <c r="AX58" i="2"/>
  <c r="AX59" i="2"/>
  <c r="AX60" i="2"/>
  <c r="AX61" i="2"/>
  <c r="AX62" i="2"/>
  <c r="AX63" i="2"/>
  <c r="AX64" i="2"/>
  <c r="AX65" i="2"/>
  <c r="BC65" i="2" s="1"/>
  <c r="AX66" i="2"/>
  <c r="AX67" i="2"/>
  <c r="AX68" i="2"/>
  <c r="AX69" i="2"/>
  <c r="BC69" i="2" s="1"/>
  <c r="AX70" i="2"/>
  <c r="AX71" i="2"/>
  <c r="AX72" i="2"/>
  <c r="AX73" i="2"/>
  <c r="AX74" i="2"/>
  <c r="AX75" i="2"/>
  <c r="AX76" i="2"/>
  <c r="AX77" i="2"/>
  <c r="BC77" i="2" s="1"/>
  <c r="AX78" i="2"/>
  <c r="BC78" i="2" s="1"/>
  <c r="AX79" i="2"/>
  <c r="AX80" i="2"/>
  <c r="AX81" i="2"/>
  <c r="AX82" i="2"/>
  <c r="AX83" i="2"/>
  <c r="AX84" i="2"/>
  <c r="AX85" i="2"/>
  <c r="AX86" i="2"/>
  <c r="AX87" i="2"/>
  <c r="AX88" i="2"/>
  <c r="AX89" i="2"/>
  <c r="AX90" i="2"/>
  <c r="AX91" i="2"/>
  <c r="AX92" i="2"/>
  <c r="AX93" i="2"/>
  <c r="AX94" i="2"/>
  <c r="AX95" i="2"/>
  <c r="AX96" i="2"/>
  <c r="AX97" i="2"/>
  <c r="AX98" i="2"/>
  <c r="AX99" i="2"/>
  <c r="AX100" i="2"/>
  <c r="AX101" i="2"/>
  <c r="AX102" i="2"/>
  <c r="AX103" i="2"/>
  <c r="AX104" i="2"/>
  <c r="AX105" i="2"/>
  <c r="BJ265" i="42"/>
  <c r="AD210" i="42"/>
  <c r="AD212" i="42"/>
  <c r="AD213" i="42"/>
  <c r="AD214" i="42"/>
  <c r="AD229" i="42"/>
  <c r="U238" i="42"/>
  <c r="X238" i="42"/>
  <c r="AA238" i="42"/>
  <c r="AD238" i="42"/>
  <c r="U239" i="42"/>
  <c r="X239" i="42"/>
  <c r="AA239" i="42"/>
  <c r="AD239" i="42"/>
  <c r="U240" i="42"/>
  <c r="X240" i="42"/>
  <c r="AA240" i="42"/>
  <c r="AD240" i="42"/>
  <c r="U241" i="42"/>
  <c r="X241" i="42"/>
  <c r="AA241" i="42"/>
  <c r="AD241" i="42"/>
  <c r="U242" i="42"/>
  <c r="X242" i="42"/>
  <c r="AA242" i="42"/>
  <c r="AD242" i="42"/>
  <c r="U243" i="42"/>
  <c r="X243" i="42"/>
  <c r="AA243" i="42"/>
  <c r="AD243" i="42"/>
  <c r="U244" i="42"/>
  <c r="X244" i="42"/>
  <c r="AA244" i="42"/>
  <c r="AD244" i="42"/>
  <c r="U245" i="42"/>
  <c r="X245" i="42"/>
  <c r="AA245" i="42"/>
  <c r="AD245" i="42"/>
  <c r="U246" i="42"/>
  <c r="X246" i="42"/>
  <c r="AA246" i="42"/>
  <c r="AD246" i="42"/>
  <c r="U247" i="42"/>
  <c r="X247" i="42"/>
  <c r="AA247" i="42"/>
  <c r="AD247" i="42"/>
  <c r="U248" i="42"/>
  <c r="X248" i="42"/>
  <c r="AA248" i="42"/>
  <c r="AD248" i="42"/>
  <c r="U249" i="42"/>
  <c r="X249" i="42"/>
  <c r="AA249" i="42"/>
  <c r="AD249" i="42"/>
  <c r="U250" i="42"/>
  <c r="X250" i="42"/>
  <c r="AA250" i="42"/>
  <c r="AD250" i="42"/>
  <c r="U251" i="42"/>
  <c r="X251" i="42"/>
  <c r="AA251" i="42"/>
  <c r="AD251" i="42"/>
  <c r="U252" i="42"/>
  <c r="X252" i="42"/>
  <c r="AA252" i="42"/>
  <c r="AD252" i="42"/>
  <c r="U253" i="42"/>
  <c r="X253" i="42"/>
  <c r="AA253" i="42"/>
  <c r="AD253" i="42"/>
  <c r="U254" i="42"/>
  <c r="X254" i="42"/>
  <c r="AA254" i="42"/>
  <c r="AD254" i="42"/>
  <c r="U255" i="42"/>
  <c r="X255" i="42"/>
  <c r="AA255" i="42"/>
  <c r="AD255" i="42"/>
  <c r="U258" i="42"/>
  <c r="X258" i="42"/>
  <c r="AA258" i="42"/>
  <c r="AD258" i="42"/>
  <c r="U259" i="42"/>
  <c r="X259" i="42"/>
  <c r="AA259" i="42"/>
  <c r="AD259" i="42"/>
  <c r="U260" i="42"/>
  <c r="X260" i="42"/>
  <c r="AA260" i="42"/>
  <c r="AD260" i="42"/>
  <c r="U261" i="42"/>
  <c r="X261" i="42"/>
  <c r="AA261" i="42"/>
  <c r="AD261" i="42"/>
  <c r="U262" i="42"/>
  <c r="X262" i="42"/>
  <c r="AA262" i="42"/>
  <c r="AD262" i="42"/>
  <c r="U263" i="42"/>
  <c r="X263" i="42"/>
  <c r="AA263" i="42"/>
  <c r="AD263" i="42"/>
  <c r="U264" i="42"/>
  <c r="X264" i="42"/>
  <c r="AA264" i="42"/>
  <c r="AD264" i="42"/>
  <c r="U265" i="42"/>
  <c r="X265" i="42"/>
  <c r="AA265" i="42"/>
  <c r="AD265" i="42"/>
  <c r="K234" i="42"/>
  <c r="K235" i="42"/>
  <c r="K236" i="42"/>
  <c r="K237" i="42"/>
  <c r="K238" i="42"/>
  <c r="K239" i="42"/>
  <c r="K240" i="42"/>
  <c r="K241" i="42"/>
  <c r="K242" i="42"/>
  <c r="K243" i="42"/>
  <c r="K244" i="42"/>
  <c r="K245" i="42"/>
  <c r="K246" i="42"/>
  <c r="K247" i="42"/>
  <c r="K248" i="42"/>
  <c r="K249" i="42"/>
  <c r="K250" i="42"/>
  <c r="K251" i="42"/>
  <c r="K252" i="42"/>
  <c r="K253" i="42"/>
  <c r="K254" i="42"/>
  <c r="K255" i="42"/>
  <c r="K258" i="42"/>
  <c r="K259" i="42"/>
  <c r="K260" i="42"/>
  <c r="K261" i="42"/>
  <c r="K262" i="42"/>
  <c r="K263" i="42"/>
  <c r="K264" i="42"/>
  <c r="K265" i="42"/>
  <c r="AD172" i="42"/>
  <c r="AD174" i="42"/>
  <c r="AD176" i="42"/>
  <c r="AD189" i="42"/>
  <c r="AD192" i="42"/>
  <c r="AD194" i="42"/>
  <c r="AD197" i="42"/>
  <c r="AD203" i="42"/>
  <c r="AD205" i="42"/>
  <c r="AD206" i="42"/>
  <c r="AD207" i="42"/>
  <c r="AD162" i="42"/>
  <c r="A254" i="42"/>
  <c r="A255" i="42"/>
  <c r="A207" i="42"/>
  <c r="A206" i="42"/>
  <c r="A262" i="42"/>
  <c r="A263" i="42"/>
  <c r="A264" i="42"/>
  <c r="A265" i="42"/>
  <c r="A246" i="42"/>
  <c r="A247" i="42"/>
  <c r="A248" i="42"/>
  <c r="A249" i="42"/>
  <c r="A250" i="42"/>
  <c r="A251" i="42"/>
  <c r="A252" i="42"/>
  <c r="A253" i="42"/>
  <c r="A258" i="42"/>
  <c r="A259" i="42"/>
  <c r="A260" i="42"/>
  <c r="A261" i="42"/>
  <c r="A236" i="42"/>
  <c r="A237" i="42"/>
  <c r="A238" i="42"/>
  <c r="A239" i="42"/>
  <c r="A240" i="42"/>
  <c r="A241" i="42"/>
  <c r="A242" i="42"/>
  <c r="A243" i="42"/>
  <c r="A244" i="42"/>
  <c r="A245" i="42"/>
  <c r="A163" i="42"/>
  <c r="A164" i="42"/>
  <c r="A165" i="42"/>
  <c r="A166" i="42"/>
  <c r="A167" i="42"/>
  <c r="A168" i="42"/>
  <c r="A169" i="42"/>
  <c r="A170" i="42"/>
  <c r="A171" i="42"/>
  <c r="A172" i="42"/>
  <c r="A173" i="42"/>
  <c r="A174" i="42"/>
  <c r="A175" i="42"/>
  <c r="A176" i="42"/>
  <c r="A177" i="42"/>
  <c r="A178" i="42"/>
  <c r="A179" i="42"/>
  <c r="A180" i="42"/>
  <c r="A181" i="42"/>
  <c r="A182" i="42"/>
  <c r="A183" i="42"/>
  <c r="A184" i="42"/>
  <c r="A185" i="42"/>
  <c r="A186" i="42"/>
  <c r="A187" i="42"/>
  <c r="A188" i="42"/>
  <c r="A189" i="42"/>
  <c r="A190" i="42"/>
  <c r="A191" i="42"/>
  <c r="A192" i="42"/>
  <c r="A193" i="42"/>
  <c r="A194" i="42"/>
  <c r="A195" i="42"/>
  <c r="A196" i="42"/>
  <c r="A197" i="42"/>
  <c r="A198" i="42"/>
  <c r="A199" i="42"/>
  <c r="A200" i="42"/>
  <c r="A201" i="42"/>
  <c r="A202" i="42"/>
  <c r="A203" i="42"/>
  <c r="A204" i="42"/>
  <c r="A205" i="42"/>
  <c r="A210" i="42"/>
  <c r="A211" i="42"/>
  <c r="A212" i="42"/>
  <c r="A213" i="42"/>
  <c r="A214" i="42"/>
  <c r="A215" i="42"/>
  <c r="A216" i="42"/>
  <c r="A217" i="42"/>
  <c r="A218" i="42"/>
  <c r="A219" i="42"/>
  <c r="A220" i="42"/>
  <c r="A221" i="42"/>
  <c r="A222" i="42"/>
  <c r="A223" i="42"/>
  <c r="A224" i="42"/>
  <c r="A225" i="42"/>
  <c r="A226" i="42"/>
  <c r="A227" i="42"/>
  <c r="A228" i="42"/>
  <c r="A229" i="42"/>
  <c r="A230" i="42"/>
  <c r="A231" i="42"/>
  <c r="A232" i="42"/>
  <c r="A233" i="42"/>
  <c r="A234" i="42"/>
  <c r="A235" i="42"/>
  <c r="A162" i="42"/>
  <c r="BO11" i="42" l="1"/>
  <c r="BO12" i="42"/>
  <c r="BO13" i="42"/>
  <c r="BO14" i="42"/>
  <c r="BO15" i="42"/>
  <c r="BO16" i="42"/>
  <c r="BO17" i="42"/>
  <c r="BO18" i="42"/>
  <c r="BO19" i="42"/>
  <c r="BO20" i="42"/>
  <c r="BO21" i="42"/>
  <c r="BO22" i="42"/>
  <c r="BG11" i="42"/>
  <c r="BG12" i="42"/>
  <c r="BG13" i="42"/>
  <c r="BG14" i="42"/>
  <c r="BG15" i="42"/>
  <c r="BG16" i="42"/>
  <c r="BG17" i="42"/>
  <c r="BG18" i="42"/>
  <c r="BG19" i="42"/>
  <c r="BG20" i="42"/>
  <c r="BG21" i="42"/>
  <c r="BG22" i="42"/>
  <c r="BO10" i="42"/>
  <c r="BG10" i="4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J16" i="22"/>
  <c r="J18" i="22"/>
  <c r="J20" i="22"/>
  <c r="J33" i="22"/>
  <c r="J36" i="22"/>
  <c r="J38" i="22"/>
  <c r="J41" i="22"/>
  <c r="J47" i="22"/>
  <c r="J49" i="22"/>
  <c r="J50" i="22"/>
  <c r="J51" i="22"/>
  <c r="J52" i="22"/>
  <c r="J54" i="22"/>
  <c r="J55" i="22"/>
  <c r="J56" i="22"/>
  <c r="J71" i="22"/>
  <c r="J80" i="22"/>
  <c r="J81" i="22"/>
  <c r="J82" i="22"/>
  <c r="J83" i="22"/>
  <c r="J84" i="22"/>
  <c r="J85" i="22"/>
  <c r="J86" i="22"/>
  <c r="J87" i="22"/>
  <c r="J88" i="22"/>
  <c r="J89" i="22"/>
  <c r="J90" i="22"/>
  <c r="J91" i="22"/>
  <c r="J92" i="22"/>
  <c r="J93" i="22"/>
  <c r="J94" i="22"/>
  <c r="J95" i="22"/>
  <c r="J96" i="22"/>
  <c r="J97" i="22"/>
  <c r="J98" i="22"/>
  <c r="J99" i="22"/>
  <c r="J100" i="22"/>
  <c r="J101" i="22"/>
  <c r="J102" i="22"/>
  <c r="J103" i="22"/>
  <c r="J104" i="22"/>
  <c r="J105" i="22"/>
  <c r="H7" i="22"/>
  <c r="H8" i="22"/>
  <c r="H9" i="22"/>
  <c r="H10" i="22"/>
  <c r="H11" i="22"/>
  <c r="H12" i="22"/>
  <c r="H13" i="22"/>
  <c r="H14" i="22"/>
  <c r="H15" i="22"/>
  <c r="H16" i="22"/>
  <c r="H17" i="22"/>
  <c r="H18" i="22"/>
  <c r="H19" i="22"/>
  <c r="H20" i="22"/>
  <c r="H21" i="22"/>
  <c r="H22" i="22"/>
  <c r="H23" i="22"/>
  <c r="H24" i="22"/>
  <c r="H25" i="22"/>
  <c r="H26" i="22"/>
  <c r="J6" i="22"/>
  <c r="H6" i="22"/>
  <c r="C6" i="22"/>
  <c r="C16" i="22"/>
  <c r="C18" i="22"/>
  <c r="C20" i="22"/>
  <c r="C33" i="22"/>
  <c r="C36" i="22"/>
  <c r="C38" i="22"/>
  <c r="C41" i="22"/>
  <c r="C47" i="22"/>
  <c r="C49" i="22"/>
  <c r="C50" i="22"/>
  <c r="C51" i="22"/>
  <c r="C52" i="22"/>
  <c r="C54" i="22"/>
  <c r="C55" i="22"/>
  <c r="C56" i="22"/>
  <c r="C71" i="22"/>
  <c r="AT7" i="2"/>
  <c r="AT9" i="2"/>
  <c r="AT10" i="2"/>
  <c r="AT11" i="2"/>
  <c r="AT12" i="2"/>
  <c r="QY12" i="2" s="1"/>
  <c r="G168" i="42" s="1"/>
  <c r="AT13" i="2"/>
  <c r="QY13" i="2" s="1"/>
  <c r="G169" i="42" s="1"/>
  <c r="AT17" i="2"/>
  <c r="AT18" i="2"/>
  <c r="AT19" i="2"/>
  <c r="AT20" i="2"/>
  <c r="AT21" i="2"/>
  <c r="AT22" i="2"/>
  <c r="AT23" i="2"/>
  <c r="AT25" i="2"/>
  <c r="AT27" i="2"/>
  <c r="AT28" i="2"/>
  <c r="AT29" i="2"/>
  <c r="QY29" i="2" s="1"/>
  <c r="I29" i="22" s="1"/>
  <c r="K29" i="22" s="1"/>
  <c r="AT30" i="2"/>
  <c r="AT31" i="2"/>
  <c r="AT33" i="2"/>
  <c r="AT34" i="2"/>
  <c r="AT36" i="2"/>
  <c r="AT37" i="2"/>
  <c r="AT38" i="2"/>
  <c r="AT40" i="2"/>
  <c r="AT41" i="2"/>
  <c r="AT42" i="2"/>
  <c r="AT43" i="2"/>
  <c r="AT44" i="2"/>
  <c r="AT47" i="2"/>
  <c r="AT48" i="2"/>
  <c r="AT49" i="2"/>
  <c r="AT50" i="2"/>
  <c r="AT51" i="2"/>
  <c r="AT52" i="2"/>
  <c r="AT53" i="2"/>
  <c r="AT54" i="2"/>
  <c r="AT55" i="2"/>
  <c r="AT56" i="2"/>
  <c r="QY56" i="2" s="1"/>
  <c r="AT57" i="2"/>
  <c r="AT58" i="2"/>
  <c r="AT59" i="2"/>
  <c r="AT60" i="2"/>
  <c r="QY60" i="2" s="1"/>
  <c r="G218" i="42" s="1"/>
  <c r="AT64" i="2"/>
  <c r="AT65" i="2"/>
  <c r="AT66" i="2"/>
  <c r="AT67" i="2"/>
  <c r="AT68" i="2"/>
  <c r="AT70" i="2"/>
  <c r="AT71" i="2"/>
  <c r="AT72" i="2"/>
  <c r="AT74" i="2"/>
  <c r="AT75" i="2"/>
  <c r="AT76"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O7" i="2"/>
  <c r="AO8" i="2"/>
  <c r="AT8" i="2" s="1"/>
  <c r="AO9" i="2"/>
  <c r="RC9" i="2" s="1"/>
  <c r="AX165" i="42" s="1"/>
  <c r="AO10" i="2"/>
  <c r="AO11" i="2"/>
  <c r="RF11" i="2" s="1"/>
  <c r="BB167" i="42" s="1"/>
  <c r="AO12" i="2"/>
  <c r="RC12" i="2" s="1"/>
  <c r="AX168" i="42" s="1"/>
  <c r="AO13" i="2"/>
  <c r="RC13" i="2" s="1"/>
  <c r="AX169" i="42" s="1"/>
  <c r="AO14" i="2"/>
  <c r="AT14" i="2" s="1"/>
  <c r="AO15" i="2"/>
  <c r="RF15" i="2" s="1"/>
  <c r="BB171" i="42" s="1"/>
  <c r="AO16" i="2"/>
  <c r="RF16" i="2" s="1"/>
  <c r="BB172" i="42" s="1"/>
  <c r="AO17" i="2"/>
  <c r="AO18" i="2"/>
  <c r="AO19" i="2"/>
  <c r="AO20" i="2"/>
  <c r="AO21" i="2"/>
  <c r="AO22" i="2"/>
  <c r="AO23" i="2"/>
  <c r="RF23" i="2" s="1"/>
  <c r="BB179" i="42" s="1"/>
  <c r="AO24" i="2"/>
  <c r="RC24" i="2" s="1"/>
  <c r="AX180" i="42" s="1"/>
  <c r="AO25" i="2"/>
  <c r="RF25" i="2" s="1"/>
  <c r="BB181" i="42" s="1"/>
  <c r="AO26" i="2"/>
  <c r="RF26" i="2" s="1"/>
  <c r="BB182" i="42" s="1"/>
  <c r="AO27" i="2"/>
  <c r="AO28" i="2"/>
  <c r="AO29" i="2"/>
  <c r="AO30" i="2"/>
  <c r="AO31" i="2"/>
  <c r="RF31" i="2" s="1"/>
  <c r="BB187" i="42" s="1"/>
  <c r="AO32" i="2"/>
  <c r="RF32" i="2" s="1"/>
  <c r="BB188" i="42" s="1"/>
  <c r="AO33" i="2"/>
  <c r="AO34" i="2"/>
  <c r="RF34" i="2" s="1"/>
  <c r="BB190" i="42" s="1"/>
  <c r="AO35" i="2"/>
  <c r="AT35" i="2" s="1"/>
  <c r="AO36" i="2"/>
  <c r="RF36" i="2" s="1"/>
  <c r="BB192" i="42" s="1"/>
  <c r="AO37" i="2"/>
  <c r="AO38" i="2"/>
  <c r="RC38" i="2" s="1"/>
  <c r="AX194" i="42" s="1"/>
  <c r="AO39" i="2"/>
  <c r="AT39" i="2" s="1"/>
  <c r="AO40" i="2"/>
  <c r="AO41" i="2"/>
  <c r="RC41" i="2" s="1"/>
  <c r="AX197" i="42" s="1"/>
  <c r="AO42" i="2"/>
  <c r="RF42" i="2" s="1"/>
  <c r="BB198" i="42" s="1"/>
  <c r="AO43" i="2"/>
  <c r="AO44" i="2"/>
  <c r="AO45" i="2"/>
  <c r="RC45" i="2" s="1"/>
  <c r="AX201" i="42" s="1"/>
  <c r="AO46" i="2"/>
  <c r="RC46" i="2" s="1"/>
  <c r="AX202" i="42" s="1"/>
  <c r="AO47" i="2"/>
  <c r="RC47" i="2" s="1"/>
  <c r="AX203" i="42" s="1"/>
  <c r="AO48" i="2"/>
  <c r="AO49" i="2"/>
  <c r="RF49" i="2" s="1"/>
  <c r="BB205" i="42" s="1"/>
  <c r="AO50" i="2"/>
  <c r="AO51" i="2"/>
  <c r="AO52" i="2"/>
  <c r="AO53" i="2"/>
  <c r="AO54" i="2"/>
  <c r="RC54" i="2" s="1"/>
  <c r="AX212" i="42" s="1"/>
  <c r="AO55" i="2"/>
  <c r="RF55" i="2" s="1"/>
  <c r="BB213" i="42" s="1"/>
  <c r="AO56" i="2"/>
  <c r="AO57" i="2"/>
  <c r="AO58" i="2"/>
  <c r="RC58" i="2" s="1"/>
  <c r="AX216" i="42" s="1"/>
  <c r="AO59" i="2"/>
  <c r="AO60" i="2"/>
  <c r="RC60" i="2" s="1"/>
  <c r="AX218" i="42" s="1"/>
  <c r="AO61" i="2"/>
  <c r="AT61" i="2" s="1"/>
  <c r="AO62" i="2"/>
  <c r="RC62" i="2" s="1"/>
  <c r="AX220" i="42" s="1"/>
  <c r="AO63" i="2"/>
  <c r="AT63" i="2" s="1"/>
  <c r="AO64" i="2"/>
  <c r="RC64" i="2" s="1"/>
  <c r="AX222" i="42" s="1"/>
  <c r="AO65" i="2"/>
  <c r="AO66" i="2"/>
  <c r="AO67" i="2"/>
  <c r="AO68" i="2"/>
  <c r="AO69" i="2"/>
  <c r="AT69" i="2" s="1"/>
  <c r="AO70" i="2"/>
  <c r="RF70" i="2" s="1"/>
  <c r="BB228" i="42" s="1"/>
  <c r="AO71" i="2"/>
  <c r="RF71" i="2" s="1"/>
  <c r="BB229" i="42" s="1"/>
  <c r="AO72" i="2"/>
  <c r="AO73" i="2"/>
  <c r="AT73" i="2" s="1"/>
  <c r="QY73" i="2" s="1"/>
  <c r="G231" i="42" s="1"/>
  <c r="N231" i="42" s="1"/>
  <c r="AO74" i="2"/>
  <c r="AO75" i="2"/>
  <c r="AO76" i="2"/>
  <c r="AO77" i="2"/>
  <c r="RC77" i="2" s="1"/>
  <c r="AX235" i="42" s="1"/>
  <c r="AO78" i="2"/>
  <c r="AO79" i="2"/>
  <c r="RC79" i="2" s="1"/>
  <c r="AX237" i="42" s="1"/>
  <c r="AO80" i="2"/>
  <c r="RC80" i="2" s="1"/>
  <c r="AX238" i="42" s="1"/>
  <c r="AO81" i="2"/>
  <c r="RC81" i="2" s="1"/>
  <c r="AX239" i="42" s="1"/>
  <c r="AO82" i="2"/>
  <c r="RC82" i="2" s="1"/>
  <c r="AX240" i="42" s="1"/>
  <c r="AO83" i="2"/>
  <c r="AO84" i="2"/>
  <c r="AO85" i="2"/>
  <c r="AO86" i="2"/>
  <c r="AO87" i="2"/>
  <c r="AO88" i="2"/>
  <c r="AO89" i="2"/>
  <c r="RC89" i="2" s="1"/>
  <c r="AX247" i="42" s="1"/>
  <c r="AO90" i="2"/>
  <c r="RC90" i="2" s="1"/>
  <c r="AX248" i="42" s="1"/>
  <c r="AO91" i="2"/>
  <c r="RF91" i="2" s="1"/>
  <c r="BB249" i="42" s="1"/>
  <c r="AO92" i="2"/>
  <c r="RF92" i="2" s="1"/>
  <c r="BB250" i="42" s="1"/>
  <c r="AO93" i="2"/>
  <c r="RF93" i="2" s="1"/>
  <c r="BB251" i="42" s="1"/>
  <c r="AO94" i="2"/>
  <c r="AO95" i="2"/>
  <c r="AO96" i="2"/>
  <c r="AO97" i="2"/>
  <c r="AO98" i="2"/>
  <c r="AO99" i="2"/>
  <c r="AO100" i="2"/>
  <c r="RC100" i="2" s="1"/>
  <c r="AX260" i="42" s="1"/>
  <c r="AO101" i="2"/>
  <c r="AO102" i="2"/>
  <c r="RC102" i="2" s="1"/>
  <c r="AX262" i="42" s="1"/>
  <c r="AO103" i="2"/>
  <c r="AO104" i="2"/>
  <c r="RF104" i="2" s="1"/>
  <c r="BB264" i="42" s="1"/>
  <c r="AO105" i="2"/>
  <c r="AK7" i="2"/>
  <c r="QY7" i="2" s="1"/>
  <c r="G163" i="42" s="1"/>
  <c r="AK9" i="2"/>
  <c r="AK10" i="2"/>
  <c r="AK11" i="2"/>
  <c r="AK12" i="2"/>
  <c r="AK13" i="2"/>
  <c r="AK16" i="2"/>
  <c r="AK17" i="2"/>
  <c r="AK18" i="2"/>
  <c r="AK19" i="2"/>
  <c r="AK20" i="2"/>
  <c r="AK21" i="2"/>
  <c r="AK22" i="2"/>
  <c r="AK23" i="2"/>
  <c r="AK24" i="2"/>
  <c r="AK25" i="2"/>
  <c r="AK26" i="2"/>
  <c r="AK27" i="2"/>
  <c r="AK28" i="2"/>
  <c r="AK29" i="2"/>
  <c r="AK30" i="2"/>
  <c r="AK32" i="2"/>
  <c r="AK33" i="2"/>
  <c r="QY33" i="2" s="1"/>
  <c r="AK34" i="2"/>
  <c r="QY34" i="2" s="1"/>
  <c r="AK35" i="2"/>
  <c r="AK36" i="2"/>
  <c r="AK38" i="2"/>
  <c r="AK39" i="2"/>
  <c r="AK40" i="2"/>
  <c r="AK41" i="2"/>
  <c r="AK42" i="2"/>
  <c r="AK43" i="2"/>
  <c r="AK44" i="2"/>
  <c r="AK45" i="2"/>
  <c r="AK46" i="2"/>
  <c r="AK47" i="2"/>
  <c r="AK48" i="2"/>
  <c r="AK49" i="2"/>
  <c r="AK50" i="2"/>
  <c r="AK51" i="2"/>
  <c r="QY51" i="2" s="1"/>
  <c r="G207" i="42" s="1"/>
  <c r="AT207" i="42" s="1"/>
  <c r="AK52" i="2"/>
  <c r="AK53" i="2"/>
  <c r="AK54" i="2"/>
  <c r="AK55" i="2"/>
  <c r="AK56" i="2"/>
  <c r="AK57" i="2"/>
  <c r="QY57" i="2" s="1"/>
  <c r="AK58" i="2"/>
  <c r="QY58" i="2" s="1"/>
  <c r="AK60" i="2"/>
  <c r="AK62" i="2"/>
  <c r="AK63" i="2"/>
  <c r="AK64" i="2"/>
  <c r="AK66" i="2"/>
  <c r="AK69" i="2"/>
  <c r="AK70" i="2"/>
  <c r="AK71" i="2"/>
  <c r="AK72" i="2"/>
  <c r="AK73" i="2"/>
  <c r="AK74" i="2"/>
  <c r="AK77" i="2"/>
  <c r="AK78" i="2"/>
  <c r="QY78" i="2" s="1"/>
  <c r="G236" i="42" s="1"/>
  <c r="AK79" i="2"/>
  <c r="QY79" i="2" s="1"/>
  <c r="G237" i="42" s="1"/>
  <c r="N237" i="42" s="1"/>
  <c r="AH237" i="42" s="1"/>
  <c r="AK80" i="2"/>
  <c r="QY80" i="2" s="1"/>
  <c r="AK81" i="2"/>
  <c r="AK82" i="2"/>
  <c r="AK83" i="2"/>
  <c r="AK84" i="2"/>
  <c r="AK85" i="2"/>
  <c r="AK86" i="2"/>
  <c r="AK87" i="2"/>
  <c r="AK88" i="2"/>
  <c r="AK89" i="2"/>
  <c r="AK90" i="2"/>
  <c r="AK91" i="2"/>
  <c r="AK92" i="2"/>
  <c r="AK93" i="2"/>
  <c r="AK94" i="2"/>
  <c r="AK95" i="2"/>
  <c r="AK96" i="2"/>
  <c r="AK97" i="2"/>
  <c r="AK98" i="2"/>
  <c r="AK99" i="2"/>
  <c r="QY99" i="2" s="1"/>
  <c r="AK100" i="2"/>
  <c r="QY100" i="2" s="1"/>
  <c r="AK101" i="2"/>
  <c r="QY101" i="2" s="1"/>
  <c r="G261" i="42" s="1"/>
  <c r="AT261" i="42" s="1"/>
  <c r="AK102" i="2"/>
  <c r="QY102" i="2" s="1"/>
  <c r="AK103" i="2"/>
  <c r="AK104" i="2"/>
  <c r="AK105" i="2"/>
  <c r="AF7" i="2"/>
  <c r="AF8" i="2"/>
  <c r="AK8" i="2" s="1"/>
  <c r="AF9" i="2"/>
  <c r="AF10" i="2"/>
  <c r="AF11" i="2"/>
  <c r="RC11" i="2" s="1"/>
  <c r="AX167" i="42" s="1"/>
  <c r="AF12" i="2"/>
  <c r="AF13" i="2"/>
  <c r="RF13" i="2" s="1"/>
  <c r="BB169" i="42" s="1"/>
  <c r="AF14" i="2"/>
  <c r="AK14" i="2" s="1"/>
  <c r="AF15" i="2"/>
  <c r="AK15" i="2" s="1"/>
  <c r="AF16" i="2"/>
  <c r="AF17" i="2"/>
  <c r="AF18" i="2"/>
  <c r="AF19" i="2"/>
  <c r="AF20" i="2"/>
  <c r="AF21" i="2"/>
  <c r="AF22" i="2"/>
  <c r="AF23" i="2"/>
  <c r="AF24" i="2"/>
  <c r="AF25" i="2"/>
  <c r="AF26" i="2"/>
  <c r="AF27" i="2"/>
  <c r="AF28" i="2"/>
  <c r="AF29" i="2"/>
  <c r="RC29" i="2" s="1"/>
  <c r="AX185" i="42" s="1"/>
  <c r="AF30" i="2"/>
  <c r="RC30" i="2" s="1"/>
  <c r="AX186" i="42" s="1"/>
  <c r="AF31" i="2"/>
  <c r="AK31" i="2" s="1"/>
  <c r="AF32" i="2"/>
  <c r="AF33" i="2"/>
  <c r="RC33" i="2" s="1"/>
  <c r="AX189" i="42" s="1"/>
  <c r="AF34" i="2"/>
  <c r="AF35" i="2"/>
  <c r="AF36" i="2"/>
  <c r="AF37" i="2"/>
  <c r="RC37" i="2" s="1"/>
  <c r="AX193" i="42" s="1"/>
  <c r="AF38" i="2"/>
  <c r="AF39" i="2"/>
  <c r="AF40" i="2"/>
  <c r="AF41" i="2"/>
  <c r="AF42" i="2"/>
  <c r="AF43" i="2"/>
  <c r="AF44" i="2"/>
  <c r="AF45" i="2"/>
  <c r="AF46" i="2"/>
  <c r="AF47" i="2"/>
  <c r="AF48" i="2"/>
  <c r="AF49" i="2"/>
  <c r="AF50" i="2"/>
  <c r="AF51" i="2"/>
  <c r="RC51" i="2" s="1"/>
  <c r="AX207" i="42" s="1"/>
  <c r="AF52" i="2"/>
  <c r="AF53" i="2"/>
  <c r="AF54" i="2"/>
  <c r="AF55" i="2"/>
  <c r="AF56" i="2"/>
  <c r="AF57" i="2"/>
  <c r="RF57" i="2" s="1"/>
  <c r="BB215" i="42" s="1"/>
  <c r="AF58" i="2"/>
  <c r="AF59" i="2"/>
  <c r="RC59" i="2" s="1"/>
  <c r="AX217" i="42" s="1"/>
  <c r="AF60" i="2"/>
  <c r="AF61" i="2"/>
  <c r="AF62" i="2"/>
  <c r="AF63" i="2"/>
  <c r="AF64" i="2"/>
  <c r="AF65" i="2"/>
  <c r="AF66" i="2"/>
  <c r="AF67" i="2"/>
  <c r="AK67" i="2" s="1"/>
  <c r="AF68" i="2"/>
  <c r="AK68" i="2" s="1"/>
  <c r="AF69" i="2"/>
  <c r="AF70" i="2"/>
  <c r="AF71" i="2"/>
  <c r="AF72" i="2"/>
  <c r="AF73" i="2"/>
  <c r="AF74" i="2"/>
  <c r="RC74" i="2" s="1"/>
  <c r="AX232" i="42" s="1"/>
  <c r="AF75" i="2"/>
  <c r="RF75" i="2" s="1"/>
  <c r="BB233" i="42" s="1"/>
  <c r="AF76" i="2"/>
  <c r="RC76" i="2" s="1"/>
  <c r="AX234" i="42" s="1"/>
  <c r="AF77" i="2"/>
  <c r="AF78" i="2"/>
  <c r="AF79" i="2"/>
  <c r="RF79" i="2" s="1"/>
  <c r="BB237" i="42" s="1"/>
  <c r="AF80" i="2"/>
  <c r="AF81" i="2"/>
  <c r="AF82" i="2"/>
  <c r="AF83" i="2"/>
  <c r="RC83" i="2" s="1"/>
  <c r="AX241" i="42" s="1"/>
  <c r="AF84" i="2"/>
  <c r="AF85" i="2"/>
  <c r="AF86" i="2"/>
  <c r="AF87" i="2"/>
  <c r="AF88" i="2"/>
  <c r="AF89" i="2"/>
  <c r="AF90" i="2"/>
  <c r="AF91" i="2"/>
  <c r="AF92" i="2"/>
  <c r="AF93" i="2"/>
  <c r="AF94" i="2"/>
  <c r="AF95" i="2"/>
  <c r="RC95" i="2" s="1"/>
  <c r="AX253" i="42" s="1"/>
  <c r="AF96" i="2"/>
  <c r="RC96" i="2" s="1"/>
  <c r="AX254" i="42" s="1"/>
  <c r="AF97" i="2"/>
  <c r="AF98" i="2"/>
  <c r="AF99" i="2"/>
  <c r="AF100" i="2"/>
  <c r="AF101" i="2"/>
  <c r="RF101" i="2" s="1"/>
  <c r="BB261" i="42" s="1"/>
  <c r="AF102" i="2"/>
  <c r="AF103" i="2"/>
  <c r="AF104" i="2"/>
  <c r="AF105" i="2"/>
  <c r="RC105" i="2" s="1"/>
  <c r="AX265" i="42" s="1"/>
  <c r="AB7" i="2"/>
  <c r="AB8" i="2"/>
  <c r="AB9" i="2"/>
  <c r="AB10" i="2"/>
  <c r="AB11" i="2"/>
  <c r="AB12" i="2"/>
  <c r="AB13" i="2"/>
  <c r="AB14" i="2"/>
  <c r="AB15" i="2"/>
  <c r="AB16" i="2"/>
  <c r="AB17" i="2"/>
  <c r="QY17" i="2" s="1"/>
  <c r="G173" i="42" s="1"/>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60" i="2"/>
  <c r="AB61" i="2"/>
  <c r="AB62" i="2"/>
  <c r="AB63" i="2"/>
  <c r="AB64" i="2"/>
  <c r="AB65" i="2"/>
  <c r="AB66" i="2"/>
  <c r="AB68" i="2"/>
  <c r="AB69" i="2"/>
  <c r="AB70" i="2"/>
  <c r="AB71" i="2"/>
  <c r="AB72" i="2"/>
  <c r="AB73" i="2"/>
  <c r="AB74" i="2"/>
  <c r="AB75" i="2"/>
  <c r="AB76" i="2"/>
  <c r="AB77" i="2"/>
  <c r="AB78" i="2"/>
  <c r="AB79" i="2"/>
  <c r="AB80" i="2"/>
  <c r="AB81" i="2"/>
  <c r="AB82" i="2"/>
  <c r="AB83" i="2"/>
  <c r="QY83" i="2" s="1"/>
  <c r="G241" i="42" s="1"/>
  <c r="AT241" i="42" s="1"/>
  <c r="AB84" i="2"/>
  <c r="AB85" i="2"/>
  <c r="AB86" i="2"/>
  <c r="AB87" i="2"/>
  <c r="AB88" i="2"/>
  <c r="AB89" i="2"/>
  <c r="AB90" i="2"/>
  <c r="AB91" i="2"/>
  <c r="AB92" i="2"/>
  <c r="AB93" i="2"/>
  <c r="AB94" i="2"/>
  <c r="AB95" i="2"/>
  <c r="AB96" i="2"/>
  <c r="AB97" i="2"/>
  <c r="AB98" i="2"/>
  <c r="AB99" i="2"/>
  <c r="AB100" i="2"/>
  <c r="AB101" i="2"/>
  <c r="AB102" i="2"/>
  <c r="AB103" i="2"/>
  <c r="AB104" i="2"/>
  <c r="AB105" i="2"/>
  <c r="QY105" i="2" s="1"/>
  <c r="G265" i="42" s="1"/>
  <c r="AT265" i="42" s="1"/>
  <c r="W7" i="2"/>
  <c r="W8" i="2"/>
  <c r="W9" i="2"/>
  <c r="W10" i="2"/>
  <c r="W11" i="2"/>
  <c r="W12" i="2"/>
  <c r="W13" i="2"/>
  <c r="RH13" i="2" s="1"/>
  <c r="BJ169" i="42" s="1"/>
  <c r="W14" i="2"/>
  <c r="W15" i="2"/>
  <c r="RH15" i="2" s="1"/>
  <c r="BJ171" i="42" s="1"/>
  <c r="W16" i="2"/>
  <c r="W17" i="2"/>
  <c r="RI17" i="2" s="1"/>
  <c r="W18" i="2"/>
  <c r="W19" i="2"/>
  <c r="W20" i="2"/>
  <c r="W21" i="2"/>
  <c r="RI21" i="2" s="1"/>
  <c r="W22" i="2"/>
  <c r="W23" i="2"/>
  <c r="RH23" i="2" s="1"/>
  <c r="BJ179" i="42" s="1"/>
  <c r="W24" i="2"/>
  <c r="RH24" i="2" s="1"/>
  <c r="BJ180" i="42" s="1"/>
  <c r="W25" i="2"/>
  <c r="W26" i="2"/>
  <c r="W27" i="2"/>
  <c r="W28" i="2"/>
  <c r="W29" i="2"/>
  <c r="W30" i="2"/>
  <c r="W31" i="2"/>
  <c r="W32" i="2"/>
  <c r="W33" i="2"/>
  <c r="W34" i="2"/>
  <c r="W35" i="2"/>
  <c r="RH35" i="2" s="1"/>
  <c r="BJ191" i="42" s="1"/>
  <c r="W36" i="2"/>
  <c r="W37" i="2"/>
  <c r="W38" i="2"/>
  <c r="W39" i="2"/>
  <c r="RI39" i="2" s="1"/>
  <c r="W40" i="2"/>
  <c r="W41" i="2"/>
  <c r="W42" i="2"/>
  <c r="W43" i="2"/>
  <c r="RI43" i="2" s="1"/>
  <c r="W44" i="2"/>
  <c r="W45" i="2"/>
  <c r="RH45" i="2" s="1"/>
  <c r="BJ201" i="42" s="1"/>
  <c r="W46" i="2"/>
  <c r="W47" i="2"/>
  <c r="W48" i="2"/>
  <c r="W49" i="2"/>
  <c r="RI49" i="2" s="1"/>
  <c r="W50" i="2"/>
  <c r="W51" i="2"/>
  <c r="W52" i="2"/>
  <c r="W53" i="2"/>
  <c r="W54" i="2"/>
  <c r="W55" i="2"/>
  <c r="W56" i="2"/>
  <c r="W57" i="2"/>
  <c r="RH57" i="2" s="1"/>
  <c r="BJ215" i="42" s="1"/>
  <c r="W58" i="2"/>
  <c r="W59" i="2"/>
  <c r="AB59" i="2" s="1"/>
  <c r="W60" i="2"/>
  <c r="W61" i="2"/>
  <c r="RI61" i="2" s="1"/>
  <c r="W62" i="2"/>
  <c r="W63" i="2"/>
  <c r="W64" i="2"/>
  <c r="W65" i="2"/>
  <c r="RI65" i="2" s="1"/>
  <c r="W66" i="2"/>
  <c r="W67" i="2"/>
  <c r="RH67" i="2" s="1"/>
  <c r="BJ225" i="42" s="1"/>
  <c r="W68" i="2"/>
  <c r="W70" i="2"/>
  <c r="W71" i="2"/>
  <c r="RI71" i="2" s="1"/>
  <c r="W72" i="2"/>
  <c r="W73" i="2"/>
  <c r="W74" i="2"/>
  <c r="W75" i="2"/>
  <c r="W76" i="2"/>
  <c r="W77" i="2"/>
  <c r="W78" i="2"/>
  <c r="W79" i="2"/>
  <c r="RH79" i="2" s="1"/>
  <c r="BJ237" i="42" s="1"/>
  <c r="W80" i="2"/>
  <c r="W81" i="2"/>
  <c r="W82" i="2"/>
  <c r="W83" i="2"/>
  <c r="RI83" i="2" s="1"/>
  <c r="W84" i="2"/>
  <c r="W85" i="2"/>
  <c r="W86" i="2"/>
  <c r="W87" i="2"/>
  <c r="RI87" i="2" s="1"/>
  <c r="W88" i="2"/>
  <c r="W89" i="2"/>
  <c r="RH89" i="2" s="1"/>
  <c r="BJ247" i="42" s="1"/>
  <c r="W90" i="2"/>
  <c r="W91" i="2"/>
  <c r="W92" i="2"/>
  <c r="W93" i="2"/>
  <c r="RI93" i="2" s="1"/>
  <c r="W94" i="2"/>
  <c r="W95" i="2"/>
  <c r="W96" i="2"/>
  <c r="W97" i="2"/>
  <c r="W98" i="2"/>
  <c r="W99" i="2"/>
  <c r="W100" i="2"/>
  <c r="W101" i="2"/>
  <c r="RH101" i="2" s="1"/>
  <c r="BJ261" i="42" s="1"/>
  <c r="W102" i="2"/>
  <c r="W103" i="2"/>
  <c r="W104" i="2"/>
  <c r="W105" i="2"/>
  <c r="RI105" i="2" s="1"/>
  <c r="RP7" i="2"/>
  <c r="K163" i="42" s="1"/>
  <c r="RP8" i="2"/>
  <c r="K164" i="42" s="1"/>
  <c r="RP9" i="2"/>
  <c r="K165" i="42" s="1"/>
  <c r="RP10" i="2"/>
  <c r="K166" i="42" s="1"/>
  <c r="RP11" i="2"/>
  <c r="K167" i="42" s="1"/>
  <c r="RP12" i="2"/>
  <c r="K168" i="42" s="1"/>
  <c r="RP13" i="2"/>
  <c r="K169" i="42" s="1"/>
  <c r="RP14" i="2"/>
  <c r="K170" i="42" s="1"/>
  <c r="RP15" i="2"/>
  <c r="K171" i="42" s="1"/>
  <c r="RP16" i="2"/>
  <c r="K172" i="42" s="1"/>
  <c r="RP17" i="2"/>
  <c r="K173" i="42" s="1"/>
  <c r="RP18" i="2"/>
  <c r="K174" i="42" s="1"/>
  <c r="RP19" i="2"/>
  <c r="K175" i="42" s="1"/>
  <c r="RP20" i="2"/>
  <c r="K176" i="42" s="1"/>
  <c r="RP21" i="2"/>
  <c r="K177" i="42" s="1"/>
  <c r="RP22" i="2"/>
  <c r="K178" i="42" s="1"/>
  <c r="RP23" i="2"/>
  <c r="K179" i="42" s="1"/>
  <c r="RP24" i="2"/>
  <c r="K180" i="42" s="1"/>
  <c r="RP25" i="2"/>
  <c r="K181" i="42" s="1"/>
  <c r="RP26" i="2"/>
  <c r="K182" i="42" s="1"/>
  <c r="RP27" i="2"/>
  <c r="K183" i="42" s="1"/>
  <c r="RP28" i="2"/>
  <c r="K184" i="42" s="1"/>
  <c r="RP29" i="2"/>
  <c r="K185" i="42" s="1"/>
  <c r="RP30" i="2"/>
  <c r="K186" i="42" s="1"/>
  <c r="RP31" i="2"/>
  <c r="K187" i="42" s="1"/>
  <c r="RP32" i="2"/>
  <c r="K188" i="42" s="1"/>
  <c r="RP33" i="2"/>
  <c r="K189" i="42" s="1"/>
  <c r="RP34" i="2"/>
  <c r="K190" i="42" s="1"/>
  <c r="RP35" i="2"/>
  <c r="K191" i="42" s="1"/>
  <c r="RP36" i="2"/>
  <c r="K192" i="42" s="1"/>
  <c r="RP37" i="2"/>
  <c r="K193" i="42" s="1"/>
  <c r="RP38" i="2"/>
  <c r="K194" i="42" s="1"/>
  <c r="RP39" i="2"/>
  <c r="K195" i="42" s="1"/>
  <c r="RP40" i="2"/>
  <c r="K196" i="42" s="1"/>
  <c r="RP41" i="2"/>
  <c r="K197" i="42" s="1"/>
  <c r="RP42" i="2"/>
  <c r="K198" i="42" s="1"/>
  <c r="RP43" i="2"/>
  <c r="K199" i="42" s="1"/>
  <c r="RP44" i="2"/>
  <c r="K200" i="42" s="1"/>
  <c r="RP45" i="2"/>
  <c r="K201" i="42" s="1"/>
  <c r="RP46" i="2"/>
  <c r="K202" i="42" s="1"/>
  <c r="RP47" i="2"/>
  <c r="K203" i="42" s="1"/>
  <c r="RP48" i="2"/>
  <c r="K204" i="42" s="1"/>
  <c r="RP49" i="2"/>
  <c r="K205" i="42" s="1"/>
  <c r="RP50" i="2"/>
  <c r="K206" i="42" s="1"/>
  <c r="RP51" i="2"/>
  <c r="K207" i="42" s="1"/>
  <c r="RP52" i="2"/>
  <c r="K210" i="42" s="1"/>
  <c r="RP53" i="2"/>
  <c r="K211" i="42" s="1"/>
  <c r="RP54" i="2"/>
  <c r="K212" i="42" s="1"/>
  <c r="RP55" i="2"/>
  <c r="K213" i="42" s="1"/>
  <c r="RP56" i="2"/>
  <c r="K214" i="42" s="1"/>
  <c r="RP57" i="2"/>
  <c r="K215" i="42" s="1"/>
  <c r="RP58" i="2"/>
  <c r="K216" i="42" s="1"/>
  <c r="RP59" i="2"/>
  <c r="K217" i="42" s="1"/>
  <c r="RP60" i="2"/>
  <c r="K218" i="42" s="1"/>
  <c r="RP61" i="2"/>
  <c r="K219" i="42" s="1"/>
  <c r="RP62" i="2"/>
  <c r="K220" i="42" s="1"/>
  <c r="RP63" i="2"/>
  <c r="K221" i="42" s="1"/>
  <c r="RP64" i="2"/>
  <c r="K222" i="42" s="1"/>
  <c r="RP65" i="2"/>
  <c r="K223" i="42" s="1"/>
  <c r="RP66" i="2"/>
  <c r="K224" i="42" s="1"/>
  <c r="RP67" i="2"/>
  <c r="K225" i="42" s="1"/>
  <c r="RP68" i="2"/>
  <c r="K226" i="42" s="1"/>
  <c r="RP69" i="2"/>
  <c r="K227" i="42" s="1"/>
  <c r="RP70" i="2"/>
  <c r="K228" i="42" s="1"/>
  <c r="RP71" i="2"/>
  <c r="K229" i="42" s="1"/>
  <c r="RP72" i="2"/>
  <c r="K230" i="42" s="1"/>
  <c r="RP73" i="2"/>
  <c r="K231" i="42" s="1"/>
  <c r="RP74" i="2"/>
  <c r="K232" i="42" s="1"/>
  <c r="RP75" i="2"/>
  <c r="K233" i="42" s="1"/>
  <c r="RP76" i="2"/>
  <c r="RP77" i="2"/>
  <c r="RP78" i="2"/>
  <c r="RP79" i="2"/>
  <c r="RP80" i="2"/>
  <c r="RP81" i="2"/>
  <c r="RP82" i="2"/>
  <c r="RP83" i="2"/>
  <c r="RP84" i="2"/>
  <c r="RP85" i="2"/>
  <c r="RP86" i="2"/>
  <c r="RP87" i="2"/>
  <c r="RP88" i="2"/>
  <c r="RP89" i="2"/>
  <c r="RP90" i="2"/>
  <c r="RP91" i="2"/>
  <c r="RP92" i="2"/>
  <c r="RP93" i="2"/>
  <c r="RP94" i="2"/>
  <c r="RP95" i="2"/>
  <c r="RP96" i="2"/>
  <c r="RP97" i="2"/>
  <c r="RP98" i="2"/>
  <c r="RP99" i="2"/>
  <c r="RP100" i="2"/>
  <c r="RP101" i="2"/>
  <c r="RP102" i="2"/>
  <c r="RP103" i="2"/>
  <c r="RP104" i="2"/>
  <c r="RP105" i="2"/>
  <c r="RM7" i="2"/>
  <c r="BN163" i="42" s="1"/>
  <c r="RN7" i="2"/>
  <c r="RM8" i="2"/>
  <c r="BN164" i="42" s="1"/>
  <c r="RN8" i="2"/>
  <c r="RM9" i="2"/>
  <c r="BN165" i="42" s="1"/>
  <c r="RN9" i="2"/>
  <c r="RM10" i="2"/>
  <c r="BN166" i="42" s="1"/>
  <c r="RN10" i="2"/>
  <c r="RM11" i="2"/>
  <c r="BN167" i="42" s="1"/>
  <c r="RN11" i="2"/>
  <c r="RM12" i="2"/>
  <c r="BN168" i="42" s="1"/>
  <c r="RN12" i="2"/>
  <c r="RM13" i="2"/>
  <c r="BN169" i="42" s="1"/>
  <c r="RN13" i="2"/>
  <c r="RM14" i="2"/>
  <c r="BN170" i="42" s="1"/>
  <c r="RN14" i="2"/>
  <c r="RM15" i="2"/>
  <c r="BN171" i="42" s="1"/>
  <c r="RN15" i="2"/>
  <c r="RM16" i="2"/>
  <c r="BN172" i="42" s="1"/>
  <c r="RN16" i="2"/>
  <c r="RM17" i="2"/>
  <c r="BN173" i="42" s="1"/>
  <c r="RN17" i="2"/>
  <c r="RM18" i="2"/>
  <c r="BN174" i="42" s="1"/>
  <c r="RN18" i="2"/>
  <c r="RM19" i="2"/>
  <c r="BN175" i="42" s="1"/>
  <c r="RN19" i="2"/>
  <c r="RM20" i="2"/>
  <c r="BN176" i="42" s="1"/>
  <c r="RN20" i="2"/>
  <c r="RM21" i="2"/>
  <c r="BN177" i="42" s="1"/>
  <c r="RN21" i="2"/>
  <c r="RM22" i="2"/>
  <c r="BN178" i="42" s="1"/>
  <c r="RN22" i="2"/>
  <c r="RM23" i="2"/>
  <c r="BN179" i="42" s="1"/>
  <c r="RN23" i="2"/>
  <c r="RM24" i="2"/>
  <c r="BN180" i="42" s="1"/>
  <c r="RN24" i="2"/>
  <c r="RM25" i="2"/>
  <c r="BN181" i="42" s="1"/>
  <c r="RN25" i="2"/>
  <c r="RM26" i="2"/>
  <c r="BN182" i="42" s="1"/>
  <c r="RN26" i="2"/>
  <c r="RM27" i="2"/>
  <c r="BN183" i="42" s="1"/>
  <c r="RN27" i="2"/>
  <c r="RM28" i="2"/>
  <c r="BN184" i="42" s="1"/>
  <c r="RN28" i="2"/>
  <c r="RM29" i="2"/>
  <c r="BN185" i="42" s="1"/>
  <c r="RN29" i="2"/>
  <c r="RM30" i="2"/>
  <c r="BN186" i="42" s="1"/>
  <c r="RN30" i="2"/>
  <c r="RM31" i="2"/>
  <c r="BN187" i="42" s="1"/>
  <c r="RN31" i="2"/>
  <c r="RM32" i="2"/>
  <c r="BN188" i="42" s="1"/>
  <c r="RN32" i="2"/>
  <c r="RM33" i="2"/>
  <c r="BN189" i="42" s="1"/>
  <c r="RN33" i="2"/>
  <c r="RM34" i="2"/>
  <c r="BN190" i="42" s="1"/>
  <c r="RN34" i="2"/>
  <c r="RM35" i="2"/>
  <c r="BN191" i="42" s="1"/>
  <c r="RN35" i="2"/>
  <c r="RM36" i="2"/>
  <c r="BN192" i="42" s="1"/>
  <c r="RN36" i="2"/>
  <c r="RM37" i="2"/>
  <c r="BN193" i="42" s="1"/>
  <c r="RN37" i="2"/>
  <c r="RM38" i="2"/>
  <c r="BN194" i="42" s="1"/>
  <c r="RN38" i="2"/>
  <c r="RM39" i="2"/>
  <c r="BN195" i="42" s="1"/>
  <c r="RN39" i="2"/>
  <c r="RM40" i="2"/>
  <c r="BN196" i="42" s="1"/>
  <c r="RN40" i="2"/>
  <c r="RM41" i="2"/>
  <c r="BN197" i="42" s="1"/>
  <c r="RN41" i="2"/>
  <c r="RM42" i="2"/>
  <c r="BN198" i="42" s="1"/>
  <c r="RN42" i="2"/>
  <c r="RM43" i="2"/>
  <c r="BN199" i="42" s="1"/>
  <c r="RN43" i="2"/>
  <c r="RM44" i="2"/>
  <c r="BN200" i="42" s="1"/>
  <c r="RN44" i="2"/>
  <c r="RM45" i="2"/>
  <c r="BN201" i="42" s="1"/>
  <c r="RN45" i="2"/>
  <c r="RM46" i="2"/>
  <c r="BN202" i="42" s="1"/>
  <c r="RN46" i="2"/>
  <c r="RM47" i="2"/>
  <c r="BN203" i="42" s="1"/>
  <c r="RN47" i="2"/>
  <c r="RM48" i="2"/>
  <c r="BN204" i="42" s="1"/>
  <c r="RN48" i="2"/>
  <c r="RM49" i="2"/>
  <c r="BN205" i="42" s="1"/>
  <c r="RN49" i="2"/>
  <c r="RM50" i="2"/>
  <c r="BN206" i="42" s="1"/>
  <c r="RN50" i="2"/>
  <c r="RM51" i="2"/>
  <c r="BN207" i="42" s="1"/>
  <c r="RN51" i="2"/>
  <c r="RM52" i="2"/>
  <c r="BN210" i="42" s="1"/>
  <c r="RN52" i="2"/>
  <c r="RM53" i="2"/>
  <c r="BN211" i="42" s="1"/>
  <c r="RN53" i="2"/>
  <c r="RM54" i="2"/>
  <c r="BN212" i="42" s="1"/>
  <c r="RN54" i="2"/>
  <c r="RM55" i="2"/>
  <c r="BN213" i="42" s="1"/>
  <c r="RN55" i="2"/>
  <c r="RM56" i="2"/>
  <c r="BN214" i="42" s="1"/>
  <c r="RN56" i="2"/>
  <c r="RM57" i="2"/>
  <c r="BN215" i="42" s="1"/>
  <c r="RN57" i="2"/>
  <c r="RM58" i="2"/>
  <c r="BN216" i="42" s="1"/>
  <c r="RN58" i="2"/>
  <c r="RM59" i="2"/>
  <c r="BN217" i="42" s="1"/>
  <c r="RN59" i="2"/>
  <c r="RM60" i="2"/>
  <c r="BN218" i="42" s="1"/>
  <c r="RN60" i="2"/>
  <c r="RM61" i="2"/>
  <c r="BN219" i="42" s="1"/>
  <c r="RN61" i="2"/>
  <c r="RM62" i="2"/>
  <c r="BN220" i="42" s="1"/>
  <c r="RN62" i="2"/>
  <c r="RM63" i="2"/>
  <c r="BN221" i="42" s="1"/>
  <c r="RN63" i="2"/>
  <c r="RM64" i="2"/>
  <c r="BN222" i="42" s="1"/>
  <c r="RN64" i="2"/>
  <c r="RM65" i="2"/>
  <c r="BN223" i="42" s="1"/>
  <c r="RN65" i="2"/>
  <c r="RM66" i="2"/>
  <c r="BN224" i="42" s="1"/>
  <c r="RN66" i="2"/>
  <c r="RM67" i="2"/>
  <c r="BN225" i="42" s="1"/>
  <c r="RN67" i="2"/>
  <c r="RM68" i="2"/>
  <c r="BN226" i="42" s="1"/>
  <c r="RN68" i="2"/>
  <c r="RM69" i="2"/>
  <c r="BN227" i="42" s="1"/>
  <c r="RN69" i="2"/>
  <c r="RM70" i="2"/>
  <c r="BN228" i="42" s="1"/>
  <c r="RN70" i="2"/>
  <c r="RM71" i="2"/>
  <c r="BN229" i="42" s="1"/>
  <c r="RN71" i="2"/>
  <c r="RM72" i="2"/>
  <c r="BN230" i="42" s="1"/>
  <c r="RN72" i="2"/>
  <c r="RM73" i="2"/>
  <c r="BN231" i="42" s="1"/>
  <c r="RN73" i="2"/>
  <c r="RM74" i="2"/>
  <c r="BN232" i="42" s="1"/>
  <c r="RN74" i="2"/>
  <c r="RM75" i="2"/>
  <c r="BN233" i="42" s="1"/>
  <c r="RN75" i="2"/>
  <c r="RM76" i="2"/>
  <c r="BN234" i="42" s="1"/>
  <c r="RN76" i="2"/>
  <c r="RM77" i="2"/>
  <c r="BN235" i="42" s="1"/>
  <c r="RN77" i="2"/>
  <c r="RM78" i="2"/>
  <c r="BN236" i="42" s="1"/>
  <c r="RN78" i="2"/>
  <c r="RM79" i="2"/>
  <c r="BN237" i="42" s="1"/>
  <c r="RN79" i="2"/>
  <c r="RM80" i="2"/>
  <c r="BN238" i="42" s="1"/>
  <c r="RN80" i="2"/>
  <c r="RM81" i="2"/>
  <c r="BN239" i="42" s="1"/>
  <c r="RN81" i="2"/>
  <c r="RM82" i="2"/>
  <c r="BN240" i="42" s="1"/>
  <c r="RN82" i="2"/>
  <c r="RM83" i="2"/>
  <c r="BN241" i="42" s="1"/>
  <c r="RN83" i="2"/>
  <c r="RM84" i="2"/>
  <c r="BN242" i="42" s="1"/>
  <c r="RN84" i="2"/>
  <c r="RM85" i="2"/>
  <c r="BN243" i="42" s="1"/>
  <c r="RN85" i="2"/>
  <c r="RM86" i="2"/>
  <c r="BN244" i="42" s="1"/>
  <c r="RN86" i="2"/>
  <c r="RM87" i="2"/>
  <c r="BN245" i="42" s="1"/>
  <c r="RN87" i="2"/>
  <c r="RM88" i="2"/>
  <c r="BN246" i="42" s="1"/>
  <c r="RN88" i="2"/>
  <c r="RM89" i="2"/>
  <c r="BN247" i="42" s="1"/>
  <c r="RN89" i="2"/>
  <c r="RM90" i="2"/>
  <c r="BN248" i="42" s="1"/>
  <c r="RN90" i="2"/>
  <c r="RM91" i="2"/>
  <c r="BN249" i="42" s="1"/>
  <c r="RN91" i="2"/>
  <c r="RM92" i="2"/>
  <c r="BN250" i="42" s="1"/>
  <c r="RN92" i="2"/>
  <c r="RM93" i="2"/>
  <c r="BN251" i="42" s="1"/>
  <c r="RN93" i="2"/>
  <c r="RM94" i="2"/>
  <c r="BN252" i="42" s="1"/>
  <c r="RN94" i="2"/>
  <c r="RM95" i="2"/>
  <c r="BN253" i="42" s="1"/>
  <c r="RN95" i="2"/>
  <c r="RM96" i="2"/>
  <c r="BN254" i="42" s="1"/>
  <c r="RN96" i="2"/>
  <c r="RM97" i="2"/>
  <c r="BN255" i="42" s="1"/>
  <c r="RN97" i="2"/>
  <c r="RM98" i="2"/>
  <c r="BN258" i="42" s="1"/>
  <c r="RN98" i="2"/>
  <c r="RM99" i="2"/>
  <c r="BN259" i="42" s="1"/>
  <c r="RN99" i="2"/>
  <c r="RM100" i="2"/>
  <c r="BN260" i="42" s="1"/>
  <c r="RN100" i="2"/>
  <c r="RM101" i="2"/>
  <c r="BN261" i="42" s="1"/>
  <c r="RN101" i="2"/>
  <c r="RM102" i="2"/>
  <c r="BN262" i="42" s="1"/>
  <c r="RN102" i="2"/>
  <c r="RM103" i="2"/>
  <c r="BN263" i="42" s="1"/>
  <c r="RN103" i="2"/>
  <c r="RM104" i="2"/>
  <c r="BN264" i="42" s="1"/>
  <c r="RN104" i="2"/>
  <c r="RM105" i="2"/>
  <c r="BN265" i="42" s="1"/>
  <c r="RN105" i="2"/>
  <c r="RN6" i="2"/>
  <c r="RM6" i="2"/>
  <c r="BN162" i="42" s="1"/>
  <c r="RH7" i="2"/>
  <c r="BJ163" i="42" s="1"/>
  <c r="RI7" i="2"/>
  <c r="RH8" i="2"/>
  <c r="BJ164" i="42" s="1"/>
  <c r="RI8" i="2"/>
  <c r="RH10" i="2"/>
  <c r="BJ166" i="42" s="1"/>
  <c r="RI10" i="2"/>
  <c r="RH11" i="2"/>
  <c r="BJ167" i="42" s="1"/>
  <c r="RI11" i="2"/>
  <c r="RH12" i="2"/>
  <c r="BJ168" i="42" s="1"/>
  <c r="RI12" i="2"/>
  <c r="RI13" i="2"/>
  <c r="RH14" i="2"/>
  <c r="BJ170" i="42" s="1"/>
  <c r="RI14" i="2"/>
  <c r="RH16" i="2"/>
  <c r="BJ172" i="42" s="1"/>
  <c r="RH19" i="2"/>
  <c r="BJ175" i="42" s="1"/>
  <c r="RI19" i="2"/>
  <c r="RH20" i="2"/>
  <c r="BJ176" i="42" s="1"/>
  <c r="RI20" i="2"/>
  <c r="RH25" i="2"/>
  <c r="BJ181" i="42" s="1"/>
  <c r="RI25" i="2"/>
  <c r="RH26" i="2"/>
  <c r="BJ182" i="42" s="1"/>
  <c r="RI26" i="2"/>
  <c r="RH27" i="2"/>
  <c r="BJ183" i="42" s="1"/>
  <c r="RH28" i="2"/>
  <c r="BJ184" i="42" s="1"/>
  <c r="RI28" i="2"/>
  <c r="RH29" i="2"/>
  <c r="BJ185" i="42" s="1"/>
  <c r="RI29" i="2"/>
  <c r="RH30" i="2"/>
  <c r="BJ186" i="42" s="1"/>
  <c r="RI30" i="2"/>
  <c r="RH31" i="2"/>
  <c r="BJ187" i="42" s="1"/>
  <c r="RI31" i="2"/>
  <c r="RH32" i="2"/>
  <c r="BJ188" i="42" s="1"/>
  <c r="RI32" i="2"/>
  <c r="RH33" i="2"/>
  <c r="BJ189" i="42" s="1"/>
  <c r="RI33" i="2"/>
  <c r="RH34" i="2"/>
  <c r="BJ190" i="42" s="1"/>
  <c r="RI34" i="2"/>
  <c r="RI35" i="2"/>
  <c r="RH36" i="2"/>
  <c r="BJ192" i="42" s="1"/>
  <c r="RI36" i="2"/>
  <c r="RH37" i="2"/>
  <c r="BJ193" i="42" s="1"/>
  <c r="RI37" i="2"/>
  <c r="RH38" i="2"/>
  <c r="BJ194" i="42" s="1"/>
  <c r="RH41" i="2"/>
  <c r="BJ197" i="42" s="1"/>
  <c r="RI41" i="2"/>
  <c r="RH42" i="2"/>
  <c r="BJ198" i="42" s="1"/>
  <c r="RI42" i="2"/>
  <c r="RI44" i="2"/>
  <c r="RH46" i="2"/>
  <c r="BJ202" i="42" s="1"/>
  <c r="RI46" i="2"/>
  <c r="RH47" i="2"/>
  <c r="BJ203" i="42" s="1"/>
  <c r="RI47" i="2"/>
  <c r="RH50" i="2"/>
  <c r="BJ206" i="42" s="1"/>
  <c r="RI50" i="2"/>
  <c r="RH51" i="2"/>
  <c r="BJ207" i="42" s="1"/>
  <c r="RI51" i="2"/>
  <c r="RH52" i="2"/>
  <c r="BJ210" i="42" s="1"/>
  <c r="RI52" i="2"/>
  <c r="RH53" i="2"/>
  <c r="BJ211" i="42" s="1"/>
  <c r="RI53" i="2"/>
  <c r="RH54" i="2"/>
  <c r="BJ212" i="42" s="1"/>
  <c r="RI54" i="2"/>
  <c r="RH55" i="2"/>
  <c r="BJ213" i="42" s="1"/>
  <c r="RI55" i="2"/>
  <c r="RH56" i="2"/>
  <c r="BJ214" i="42" s="1"/>
  <c r="RI56" i="2"/>
  <c r="RH58" i="2"/>
  <c r="BJ216" i="42" s="1"/>
  <c r="RI58" i="2"/>
  <c r="RH60" i="2"/>
  <c r="BJ218" i="42" s="1"/>
  <c r="RH63" i="2"/>
  <c r="BJ221" i="42" s="1"/>
  <c r="RI63" i="2"/>
  <c r="RH64" i="2"/>
  <c r="BJ222" i="42" s="1"/>
  <c r="RI64" i="2"/>
  <c r="RI66" i="2"/>
  <c r="RH68" i="2"/>
  <c r="BJ226" i="42" s="1"/>
  <c r="RI68" i="2"/>
  <c r="RH70" i="2"/>
  <c r="BJ228" i="42" s="1"/>
  <c r="RI70" i="2"/>
  <c r="RH71" i="2"/>
  <c r="BJ229" i="42" s="1"/>
  <c r="RH72" i="2"/>
  <c r="BJ230" i="42" s="1"/>
  <c r="RI72" i="2"/>
  <c r="RH73" i="2"/>
  <c r="BJ231" i="42" s="1"/>
  <c r="RI73" i="2"/>
  <c r="RH74" i="2"/>
  <c r="BJ232" i="42" s="1"/>
  <c r="RI74" i="2"/>
  <c r="RH75" i="2"/>
  <c r="BJ233" i="42" s="1"/>
  <c r="RI75" i="2"/>
  <c r="RH76" i="2"/>
  <c r="BJ234" i="42" s="1"/>
  <c r="RI76" i="2"/>
  <c r="RH77" i="2"/>
  <c r="BJ235" i="42" s="1"/>
  <c r="RI77" i="2"/>
  <c r="RH78" i="2"/>
  <c r="BJ236" i="42" s="1"/>
  <c r="RI78" i="2"/>
  <c r="RI79" i="2"/>
  <c r="RH80" i="2"/>
  <c r="BJ238" i="42" s="1"/>
  <c r="RI80" i="2"/>
  <c r="RH81" i="2"/>
  <c r="BJ239" i="42" s="1"/>
  <c r="RI81" i="2"/>
  <c r="RH82" i="2"/>
  <c r="BJ240" i="42" s="1"/>
  <c r="RH85" i="2"/>
  <c r="BJ243" i="42" s="1"/>
  <c r="RI85" i="2"/>
  <c r="RH86" i="2"/>
  <c r="BJ244" i="42" s="1"/>
  <c r="RI86" i="2"/>
  <c r="RI88" i="2"/>
  <c r="RH90" i="2"/>
  <c r="BJ248" i="42" s="1"/>
  <c r="RI90" i="2"/>
  <c r="RH91" i="2"/>
  <c r="BJ249" i="42" s="1"/>
  <c r="RI91" i="2"/>
  <c r="RH92" i="2"/>
  <c r="BJ250" i="42" s="1"/>
  <c r="RI92" i="2"/>
  <c r="RH93" i="2"/>
  <c r="BJ251" i="42" s="1"/>
  <c r="RH94" i="2"/>
  <c r="BJ252" i="42" s="1"/>
  <c r="RI94" i="2"/>
  <c r="RH95" i="2"/>
  <c r="BJ253" i="42" s="1"/>
  <c r="RI95" i="2"/>
  <c r="RH96" i="2"/>
  <c r="BJ254" i="42" s="1"/>
  <c r="RI96" i="2"/>
  <c r="RH97" i="2"/>
  <c r="BJ255" i="42" s="1"/>
  <c r="RI97" i="2"/>
  <c r="RH98" i="2"/>
  <c r="BJ258" i="42" s="1"/>
  <c r="RI98" i="2"/>
  <c r="RH99" i="2"/>
  <c r="BJ259" i="42" s="1"/>
  <c r="RI99" i="2"/>
  <c r="RH100" i="2"/>
  <c r="BJ260" i="42" s="1"/>
  <c r="RI100" i="2"/>
  <c r="RI101" i="2"/>
  <c r="RH102" i="2"/>
  <c r="BJ262" i="42" s="1"/>
  <c r="RI102" i="2"/>
  <c r="RH103" i="2"/>
  <c r="BJ263" i="42" s="1"/>
  <c r="RI103" i="2"/>
  <c r="RH104" i="2"/>
  <c r="BJ264" i="42" s="1"/>
  <c r="RA7" i="2"/>
  <c r="RB7" i="2"/>
  <c r="RD7" i="2"/>
  <c r="RE7" i="2"/>
  <c r="RA8" i="2"/>
  <c r="RB8" i="2"/>
  <c r="RD8" i="2"/>
  <c r="RE8" i="2"/>
  <c r="RA9" i="2"/>
  <c r="RB9" i="2"/>
  <c r="RD9" i="2"/>
  <c r="RE9" i="2"/>
  <c r="RF9" i="2"/>
  <c r="BB165" i="42" s="1"/>
  <c r="RA10" i="2"/>
  <c r="RB10" i="2"/>
  <c r="RC10" i="2"/>
  <c r="AX166" i="42" s="1"/>
  <c r="RD10" i="2"/>
  <c r="RE10" i="2"/>
  <c r="RF10" i="2"/>
  <c r="BB166" i="42" s="1"/>
  <c r="RA11" i="2"/>
  <c r="RB11" i="2"/>
  <c r="RD11" i="2"/>
  <c r="RE11" i="2"/>
  <c r="RA12" i="2"/>
  <c r="RB12" i="2"/>
  <c r="RD12" i="2"/>
  <c r="RE12" i="2"/>
  <c r="RF12" i="2"/>
  <c r="BB168" i="42" s="1"/>
  <c r="RA13" i="2"/>
  <c r="RB13" i="2"/>
  <c r="RD13" i="2"/>
  <c r="RE13" i="2"/>
  <c r="RA14" i="2"/>
  <c r="RB14" i="2"/>
  <c r="RD14" i="2"/>
  <c r="RE14" i="2"/>
  <c r="RF14" i="2"/>
  <c r="BB170" i="42" s="1"/>
  <c r="RA15" i="2"/>
  <c r="RB15" i="2"/>
  <c r="RD15" i="2"/>
  <c r="RE15" i="2"/>
  <c r="RA16" i="2"/>
  <c r="RB16" i="2"/>
  <c r="RD16" i="2"/>
  <c r="RE16" i="2"/>
  <c r="RA17" i="2"/>
  <c r="RB17" i="2"/>
  <c r="RD17" i="2"/>
  <c r="RE17" i="2"/>
  <c r="RF17" i="2"/>
  <c r="BB173" i="42" s="1"/>
  <c r="RA18" i="2"/>
  <c r="RB18" i="2"/>
  <c r="RD18" i="2"/>
  <c r="RE18" i="2"/>
  <c r="RF18" i="2"/>
  <c r="BB174" i="42" s="1"/>
  <c r="RA19" i="2"/>
  <c r="RB19" i="2"/>
  <c r="RC19" i="2"/>
  <c r="AX175" i="42" s="1"/>
  <c r="RD19" i="2"/>
  <c r="RE19" i="2"/>
  <c r="RF19" i="2"/>
  <c r="BB175" i="42" s="1"/>
  <c r="RA20" i="2"/>
  <c r="RB20" i="2"/>
  <c r="RC20" i="2"/>
  <c r="AX176" i="42" s="1"/>
  <c r="RD20" i="2"/>
  <c r="RE20" i="2"/>
  <c r="RF20" i="2"/>
  <c r="BB176" i="42" s="1"/>
  <c r="RA21" i="2"/>
  <c r="RB21" i="2"/>
  <c r="RD21" i="2"/>
  <c r="RE21" i="2"/>
  <c r="RA22" i="2"/>
  <c r="RB22" i="2"/>
  <c r="RD22" i="2"/>
  <c r="RE22" i="2"/>
  <c r="RA23" i="2"/>
  <c r="RB23" i="2"/>
  <c r="RC23" i="2"/>
  <c r="AX179" i="42" s="1"/>
  <c r="RD23" i="2"/>
  <c r="RE23" i="2"/>
  <c r="RA24" i="2"/>
  <c r="RB24" i="2"/>
  <c r="RD24" i="2"/>
  <c r="RE24" i="2"/>
  <c r="RA25" i="2"/>
  <c r="RB25" i="2"/>
  <c r="RD25" i="2"/>
  <c r="RE25" i="2"/>
  <c r="RA26" i="2"/>
  <c r="RB26" i="2"/>
  <c r="RD26" i="2"/>
  <c r="RE26" i="2"/>
  <c r="RA27" i="2"/>
  <c r="RB27" i="2"/>
  <c r="RD27" i="2"/>
  <c r="RE27" i="2"/>
  <c r="RF27" i="2"/>
  <c r="BB183" i="42" s="1"/>
  <c r="RA28" i="2"/>
  <c r="RB28" i="2"/>
  <c r="RD28" i="2"/>
  <c r="RE28" i="2"/>
  <c r="RA29" i="2"/>
  <c r="RB29" i="2"/>
  <c r="RD29" i="2"/>
  <c r="RE29" i="2"/>
  <c r="RA30" i="2"/>
  <c r="RB30" i="2"/>
  <c r="RD30" i="2"/>
  <c r="RE30" i="2"/>
  <c r="RA31" i="2"/>
  <c r="RB31" i="2"/>
  <c r="RC31" i="2"/>
  <c r="AX187" i="42" s="1"/>
  <c r="RD31" i="2"/>
  <c r="RE31" i="2"/>
  <c r="RA32" i="2"/>
  <c r="RB32" i="2"/>
  <c r="RC32" i="2"/>
  <c r="AX188" i="42" s="1"/>
  <c r="RD32" i="2"/>
  <c r="RE32" i="2"/>
  <c r="RA33" i="2"/>
  <c r="RB33" i="2"/>
  <c r="RD33" i="2"/>
  <c r="RE33" i="2"/>
  <c r="RF33" i="2"/>
  <c r="BB189" i="42" s="1"/>
  <c r="RA34" i="2"/>
  <c r="RB34" i="2"/>
  <c r="RC34" i="2"/>
  <c r="AX190" i="42" s="1"/>
  <c r="RD34" i="2"/>
  <c r="RE34" i="2"/>
  <c r="RA35" i="2"/>
  <c r="RB35" i="2"/>
  <c r="RD35" i="2"/>
  <c r="RE35" i="2"/>
  <c r="RA36" i="2"/>
  <c r="RB36" i="2"/>
  <c r="RC36" i="2"/>
  <c r="AX192" i="42" s="1"/>
  <c r="RD36" i="2"/>
  <c r="RE36" i="2"/>
  <c r="RA37" i="2"/>
  <c r="RB37" i="2"/>
  <c r="RD37" i="2"/>
  <c r="RE37" i="2"/>
  <c r="RA38" i="2"/>
  <c r="RB38" i="2"/>
  <c r="RD38" i="2"/>
  <c r="RE38" i="2"/>
  <c r="RA39" i="2"/>
  <c r="RB39" i="2"/>
  <c r="RD39" i="2"/>
  <c r="RE39" i="2"/>
  <c r="RF39" i="2"/>
  <c r="BB195" i="42" s="1"/>
  <c r="RA40" i="2"/>
  <c r="RB40" i="2"/>
  <c r="RD40" i="2"/>
  <c r="RE40" i="2"/>
  <c r="RF40" i="2"/>
  <c r="BB196" i="42" s="1"/>
  <c r="RA41" i="2"/>
  <c r="RB41" i="2"/>
  <c r="RD41" i="2"/>
  <c r="RE41" i="2"/>
  <c r="RF41" i="2"/>
  <c r="BB197" i="42" s="1"/>
  <c r="RA42" i="2"/>
  <c r="RB42" i="2"/>
  <c r="RC42" i="2"/>
  <c r="AX198" i="42" s="1"/>
  <c r="RD42" i="2"/>
  <c r="RE42" i="2"/>
  <c r="RA43" i="2"/>
  <c r="RB43" i="2"/>
  <c r="RD43" i="2"/>
  <c r="RE43" i="2"/>
  <c r="RA44" i="2"/>
  <c r="RB44" i="2"/>
  <c r="RD44" i="2"/>
  <c r="RE44" i="2"/>
  <c r="RA45" i="2"/>
  <c r="RB45" i="2"/>
  <c r="RD45" i="2"/>
  <c r="RE45" i="2"/>
  <c r="RA46" i="2"/>
  <c r="RB46" i="2"/>
  <c r="RD46" i="2"/>
  <c r="RE46" i="2"/>
  <c r="RA47" i="2"/>
  <c r="RB47" i="2"/>
  <c r="RD47" i="2"/>
  <c r="RE47" i="2"/>
  <c r="RF47" i="2"/>
  <c r="BB203" i="42" s="1"/>
  <c r="RA48" i="2"/>
  <c r="RB48" i="2"/>
  <c r="RD48" i="2"/>
  <c r="RE48" i="2"/>
  <c r="RF48" i="2"/>
  <c r="BB204" i="42" s="1"/>
  <c r="RA49" i="2"/>
  <c r="RB49" i="2"/>
  <c r="RD49" i="2"/>
  <c r="RE49" i="2"/>
  <c r="RA50" i="2"/>
  <c r="RB50" i="2"/>
  <c r="RD50" i="2"/>
  <c r="RE50" i="2"/>
  <c r="RA51" i="2"/>
  <c r="RB51" i="2"/>
  <c r="RD51" i="2"/>
  <c r="RE51" i="2"/>
  <c r="RA52" i="2"/>
  <c r="RB52" i="2"/>
  <c r="RD52" i="2"/>
  <c r="RE52" i="2"/>
  <c r="RA53" i="2"/>
  <c r="RB53" i="2"/>
  <c r="RC53" i="2"/>
  <c r="AX211" i="42" s="1"/>
  <c r="RD53" i="2"/>
  <c r="RE53" i="2"/>
  <c r="RF53" i="2"/>
  <c r="BB211" i="42" s="1"/>
  <c r="RA54" i="2"/>
  <c r="RB54" i="2"/>
  <c r="RD54" i="2"/>
  <c r="RE54" i="2"/>
  <c r="RF54" i="2"/>
  <c r="BB212" i="42" s="1"/>
  <c r="RA55" i="2"/>
  <c r="RB55" i="2"/>
  <c r="RC55" i="2"/>
  <c r="AX213" i="42" s="1"/>
  <c r="RD55" i="2"/>
  <c r="RE55" i="2"/>
  <c r="RA56" i="2"/>
  <c r="RB56" i="2"/>
  <c r="RC56" i="2"/>
  <c r="AX214" i="42" s="1"/>
  <c r="RD56" i="2"/>
  <c r="RE56" i="2"/>
  <c r="RF56" i="2"/>
  <c r="BB214" i="42" s="1"/>
  <c r="RA57" i="2"/>
  <c r="RB57" i="2"/>
  <c r="RC57" i="2"/>
  <c r="AX215" i="42" s="1"/>
  <c r="RD57" i="2"/>
  <c r="RE57" i="2"/>
  <c r="RA58" i="2"/>
  <c r="RB58" i="2"/>
  <c r="RD58" i="2"/>
  <c r="RE58" i="2"/>
  <c r="RA59" i="2"/>
  <c r="RB59" i="2"/>
  <c r="RD59" i="2"/>
  <c r="RE59" i="2"/>
  <c r="RA60" i="2"/>
  <c r="RB60" i="2"/>
  <c r="RD60" i="2"/>
  <c r="RE60" i="2"/>
  <c r="RA61" i="2"/>
  <c r="RB61" i="2"/>
  <c r="RD61" i="2"/>
  <c r="RE61" i="2"/>
  <c r="RA62" i="2"/>
  <c r="RB62" i="2"/>
  <c r="RD62" i="2"/>
  <c r="RE62" i="2"/>
  <c r="RF62" i="2"/>
  <c r="BB220" i="42" s="1"/>
  <c r="RA63" i="2"/>
  <c r="RB63" i="2"/>
  <c r="RC63" i="2"/>
  <c r="AX221" i="42" s="1"/>
  <c r="RD63" i="2"/>
  <c r="RE63" i="2"/>
  <c r="RF63" i="2"/>
  <c r="BB221" i="42" s="1"/>
  <c r="RA64" i="2"/>
  <c r="RB64" i="2"/>
  <c r="RD64" i="2"/>
  <c r="RE64" i="2"/>
  <c r="RF64" i="2"/>
  <c r="BB222" i="42" s="1"/>
  <c r="RA65" i="2"/>
  <c r="RB65" i="2"/>
  <c r="RD65" i="2"/>
  <c r="RE65" i="2"/>
  <c r="RA66" i="2"/>
  <c r="RB66" i="2"/>
  <c r="RD66" i="2"/>
  <c r="RE66" i="2"/>
  <c r="RA67" i="2"/>
  <c r="RB67" i="2"/>
  <c r="RD67" i="2"/>
  <c r="RE67" i="2"/>
  <c r="RA68" i="2"/>
  <c r="RB68" i="2"/>
  <c r="RD68" i="2"/>
  <c r="RE68" i="2"/>
  <c r="RA69" i="2"/>
  <c r="RB69" i="2"/>
  <c r="RD69" i="2"/>
  <c r="RE69" i="2"/>
  <c r="RA70" i="2"/>
  <c r="RB70" i="2"/>
  <c r="RD70" i="2"/>
  <c r="RE70" i="2"/>
  <c r="RA71" i="2"/>
  <c r="RB71" i="2"/>
  <c r="RD71" i="2"/>
  <c r="RE71" i="2"/>
  <c r="RA72" i="2"/>
  <c r="RB72" i="2"/>
  <c r="RD72" i="2"/>
  <c r="RE72" i="2"/>
  <c r="RA73" i="2"/>
  <c r="RB73" i="2"/>
  <c r="RD73" i="2"/>
  <c r="RE73" i="2"/>
  <c r="RA74" i="2"/>
  <c r="RB74" i="2"/>
  <c r="RD74" i="2"/>
  <c r="RE74" i="2"/>
  <c r="RA75" i="2"/>
  <c r="RB75" i="2"/>
  <c r="RD75" i="2"/>
  <c r="RE75" i="2"/>
  <c r="RA76" i="2"/>
  <c r="RB76" i="2"/>
  <c r="RD76" i="2"/>
  <c r="RE76" i="2"/>
  <c r="RA77" i="2"/>
  <c r="RB77" i="2"/>
  <c r="RD77" i="2"/>
  <c r="RE77" i="2"/>
  <c r="RA78" i="2"/>
  <c r="RB78" i="2"/>
  <c r="RC78" i="2"/>
  <c r="AX236" i="42" s="1"/>
  <c r="RD78" i="2"/>
  <c r="RE78" i="2"/>
  <c r="RF78" i="2"/>
  <c r="BB236" i="42" s="1"/>
  <c r="RA79" i="2"/>
  <c r="RB79" i="2"/>
  <c r="RD79" i="2"/>
  <c r="RE79" i="2"/>
  <c r="RA80" i="2"/>
  <c r="RB80" i="2"/>
  <c r="RD80" i="2"/>
  <c r="RE80" i="2"/>
  <c r="RF80" i="2"/>
  <c r="BB238" i="42" s="1"/>
  <c r="RA81" i="2"/>
  <c r="RB81" i="2"/>
  <c r="RD81" i="2"/>
  <c r="RE81" i="2"/>
  <c r="RF81" i="2"/>
  <c r="BB239" i="42" s="1"/>
  <c r="RA82" i="2"/>
  <c r="RB82" i="2"/>
  <c r="RD82" i="2"/>
  <c r="RE82" i="2"/>
  <c r="RF82" i="2"/>
  <c r="BB240" i="42" s="1"/>
  <c r="RA83" i="2"/>
  <c r="RB83" i="2"/>
  <c r="RD83" i="2"/>
  <c r="RE83" i="2"/>
  <c r="RF83" i="2"/>
  <c r="BB241" i="42" s="1"/>
  <c r="RA84" i="2"/>
  <c r="RB84" i="2"/>
  <c r="RC84" i="2"/>
  <c r="AX242" i="42" s="1"/>
  <c r="RD84" i="2"/>
  <c r="RE84" i="2"/>
  <c r="RF84" i="2"/>
  <c r="BB242" i="42" s="1"/>
  <c r="RA85" i="2"/>
  <c r="RB85" i="2"/>
  <c r="RC85" i="2"/>
  <c r="AX243" i="42" s="1"/>
  <c r="RD85" i="2"/>
  <c r="RE85" i="2"/>
  <c r="RF85" i="2"/>
  <c r="BB243" i="42" s="1"/>
  <c r="RA86" i="2"/>
  <c r="RB86" i="2"/>
  <c r="RC86" i="2"/>
  <c r="AX244" i="42" s="1"/>
  <c r="RD86" i="2"/>
  <c r="RE86" i="2"/>
  <c r="RF86" i="2"/>
  <c r="BB244" i="42" s="1"/>
  <c r="RA87" i="2"/>
  <c r="RB87" i="2"/>
  <c r="RD87" i="2"/>
  <c r="RE87" i="2"/>
  <c r="RA88" i="2"/>
  <c r="RB88" i="2"/>
  <c r="RD88" i="2"/>
  <c r="RE88" i="2"/>
  <c r="RA89" i="2"/>
  <c r="RB89" i="2"/>
  <c r="RD89" i="2"/>
  <c r="RE89" i="2"/>
  <c r="RA90" i="2"/>
  <c r="RB90" i="2"/>
  <c r="RD90" i="2"/>
  <c r="RE90" i="2"/>
  <c r="RA91" i="2"/>
  <c r="RB91" i="2"/>
  <c r="RC91" i="2"/>
  <c r="AX249" i="42" s="1"/>
  <c r="RD91" i="2"/>
  <c r="RE91" i="2"/>
  <c r="RA92" i="2"/>
  <c r="RB92" i="2"/>
  <c r="RD92" i="2"/>
  <c r="RE92" i="2"/>
  <c r="RA93" i="2"/>
  <c r="RB93" i="2"/>
  <c r="RD93" i="2"/>
  <c r="RE93" i="2"/>
  <c r="RA94" i="2"/>
  <c r="RB94" i="2"/>
  <c r="RD94" i="2"/>
  <c r="RE94" i="2"/>
  <c r="RA95" i="2"/>
  <c r="RB95" i="2"/>
  <c r="RD95" i="2"/>
  <c r="RE95" i="2"/>
  <c r="RA96" i="2"/>
  <c r="RB96" i="2"/>
  <c r="RD96" i="2"/>
  <c r="RE96" i="2"/>
  <c r="RA97" i="2"/>
  <c r="RB97" i="2"/>
  <c r="RC97" i="2"/>
  <c r="AX255" i="42" s="1"/>
  <c r="RD97" i="2"/>
  <c r="RE97" i="2"/>
  <c r="RF97" i="2"/>
  <c r="BB255" i="42" s="1"/>
  <c r="RA98" i="2"/>
  <c r="RB98" i="2"/>
  <c r="RC98" i="2"/>
  <c r="AX258" i="42" s="1"/>
  <c r="RD98" i="2"/>
  <c r="RE98" i="2"/>
  <c r="RF98" i="2"/>
  <c r="BB258" i="42" s="1"/>
  <c r="RA99" i="2"/>
  <c r="RB99" i="2"/>
  <c r="RC99" i="2"/>
  <c r="AX259" i="42" s="1"/>
  <c r="RD99" i="2"/>
  <c r="RE99" i="2"/>
  <c r="RF99" i="2"/>
  <c r="BB259" i="42" s="1"/>
  <c r="RA100" i="2"/>
  <c r="RB100" i="2"/>
  <c r="RD100" i="2"/>
  <c r="RE100" i="2"/>
  <c r="RA101" i="2"/>
  <c r="RB101" i="2"/>
  <c r="RC101" i="2"/>
  <c r="AX261" i="42" s="1"/>
  <c r="RD101" i="2"/>
  <c r="RE101" i="2"/>
  <c r="RA102" i="2"/>
  <c r="RB102" i="2"/>
  <c r="RD102" i="2"/>
  <c r="RE102" i="2"/>
  <c r="RF102" i="2"/>
  <c r="BB262" i="42" s="1"/>
  <c r="RA103" i="2"/>
  <c r="RB103" i="2"/>
  <c r="RC103" i="2"/>
  <c r="AX263" i="42" s="1"/>
  <c r="RD103" i="2"/>
  <c r="RE103" i="2"/>
  <c r="RF103" i="2"/>
  <c r="BB263" i="42" s="1"/>
  <c r="RA104" i="2"/>
  <c r="RB104" i="2"/>
  <c r="RD104" i="2"/>
  <c r="RE104" i="2"/>
  <c r="RA105" i="2"/>
  <c r="RB105" i="2"/>
  <c r="RD105" i="2"/>
  <c r="RE105" i="2"/>
  <c r="RF105" i="2"/>
  <c r="BB265" i="42" s="1"/>
  <c r="QY9" i="2"/>
  <c r="G165" i="42" s="1"/>
  <c r="QY10" i="2"/>
  <c r="QY11" i="2"/>
  <c r="QY30" i="2"/>
  <c r="I30" i="22" s="1"/>
  <c r="K30" i="22" s="1"/>
  <c r="QY52" i="2"/>
  <c r="G210" i="42" s="1"/>
  <c r="AT210" i="42" s="1"/>
  <c r="QY53" i="2"/>
  <c r="G211" i="42" s="1"/>
  <c r="QY54" i="2"/>
  <c r="I54" i="22" s="1"/>
  <c r="K54" i="22" s="1"/>
  <c r="QY55" i="2"/>
  <c r="QY74" i="2"/>
  <c r="I74" i="22" s="1"/>
  <c r="K74" i="22" s="1"/>
  <c r="QY81" i="2"/>
  <c r="G239" i="42" s="1"/>
  <c r="N239" i="42" s="1"/>
  <c r="AH239" i="42" s="1"/>
  <c r="QY82" i="2"/>
  <c r="G240" i="42" s="1"/>
  <c r="AT240" i="42" s="1"/>
  <c r="QY95" i="2"/>
  <c r="QY96" i="2"/>
  <c r="QY97" i="2"/>
  <c r="G255" i="42" s="1"/>
  <c r="N255" i="42" s="1"/>
  <c r="AH255" i="42" s="1"/>
  <c r="QY98" i="2"/>
  <c r="I98" i="22" s="1"/>
  <c r="K98" i="22" s="1"/>
  <c r="QY103" i="2"/>
  <c r="I103" i="22" s="1"/>
  <c r="K103" i="22" s="1"/>
  <c r="QY104" i="2"/>
  <c r="G264" i="42" s="1"/>
  <c r="N264" i="42" s="1"/>
  <c r="AH264" i="42" s="1"/>
  <c r="V4" i="38"/>
  <c r="V5" i="38" s="1"/>
  <c r="V6" i="38" s="1"/>
  <c r="V7" i="38" s="1"/>
  <c r="V8" i="38" s="1"/>
  <c r="V9" i="38" s="1"/>
  <c r="V10" i="38" s="1"/>
  <c r="V11" i="38" s="1"/>
  <c r="V12" i="38" s="1"/>
  <c r="V13" i="38" s="1"/>
  <c r="V14" i="38" s="1"/>
  <c r="V15" i="38" s="1"/>
  <c r="V16" i="38" s="1"/>
  <c r="V17" i="38" s="1"/>
  <c r="V18" i="38" s="1"/>
  <c r="V19" i="38" s="1"/>
  <c r="V20" i="38" s="1"/>
  <c r="V21" i="38" s="1"/>
  <c r="V22" i="38" s="1"/>
  <c r="V23" i="38" s="1"/>
  <c r="V24" i="38" s="1"/>
  <c r="V25" i="38" s="1"/>
  <c r="V26" i="38" s="1"/>
  <c r="V27" i="38" s="1"/>
  <c r="V28" i="38" s="1"/>
  <c r="V29" i="38" s="1"/>
  <c r="V30" i="38" s="1"/>
  <c r="V31" i="38" s="1"/>
  <c r="V32" i="38" s="1"/>
  <c r="V33" i="38" s="1"/>
  <c r="V34" i="38" s="1"/>
  <c r="V35" i="38" s="1"/>
  <c r="V36" i="38" s="1"/>
  <c r="V37" i="38" s="1"/>
  <c r="V38" i="38" s="1"/>
  <c r="V39" i="38" s="1"/>
  <c r="V40" i="38" s="1"/>
  <c r="V41" i="38" s="1"/>
  <c r="V42" i="38" s="1"/>
  <c r="V43" i="38" s="1"/>
  <c r="V44" i="38" s="1"/>
  <c r="V45" i="38" s="1"/>
  <c r="V46" i="38" s="1"/>
  <c r="V47" i="38" s="1"/>
  <c r="V48" i="38" s="1"/>
  <c r="V49" i="38" s="1"/>
  <c r="V50" i="38" s="1"/>
  <c r="V51" i="38" s="1"/>
  <c r="V52" i="38" s="1"/>
  <c r="V53" i="38" s="1"/>
  <c r="V54" i="38" s="1"/>
  <c r="P33" i="38"/>
  <c r="Q33" i="38"/>
  <c r="I49" i="38"/>
  <c r="I47" i="38"/>
  <c r="I45" i="38"/>
  <c r="I43" i="38"/>
  <c r="I36" i="38"/>
  <c r="I34" i="38"/>
  <c r="I33" i="38"/>
  <c r="D48" i="38"/>
  <c r="P48" i="38" s="1"/>
  <c r="D33" i="38"/>
  <c r="R33" i="38" s="1"/>
  <c r="GL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6" i="2"/>
  <c r="W6" i="2"/>
  <c r="F55" i="3"/>
  <c r="N163" i="42" l="1"/>
  <c r="AH163" i="42" s="1"/>
  <c r="N211" i="42"/>
  <c r="AH211" i="42" s="1"/>
  <c r="N165" i="42"/>
  <c r="G253" i="42"/>
  <c r="I95" i="22"/>
  <c r="K95" i="22" s="1"/>
  <c r="G254" i="42"/>
  <c r="I96" i="22"/>
  <c r="K96" i="22" s="1"/>
  <c r="G190" i="42"/>
  <c r="I34" i="22"/>
  <c r="K34" i="22" s="1"/>
  <c r="G215" i="42"/>
  <c r="N215" i="42" s="1"/>
  <c r="I57" i="22"/>
  <c r="G216" i="42"/>
  <c r="I58" i="22"/>
  <c r="K58" i="22" s="1"/>
  <c r="RF69" i="2"/>
  <c r="BB227" i="42" s="1"/>
  <c r="RC69" i="2"/>
  <c r="AX227" i="42" s="1"/>
  <c r="RF76" i="2"/>
  <c r="BB234" i="42" s="1"/>
  <c r="AK75" i="2"/>
  <c r="QY75" i="2" s="1"/>
  <c r="I75" i="22" s="1"/>
  <c r="K75" i="22" s="1"/>
  <c r="AK76" i="2"/>
  <c r="QY76" i="2" s="1"/>
  <c r="RC75" i="2"/>
  <c r="AX233" i="42" s="1"/>
  <c r="RC68" i="2"/>
  <c r="AX226" i="42" s="1"/>
  <c r="RC67" i="2"/>
  <c r="AX225" i="42" s="1"/>
  <c r="RC73" i="2"/>
  <c r="AX231" i="42" s="1"/>
  <c r="AB67" i="2"/>
  <c r="RH59" i="2"/>
  <c r="BJ217" i="42" s="1"/>
  <c r="RI59" i="2"/>
  <c r="AT255" i="42"/>
  <c r="AK264" i="42"/>
  <c r="N241" i="42"/>
  <c r="AN241" i="42" s="1"/>
  <c r="N168" i="42"/>
  <c r="AH168" i="42" s="1"/>
  <c r="N261" i="42"/>
  <c r="AH261" i="42" s="1"/>
  <c r="N207" i="42"/>
  <c r="AH207" i="42" s="1"/>
  <c r="I78" i="22"/>
  <c r="K78" i="22" s="1"/>
  <c r="N210" i="42"/>
  <c r="AH210" i="42" s="1"/>
  <c r="I13" i="22"/>
  <c r="K13" i="22" s="1"/>
  <c r="RK10" i="2"/>
  <c r="BF166" i="42" s="1"/>
  <c r="G166" i="42"/>
  <c r="I101" i="22"/>
  <c r="K101" i="22" s="1"/>
  <c r="N236" i="42"/>
  <c r="AH236" i="42" s="1"/>
  <c r="I7" i="22"/>
  <c r="K7" i="22" s="1"/>
  <c r="RK11" i="2"/>
  <c r="BF167" i="42" s="1"/>
  <c r="G167" i="42"/>
  <c r="I53" i="22"/>
  <c r="K53" i="22" s="1"/>
  <c r="I12" i="22"/>
  <c r="K12" i="22" s="1"/>
  <c r="N169" i="42"/>
  <c r="RK55" i="2"/>
  <c r="BF213" i="42" s="1"/>
  <c r="G213" i="42"/>
  <c r="RK100" i="2"/>
  <c r="BF260" i="42" s="1"/>
  <c r="G260" i="42"/>
  <c r="I100" i="22"/>
  <c r="K100" i="22" s="1"/>
  <c r="I60" i="22"/>
  <c r="K60" i="22" s="1"/>
  <c r="N240" i="42"/>
  <c r="AH240" i="42" s="1"/>
  <c r="RK80" i="2"/>
  <c r="BF238" i="42" s="1"/>
  <c r="G238" i="42"/>
  <c r="I52" i="22"/>
  <c r="K52" i="22" s="1"/>
  <c r="N173" i="42"/>
  <c r="N218" i="42"/>
  <c r="AH218" i="42" s="1"/>
  <c r="RK33" i="2"/>
  <c r="BF189" i="42" s="1"/>
  <c r="G189" i="42"/>
  <c r="RK99" i="2"/>
  <c r="BF259" i="42" s="1"/>
  <c r="G259" i="42"/>
  <c r="I11" i="22"/>
  <c r="K11" i="22" s="1"/>
  <c r="RK56" i="2"/>
  <c r="BF214" i="42" s="1"/>
  <c r="G214" i="42"/>
  <c r="RK29" i="2"/>
  <c r="BF185" i="42" s="1"/>
  <c r="G185" i="42"/>
  <c r="I99" i="22"/>
  <c r="K99" i="22" s="1"/>
  <c r="I83" i="22"/>
  <c r="K83" i="22" s="1"/>
  <c r="I51" i="22"/>
  <c r="K51" i="22" s="1"/>
  <c r="AT239" i="42"/>
  <c r="RK54" i="2"/>
  <c r="BF212" i="42" s="1"/>
  <c r="G212" i="42"/>
  <c r="I55" i="22"/>
  <c r="K55" i="22" s="1"/>
  <c r="I10" i="22"/>
  <c r="K10" i="22" s="1"/>
  <c r="I82" i="22"/>
  <c r="K82" i="22" s="1"/>
  <c r="AN264" i="42"/>
  <c r="I17" i="22"/>
  <c r="K17" i="22" s="1"/>
  <c r="AQ264" i="42"/>
  <c r="N265" i="42"/>
  <c r="AQ265" i="42" s="1"/>
  <c r="I105" i="22"/>
  <c r="I33" i="22"/>
  <c r="K33" i="22" s="1"/>
  <c r="I9" i="22"/>
  <c r="K9" i="22" s="1"/>
  <c r="AT264" i="42"/>
  <c r="RK102" i="2"/>
  <c r="BF262" i="42" s="1"/>
  <c r="G262" i="42"/>
  <c r="I102" i="22"/>
  <c r="K102" i="22" s="1"/>
  <c r="RK30" i="2"/>
  <c r="BF186" i="42" s="1"/>
  <c r="G186" i="42"/>
  <c r="RK103" i="2"/>
  <c r="BF263" i="42" s="1"/>
  <c r="G263" i="42"/>
  <c r="RK98" i="2"/>
  <c r="BF258" i="42" s="1"/>
  <c r="G258" i="42"/>
  <c r="I97" i="22"/>
  <c r="K97" i="22" s="1"/>
  <c r="I81" i="22"/>
  <c r="K81" i="22" s="1"/>
  <c r="I73" i="22"/>
  <c r="K73" i="22" s="1"/>
  <c r="RK74" i="2"/>
  <c r="BF232" i="42" s="1"/>
  <c r="G232" i="42"/>
  <c r="I79" i="22"/>
  <c r="K79" i="22" s="1"/>
  <c r="I104" i="22"/>
  <c r="I80" i="22"/>
  <c r="K80" i="22" s="1"/>
  <c r="I56" i="22"/>
  <c r="K56" i="22" s="1"/>
  <c r="AH231" i="42"/>
  <c r="AQ239" i="42"/>
  <c r="AK239" i="42"/>
  <c r="AN239" i="42"/>
  <c r="AK255" i="42"/>
  <c r="AN255" i="42"/>
  <c r="AQ255" i="42"/>
  <c r="Q48" i="38"/>
  <c r="S48" i="38"/>
  <c r="R48" i="38"/>
  <c r="S33" i="38"/>
  <c r="AT24" i="2"/>
  <c r="AT46" i="2"/>
  <c r="QY46" i="2" s="1"/>
  <c r="AT26" i="2"/>
  <c r="QY31" i="2"/>
  <c r="RK31" i="2" s="1"/>
  <c r="BF187" i="42" s="1"/>
  <c r="AT16" i="2"/>
  <c r="QY16" i="2" s="1"/>
  <c r="QY39" i="2"/>
  <c r="RC39" i="2"/>
  <c r="AX195" i="42" s="1"/>
  <c r="AT45" i="2"/>
  <c r="RC61" i="2"/>
  <c r="AX219" i="42" s="1"/>
  <c r="AT32" i="2"/>
  <c r="QY32" i="2" s="1"/>
  <c r="QY14" i="2"/>
  <c r="RC25" i="2"/>
  <c r="AX181" i="42" s="1"/>
  <c r="RF77" i="2"/>
  <c r="BB235" i="42" s="1"/>
  <c r="AT77" i="2"/>
  <c r="QY77" i="2" s="1"/>
  <c r="AT62" i="2"/>
  <c r="AT15" i="2"/>
  <c r="QY15" i="2" s="1"/>
  <c r="RC15" i="2"/>
  <c r="AX171" i="42" s="1"/>
  <c r="QY8" i="2"/>
  <c r="RC35" i="2"/>
  <c r="AX191" i="42" s="1"/>
  <c r="RF35" i="2"/>
  <c r="BB191" i="42" s="1"/>
  <c r="QY35" i="2"/>
  <c r="QY94" i="2"/>
  <c r="RK94" i="2" s="1"/>
  <c r="BF252" i="42" s="1"/>
  <c r="QY72" i="2"/>
  <c r="QY50" i="2"/>
  <c r="QY28" i="2"/>
  <c r="RK28" i="2" s="1"/>
  <c r="BF184" i="42" s="1"/>
  <c r="QY93" i="2"/>
  <c r="RK93" i="2" s="1"/>
  <c r="BF251" i="42" s="1"/>
  <c r="QY71" i="2"/>
  <c r="RK71" i="2" s="1"/>
  <c r="BF229" i="42" s="1"/>
  <c r="QY89" i="2"/>
  <c r="QY44" i="2"/>
  <c r="QY86" i="2"/>
  <c r="QY64" i="2"/>
  <c r="QY42" i="2"/>
  <c r="QY20" i="2"/>
  <c r="QY70" i="2"/>
  <c r="QY91" i="2"/>
  <c r="QY47" i="2"/>
  <c r="QY68" i="2"/>
  <c r="QY67" i="2"/>
  <c r="QY88" i="2"/>
  <c r="RK88" i="2" s="1"/>
  <c r="BF246" i="42" s="1"/>
  <c r="QY22" i="2"/>
  <c r="QY87" i="2"/>
  <c r="QY85" i="2"/>
  <c r="QY63" i="2"/>
  <c r="QY41" i="2"/>
  <c r="QY19" i="2"/>
  <c r="QY38" i="2"/>
  <c r="RK38" i="2" s="1"/>
  <c r="BF194" i="42" s="1"/>
  <c r="QY92" i="2"/>
  <c r="RK92" i="2" s="1"/>
  <c r="BF250" i="42" s="1"/>
  <c r="QY26" i="2"/>
  <c r="QY69" i="2"/>
  <c r="RK69" i="2" s="1"/>
  <c r="BF227" i="42" s="1"/>
  <c r="QY25" i="2"/>
  <c r="QY90" i="2"/>
  <c r="QY21" i="2"/>
  <c r="QY84" i="2"/>
  <c r="RK84" i="2" s="1"/>
  <c r="BF242" i="42" s="1"/>
  <c r="QY62" i="2"/>
  <c r="QY40" i="2"/>
  <c r="QY18" i="2"/>
  <c r="QY36" i="2"/>
  <c r="RK36" i="2" s="1"/>
  <c r="BF192" i="42" s="1"/>
  <c r="RF60" i="2"/>
  <c r="BB218" i="42" s="1"/>
  <c r="RF89" i="2"/>
  <c r="BB247" i="42" s="1"/>
  <c r="RK81" i="2"/>
  <c r="BF239" i="42" s="1"/>
  <c r="RF38" i="2"/>
  <c r="BB194" i="42" s="1"/>
  <c r="RC94" i="2"/>
  <c r="AX252" i="42" s="1"/>
  <c r="RC72" i="2"/>
  <c r="AX230" i="42" s="1"/>
  <c r="RC50" i="2"/>
  <c r="AX206" i="42" s="1"/>
  <c r="RC28" i="2"/>
  <c r="AX184" i="42" s="1"/>
  <c r="RK58" i="2"/>
  <c r="BF216" i="42" s="1"/>
  <c r="RC93" i="2"/>
  <c r="AX251" i="42" s="1"/>
  <c r="RC71" i="2"/>
  <c r="AX229" i="42" s="1"/>
  <c r="RC49" i="2"/>
  <c r="AX205" i="42" s="1"/>
  <c r="RC27" i="2"/>
  <c r="AX183" i="42" s="1"/>
  <c r="RK34" i="2"/>
  <c r="BF190" i="42" s="1"/>
  <c r="RK101" i="2"/>
  <c r="BF261" i="42" s="1"/>
  <c r="RC92" i="2"/>
  <c r="AX250" i="42" s="1"/>
  <c r="RF68" i="2"/>
  <c r="BB226" i="42" s="1"/>
  <c r="RC70" i="2"/>
  <c r="AX228" i="42" s="1"/>
  <c r="RC26" i="2"/>
  <c r="AX182" i="42" s="1"/>
  <c r="RF46" i="2"/>
  <c r="BB202" i="42" s="1"/>
  <c r="RF58" i="2"/>
  <c r="BB216" i="42" s="1"/>
  <c r="RC16" i="2"/>
  <c r="AX172" i="42" s="1"/>
  <c r="RC88" i="2"/>
  <c r="AX246" i="42" s="1"/>
  <c r="RF100" i="2"/>
  <c r="BB260" i="42" s="1"/>
  <c r="RF45" i="2"/>
  <c r="BB201" i="42" s="1"/>
  <c r="RC104" i="2"/>
  <c r="AX264" i="42" s="1"/>
  <c r="RC40" i="2"/>
  <c r="AX196" i="42" s="1"/>
  <c r="RC18" i="2"/>
  <c r="AX174" i="42" s="1"/>
  <c r="RC48" i="2"/>
  <c r="AX204" i="42" s="1"/>
  <c r="RF67" i="2"/>
  <c r="BB225" i="42" s="1"/>
  <c r="RF90" i="2"/>
  <c r="BB248" i="42" s="1"/>
  <c r="RF24" i="2"/>
  <c r="BB180" i="42" s="1"/>
  <c r="RF66" i="2"/>
  <c r="BB224" i="42" s="1"/>
  <c r="RF44" i="2"/>
  <c r="BB200" i="42" s="1"/>
  <c r="RF22" i="2"/>
  <c r="BB178" i="42" s="1"/>
  <c r="RC87" i="2"/>
  <c r="AX245" i="42" s="1"/>
  <c r="RC65" i="2"/>
  <c r="AX223" i="42" s="1"/>
  <c r="RC43" i="2"/>
  <c r="AX199" i="42" s="1"/>
  <c r="RC21" i="2"/>
  <c r="AX177" i="42" s="1"/>
  <c r="RC17" i="2"/>
  <c r="AX173" i="42" s="1"/>
  <c r="AK61" i="2"/>
  <c r="RF61" i="2"/>
  <c r="BB219" i="42" s="1"/>
  <c r="QY61" i="2"/>
  <c r="RF59" i="2"/>
  <c r="BB217" i="42" s="1"/>
  <c r="AK59" i="2"/>
  <c r="QY59" i="2" s="1"/>
  <c r="QY23" i="2"/>
  <c r="RK23" i="2" s="1"/>
  <c r="BF179" i="42" s="1"/>
  <c r="QY48" i="2"/>
  <c r="QY27" i="2"/>
  <c r="AK37" i="2"/>
  <c r="QY37" i="2" s="1"/>
  <c r="RF37" i="2"/>
  <c r="BB193" i="42" s="1"/>
  <c r="QY24" i="2"/>
  <c r="QY43" i="2"/>
  <c r="AK65" i="2"/>
  <c r="QY65" i="2" s="1"/>
  <c r="RC14" i="2"/>
  <c r="AX170" i="42" s="1"/>
  <c r="QY49" i="2"/>
  <c r="RK49" i="2" s="1"/>
  <c r="BF205" i="42" s="1"/>
  <c r="QY45" i="2"/>
  <c r="RK12" i="2"/>
  <c r="BF168" i="42" s="1"/>
  <c r="QY66" i="2"/>
  <c r="RK66" i="2" s="1"/>
  <c r="BF224" i="42" s="1"/>
  <c r="RK52" i="2"/>
  <c r="BF210" i="42" s="1"/>
  <c r="RK7" i="2"/>
  <c r="BF163" i="42" s="1"/>
  <c r="RK96" i="2"/>
  <c r="BF254" i="42" s="1"/>
  <c r="RK95" i="2"/>
  <c r="BF253" i="42" s="1"/>
  <c r="RF96" i="2"/>
  <c r="BB254" i="42" s="1"/>
  <c r="RF74" i="2"/>
  <c r="BB232" i="42" s="1"/>
  <c r="RF52" i="2"/>
  <c r="BB210" i="42" s="1"/>
  <c r="RF30" i="2"/>
  <c r="BB186" i="42" s="1"/>
  <c r="RF8" i="2"/>
  <c r="BB164" i="42" s="1"/>
  <c r="RF95" i="2"/>
  <c r="BB253" i="42" s="1"/>
  <c r="RF73" i="2"/>
  <c r="BB231" i="42" s="1"/>
  <c r="RF51" i="2"/>
  <c r="BB207" i="42" s="1"/>
  <c r="RF29" i="2"/>
  <c r="BB185" i="42" s="1"/>
  <c r="RF7" i="2"/>
  <c r="BB163" i="42" s="1"/>
  <c r="RK51" i="2"/>
  <c r="BF207" i="42" s="1"/>
  <c r="RC52" i="2"/>
  <c r="AX210" i="42" s="1"/>
  <c r="RF88" i="2"/>
  <c r="BB246" i="42" s="1"/>
  <c r="RC66" i="2"/>
  <c r="AX224" i="42" s="1"/>
  <c r="RC44" i="2"/>
  <c r="AX200" i="42" s="1"/>
  <c r="RC22" i="2"/>
  <c r="AX178" i="42" s="1"/>
  <c r="RC7" i="2"/>
  <c r="AX163" i="42" s="1"/>
  <c r="RK13" i="2"/>
  <c r="BF169" i="42" s="1"/>
  <c r="RC8" i="2"/>
  <c r="AX164" i="42" s="1"/>
  <c r="RF87" i="2"/>
  <c r="BB245" i="42" s="1"/>
  <c r="RF65" i="2"/>
  <c r="BB223" i="42" s="1"/>
  <c r="RF43" i="2"/>
  <c r="BB199" i="42" s="1"/>
  <c r="RF21" i="2"/>
  <c r="BB177" i="42" s="1"/>
  <c r="RF72" i="2"/>
  <c r="BB230" i="42" s="1"/>
  <c r="RK78" i="2"/>
  <c r="BF236" i="42" s="1"/>
  <c r="RK73" i="2"/>
  <c r="BF231" i="42" s="1"/>
  <c r="RF94" i="2"/>
  <c r="BB252" i="42" s="1"/>
  <c r="RF50" i="2"/>
  <c r="BB206" i="42" s="1"/>
  <c r="RF28" i="2"/>
  <c r="BB184" i="42" s="1"/>
  <c r="RK79" i="2"/>
  <c r="BF237" i="42" s="1"/>
  <c r="RK104" i="2"/>
  <c r="BF264" i="42" s="1"/>
  <c r="RK60" i="2"/>
  <c r="BF218" i="42" s="1"/>
  <c r="RK97" i="2"/>
  <c r="BF255" i="42" s="1"/>
  <c r="RK53" i="2"/>
  <c r="BF211" i="42" s="1"/>
  <c r="RK9" i="2"/>
  <c r="BF165" i="42" s="1"/>
  <c r="RK82" i="2"/>
  <c r="BF240" i="42" s="1"/>
  <c r="RI69" i="2"/>
  <c r="RH69" i="2"/>
  <c r="BJ227" i="42" s="1"/>
  <c r="RI15" i="2"/>
  <c r="RI24" i="2"/>
  <c r="RI48" i="2"/>
  <c r="RH48" i="2"/>
  <c r="BJ204" i="42" s="1"/>
  <c r="RH49" i="2"/>
  <c r="BJ205" i="42" s="1"/>
  <c r="RI22" i="2"/>
  <c r="RK57" i="2"/>
  <c r="BF215" i="42" s="1"/>
  <c r="RI57" i="2"/>
  <c r="RH88" i="2"/>
  <c r="BJ246" i="42" s="1"/>
  <c r="RH66" i="2"/>
  <c r="BJ224" i="42" s="1"/>
  <c r="RH44" i="2"/>
  <c r="BJ200" i="42" s="1"/>
  <c r="RH22" i="2"/>
  <c r="BJ178" i="42" s="1"/>
  <c r="RH87" i="2"/>
  <c r="BJ245" i="42" s="1"/>
  <c r="RH65" i="2"/>
  <c r="BJ223" i="42" s="1"/>
  <c r="RH43" i="2"/>
  <c r="BJ199" i="42" s="1"/>
  <c r="RH21" i="2"/>
  <c r="BJ177" i="42" s="1"/>
  <c r="RI9" i="2"/>
  <c r="RH9" i="2"/>
  <c r="BJ165" i="42" s="1"/>
  <c r="RI62" i="2"/>
  <c r="RI40" i="2"/>
  <c r="RI18" i="2"/>
  <c r="RH84" i="2"/>
  <c r="BJ242" i="42" s="1"/>
  <c r="RH105" i="2"/>
  <c r="RH83" i="2"/>
  <c r="BJ241" i="42" s="1"/>
  <c r="RH61" i="2"/>
  <c r="BJ219" i="42" s="1"/>
  <c r="RH39" i="2"/>
  <c r="BJ195" i="42" s="1"/>
  <c r="RH17" i="2"/>
  <c r="BJ173" i="42" s="1"/>
  <c r="RK105" i="2"/>
  <c r="BF265" i="42" s="1"/>
  <c r="RK83" i="2"/>
  <c r="BF241" i="42" s="1"/>
  <c r="RK17" i="2"/>
  <c r="BF173" i="42" s="1"/>
  <c r="RI84" i="2"/>
  <c r="RH62" i="2"/>
  <c r="BJ220" i="42" s="1"/>
  <c r="RH40" i="2"/>
  <c r="BJ196" i="42" s="1"/>
  <c r="RH18" i="2"/>
  <c r="BJ174" i="42" s="1"/>
  <c r="RI104" i="2"/>
  <c r="RI82" i="2"/>
  <c r="RI60" i="2"/>
  <c r="RI38" i="2"/>
  <c r="RI27" i="2"/>
  <c r="RI16" i="2"/>
  <c r="RI89" i="2"/>
  <c r="RI67" i="2"/>
  <c r="RI45" i="2"/>
  <c r="RI23" i="2"/>
  <c r="OK6" i="2"/>
  <c r="AT253" i="42" l="1"/>
  <c r="N253" i="42"/>
  <c r="AH253" i="42" s="1"/>
  <c r="AT254" i="42"/>
  <c r="N254" i="42"/>
  <c r="AH165" i="42"/>
  <c r="RK35" i="2"/>
  <c r="BF191" i="42" s="1"/>
  <c r="RK76" i="2"/>
  <c r="BF234" i="42" s="1"/>
  <c r="G234" i="42"/>
  <c r="N234" i="42" s="1"/>
  <c r="I76" i="22"/>
  <c r="K76" i="22" s="1"/>
  <c r="AK253" i="42"/>
  <c r="AQ253" i="42"/>
  <c r="N190" i="42"/>
  <c r="N216" i="42"/>
  <c r="AH215" i="42"/>
  <c r="G233" i="42"/>
  <c r="N233" i="42" s="1"/>
  <c r="AH233" i="42" s="1"/>
  <c r="RK75" i="2"/>
  <c r="BF233" i="42" s="1"/>
  <c r="AN261" i="42"/>
  <c r="AQ241" i="42"/>
  <c r="AK241" i="42"/>
  <c r="AH241" i="42"/>
  <c r="AN253" i="42"/>
  <c r="AN265" i="42"/>
  <c r="AQ261" i="42"/>
  <c r="AK261" i="42"/>
  <c r="AK265" i="42"/>
  <c r="AH265" i="42"/>
  <c r="AK240" i="42"/>
  <c r="AH173" i="42"/>
  <c r="N263" i="42"/>
  <c r="AT263" i="42"/>
  <c r="G199" i="42"/>
  <c r="I43" i="22"/>
  <c r="K43" i="22" s="1"/>
  <c r="RK43" i="2"/>
  <c r="BF199" i="42" s="1"/>
  <c r="N260" i="42"/>
  <c r="AT260" i="42"/>
  <c r="RK65" i="2"/>
  <c r="BF223" i="42" s="1"/>
  <c r="G223" i="42"/>
  <c r="I65" i="22"/>
  <c r="AT262" i="42"/>
  <c r="N262" i="42"/>
  <c r="RK67" i="2"/>
  <c r="BF225" i="42" s="1"/>
  <c r="G225" i="42"/>
  <c r="I67" i="22"/>
  <c r="K67" i="22" s="1"/>
  <c r="AT214" i="42"/>
  <c r="N214" i="42"/>
  <c r="AH169" i="42"/>
  <c r="RK46" i="2"/>
  <c r="BF202" i="42" s="1"/>
  <c r="G202" i="42"/>
  <c r="I46" i="22"/>
  <c r="K46" i="22" s="1"/>
  <c r="G230" i="42"/>
  <c r="I72" i="22"/>
  <c r="K72" i="22" s="1"/>
  <c r="RK77" i="2"/>
  <c r="BF235" i="42" s="1"/>
  <c r="G235" i="42"/>
  <c r="I77" i="22"/>
  <c r="K77" i="22" s="1"/>
  <c r="G206" i="42"/>
  <c r="I50" i="22"/>
  <c r="K50" i="22" s="1"/>
  <c r="N185" i="42"/>
  <c r="N167" i="42"/>
  <c r="G203" i="42"/>
  <c r="I47" i="22"/>
  <c r="K47" i="22" s="1"/>
  <c r="G174" i="42"/>
  <c r="I18" i="22"/>
  <c r="K18" i="22" s="1"/>
  <c r="RK18" i="2"/>
  <c r="BF174" i="42" s="1"/>
  <c r="N186" i="42"/>
  <c r="G250" i="42"/>
  <c r="I92" i="22"/>
  <c r="K92" i="22" s="1"/>
  <c r="AT238" i="42"/>
  <c r="N238" i="42"/>
  <c r="RK19" i="2"/>
  <c r="BF175" i="42" s="1"/>
  <c r="G175" i="42"/>
  <c r="I19" i="22"/>
  <c r="K19" i="22" s="1"/>
  <c r="G192" i="42"/>
  <c r="I36" i="22"/>
  <c r="K36" i="22" s="1"/>
  <c r="N259" i="42"/>
  <c r="AT259" i="42"/>
  <c r="G196" i="42"/>
  <c r="I40" i="22"/>
  <c r="K40" i="22" s="1"/>
  <c r="RK40" i="2"/>
  <c r="BF196" i="42" s="1"/>
  <c r="RK62" i="2"/>
  <c r="BF220" i="42" s="1"/>
  <c r="G220" i="42"/>
  <c r="I62" i="22"/>
  <c r="K62" i="22" s="1"/>
  <c r="RK42" i="2"/>
  <c r="BF198" i="42" s="1"/>
  <c r="G198" i="42"/>
  <c r="I42" i="22"/>
  <c r="K42" i="22" s="1"/>
  <c r="RK32" i="2"/>
  <c r="BF188" i="42" s="1"/>
  <c r="G188" i="42"/>
  <c r="I32" i="22"/>
  <c r="K32" i="22" s="1"/>
  <c r="AQ240" i="42"/>
  <c r="RK47" i="2"/>
  <c r="BF203" i="42" s="1"/>
  <c r="G242" i="42"/>
  <c r="I84" i="22"/>
  <c r="K84" i="22" s="1"/>
  <c r="RK64" i="2"/>
  <c r="BF222" i="42" s="1"/>
  <c r="G222" i="42"/>
  <c r="I64" i="22"/>
  <c r="K64" i="22" s="1"/>
  <c r="RK15" i="2"/>
  <c r="BF171" i="42" s="1"/>
  <c r="G171" i="42"/>
  <c r="I15" i="22"/>
  <c r="RK61" i="2"/>
  <c r="BF219" i="42" s="1"/>
  <c r="G219" i="42"/>
  <c r="I61" i="22"/>
  <c r="RK50" i="2"/>
  <c r="BF206" i="42" s="1"/>
  <c r="RK21" i="2"/>
  <c r="BF177" i="42" s="1"/>
  <c r="G177" i="42"/>
  <c r="I21" i="22"/>
  <c r="K21" i="22" s="1"/>
  <c r="RK86" i="2"/>
  <c r="BF244" i="42" s="1"/>
  <c r="G244" i="42"/>
  <c r="I86" i="22"/>
  <c r="K86" i="22" s="1"/>
  <c r="RK39" i="2"/>
  <c r="BF195" i="42" s="1"/>
  <c r="G195" i="42"/>
  <c r="I39" i="22"/>
  <c r="G184" i="42"/>
  <c r="I28" i="22"/>
  <c r="K28" i="22" s="1"/>
  <c r="G194" i="42"/>
  <c r="I38" i="22"/>
  <c r="K38" i="22" s="1"/>
  <c r="RK59" i="2"/>
  <c r="BF217" i="42" s="1"/>
  <c r="G217" i="42"/>
  <c r="I59" i="22"/>
  <c r="RK14" i="2"/>
  <c r="BF170" i="42" s="1"/>
  <c r="G170" i="42"/>
  <c r="I14" i="22"/>
  <c r="K14" i="22" s="1"/>
  <c r="N189" i="42"/>
  <c r="AT189" i="42"/>
  <c r="G224" i="42"/>
  <c r="I66" i="22"/>
  <c r="K66" i="22" s="1"/>
  <c r="RK90" i="2"/>
  <c r="BF248" i="42" s="1"/>
  <c r="G248" i="42"/>
  <c r="I90" i="22"/>
  <c r="K90" i="22" s="1"/>
  <c r="RK25" i="2"/>
  <c r="BF181" i="42" s="1"/>
  <c r="G181" i="42"/>
  <c r="I25" i="22"/>
  <c r="K25" i="22" s="1"/>
  <c r="RK45" i="2"/>
  <c r="BF201" i="42" s="1"/>
  <c r="G201" i="42"/>
  <c r="I45" i="22"/>
  <c r="G227" i="42"/>
  <c r="I69" i="22"/>
  <c r="K69" i="22" s="1"/>
  <c r="G229" i="42"/>
  <c r="I71" i="22"/>
  <c r="K71" i="22" s="1"/>
  <c r="RK16" i="2"/>
  <c r="BF172" i="42" s="1"/>
  <c r="G172" i="42"/>
  <c r="I16" i="22"/>
  <c r="K16" i="22" s="1"/>
  <c r="N213" i="42"/>
  <c r="AT213" i="42"/>
  <c r="RK68" i="2"/>
  <c r="BF226" i="42" s="1"/>
  <c r="G226" i="42"/>
  <c r="I68" i="22"/>
  <c r="K68" i="22" s="1"/>
  <c r="RK91" i="2"/>
  <c r="BF249" i="42" s="1"/>
  <c r="G249" i="42"/>
  <c r="I91" i="22"/>
  <c r="K91" i="22" s="1"/>
  <c r="RK70" i="2"/>
  <c r="BF228" i="42" s="1"/>
  <c r="G228" i="42"/>
  <c r="I70" i="22"/>
  <c r="K70" i="22" s="1"/>
  <c r="RK20" i="2"/>
  <c r="BF176" i="42" s="1"/>
  <c r="G176" i="42"/>
  <c r="I20" i="22"/>
  <c r="K20" i="22" s="1"/>
  <c r="RK72" i="2"/>
  <c r="BF230" i="42" s="1"/>
  <c r="RK44" i="2"/>
  <c r="BF200" i="42" s="1"/>
  <c r="G200" i="42"/>
  <c r="I44" i="22"/>
  <c r="K44" i="22" s="1"/>
  <c r="G247" i="42"/>
  <c r="I89" i="22"/>
  <c r="K89" i="22" s="1"/>
  <c r="RK89" i="2"/>
  <c r="BF247" i="42" s="1"/>
  <c r="G205" i="42"/>
  <c r="I49" i="22"/>
  <c r="K49" i="22" s="1"/>
  <c r="RK26" i="2"/>
  <c r="BF182" i="42" s="1"/>
  <c r="G182" i="42"/>
  <c r="I26" i="22"/>
  <c r="K26" i="22" s="1"/>
  <c r="G251" i="42"/>
  <c r="I93" i="22"/>
  <c r="K93" i="22" s="1"/>
  <c r="G187" i="42"/>
  <c r="I31" i="22"/>
  <c r="K31" i="22" s="1"/>
  <c r="AN240" i="42"/>
  <c r="RK24" i="2"/>
  <c r="BF180" i="42" s="1"/>
  <c r="G180" i="42"/>
  <c r="I24" i="22"/>
  <c r="RK41" i="2"/>
  <c r="BF197" i="42" s="1"/>
  <c r="G197" i="42"/>
  <c r="I41" i="22"/>
  <c r="K41" i="22" s="1"/>
  <c r="G252" i="42"/>
  <c r="I94" i="22"/>
  <c r="K94" i="22" s="1"/>
  <c r="N232" i="42"/>
  <c r="RK63" i="2"/>
  <c r="BF221" i="42" s="1"/>
  <c r="G221" i="42"/>
  <c r="I63" i="22"/>
  <c r="K63" i="22" s="1"/>
  <c r="G191" i="42"/>
  <c r="I35" i="22"/>
  <c r="K35" i="22" s="1"/>
  <c r="N166" i="42"/>
  <c r="RK37" i="2"/>
  <c r="BF193" i="42" s="1"/>
  <c r="G193" i="42"/>
  <c r="I37" i="22"/>
  <c r="K37" i="22" s="1"/>
  <c r="RK85" i="2"/>
  <c r="BF243" i="42" s="1"/>
  <c r="G243" i="42"/>
  <c r="I85" i="22"/>
  <c r="K85" i="22" s="1"/>
  <c r="RK27" i="2"/>
  <c r="BF183" i="42" s="1"/>
  <c r="G183" i="42"/>
  <c r="I27" i="22"/>
  <c r="K27" i="22" s="1"/>
  <c r="RK87" i="2"/>
  <c r="BF245" i="42" s="1"/>
  <c r="G245" i="42"/>
  <c r="I87" i="22"/>
  <c r="K87" i="22" s="1"/>
  <c r="RK48" i="2"/>
  <c r="BF204" i="42" s="1"/>
  <c r="G204" i="42"/>
  <c r="I48" i="22"/>
  <c r="RK22" i="2"/>
  <c r="BF178" i="42" s="1"/>
  <c r="G178" i="42"/>
  <c r="I22" i="22"/>
  <c r="RK8" i="2"/>
  <c r="BF164" i="42" s="1"/>
  <c r="G164" i="42"/>
  <c r="I8" i="22"/>
  <c r="K8" i="22" s="1"/>
  <c r="G179" i="42"/>
  <c r="I23" i="22"/>
  <c r="G246" i="42"/>
  <c r="I88" i="22"/>
  <c r="K88" i="22" s="1"/>
  <c r="N258" i="42"/>
  <c r="AT258" i="42"/>
  <c r="N212" i="42"/>
  <c r="AT212" i="42"/>
  <c r="NS6" i="2"/>
  <c r="AQ254" i="42" l="1"/>
  <c r="AN254" i="42"/>
  <c r="AK254" i="42"/>
  <c r="AH254" i="42"/>
  <c r="AH190" i="42"/>
  <c r="AH216" i="42"/>
  <c r="N202" i="42"/>
  <c r="N176" i="42"/>
  <c r="AT176" i="42"/>
  <c r="N228" i="42"/>
  <c r="N181" i="42"/>
  <c r="AT248" i="42"/>
  <c r="N248" i="42"/>
  <c r="N198" i="42"/>
  <c r="N174" i="42"/>
  <c r="AT174" i="42"/>
  <c r="N225" i="42"/>
  <c r="N195" i="42"/>
  <c r="AT243" i="42"/>
  <c r="N243" i="42"/>
  <c r="N179" i="42"/>
  <c r="N193" i="42"/>
  <c r="N251" i="42"/>
  <c r="AT251" i="42"/>
  <c r="AH167" i="42"/>
  <c r="N201" i="42"/>
  <c r="N188" i="42"/>
  <c r="N187" i="42"/>
  <c r="N249" i="42"/>
  <c r="AT249" i="42"/>
  <c r="AH262" i="42"/>
  <c r="AN262" i="42"/>
  <c r="AK262" i="42"/>
  <c r="AQ262" i="42"/>
  <c r="AH166" i="42"/>
  <c r="N182" i="42"/>
  <c r="AH185" i="42"/>
  <c r="AH234" i="42"/>
  <c r="N226" i="42"/>
  <c r="AH189" i="42"/>
  <c r="N170" i="42"/>
  <c r="N221" i="42"/>
  <c r="N180" i="42"/>
  <c r="AT244" i="42"/>
  <c r="N244" i="42"/>
  <c r="AH214" i="42"/>
  <c r="N177" i="42"/>
  <c r="N220" i="42"/>
  <c r="N219" i="42"/>
  <c r="N164" i="42"/>
  <c r="N196" i="42"/>
  <c r="N205" i="42"/>
  <c r="AT205" i="42"/>
  <c r="N172" i="42"/>
  <c r="AT172" i="42"/>
  <c r="AH259" i="42"/>
  <c r="AK259" i="42"/>
  <c r="AN259" i="42"/>
  <c r="AQ259" i="42"/>
  <c r="N217" i="42"/>
  <c r="AT206" i="42"/>
  <c r="N206" i="42"/>
  <c r="AH260" i="42"/>
  <c r="AQ260" i="42"/>
  <c r="AN260" i="42"/>
  <c r="AK260" i="42"/>
  <c r="N222" i="42"/>
  <c r="N192" i="42"/>
  <c r="AT192" i="42"/>
  <c r="N197" i="42"/>
  <c r="AT197" i="42"/>
  <c r="AH212" i="42"/>
  <c r="N191" i="42"/>
  <c r="N171" i="42"/>
  <c r="AT194" i="42"/>
  <c r="N194" i="42"/>
  <c r="N175" i="42"/>
  <c r="N199" i="42"/>
  <c r="N250" i="42"/>
  <c r="AT250" i="42"/>
  <c r="AH186" i="42"/>
  <c r="AH258" i="42"/>
  <c r="AN258" i="42"/>
  <c r="AQ258" i="42"/>
  <c r="AK258" i="42"/>
  <c r="N224" i="42"/>
  <c r="AH213" i="42"/>
  <c r="N223" i="42"/>
  <c r="AH232" i="42"/>
  <c r="N204" i="42"/>
  <c r="AT229" i="42"/>
  <c r="N229" i="42"/>
  <c r="N227" i="42"/>
  <c r="AT242" i="42"/>
  <c r="N242" i="42"/>
  <c r="N183" i="42"/>
  <c r="AT246" i="42"/>
  <c r="N246" i="42"/>
  <c r="AT203" i="42"/>
  <c r="N203" i="42"/>
  <c r="N178" i="42"/>
  <c r="AT247" i="42"/>
  <c r="N247" i="42"/>
  <c r="N235" i="42"/>
  <c r="N200" i="42"/>
  <c r="AT252" i="42"/>
  <c r="N252" i="42"/>
  <c r="AT245" i="42"/>
  <c r="N245" i="42"/>
  <c r="N184" i="42"/>
  <c r="AH238" i="42"/>
  <c r="AN238" i="42"/>
  <c r="AK238" i="42"/>
  <c r="AQ238" i="42"/>
  <c r="N230" i="42"/>
  <c r="AH263" i="42"/>
  <c r="AN263" i="42"/>
  <c r="AK263" i="42"/>
  <c r="AQ263" i="42"/>
  <c r="LQ6" i="2"/>
  <c r="AH225" i="42" l="1"/>
  <c r="AH229" i="42"/>
  <c r="AH226" i="42"/>
  <c r="AH187" i="42"/>
  <c r="AH204" i="42"/>
  <c r="AH200" i="42"/>
  <c r="AH175" i="42"/>
  <c r="AH181" i="42"/>
  <c r="AH192" i="42"/>
  <c r="AH199" i="42"/>
  <c r="AH201" i="42"/>
  <c r="AH223" i="42"/>
  <c r="AH228" i="42"/>
  <c r="AH244" i="42"/>
  <c r="AN244" i="42"/>
  <c r="AK244" i="42"/>
  <c r="AQ244" i="42"/>
  <c r="AH198" i="42"/>
  <c r="AH202" i="42"/>
  <c r="AQ252" i="42"/>
  <c r="AH252" i="42"/>
  <c r="AK252" i="42"/>
  <c r="AN252" i="42"/>
  <c r="AH250" i="42"/>
  <c r="AQ250" i="42"/>
  <c r="AN250" i="42"/>
  <c r="AK250" i="42"/>
  <c r="AH206" i="42"/>
  <c r="AQ206" i="42"/>
  <c r="AH184" i="42"/>
  <c r="AH222" i="42"/>
  <c r="AH174" i="42"/>
  <c r="AQ174" i="42"/>
  <c r="AN174" i="42"/>
  <c r="AK174" i="42"/>
  <c r="AH220" i="42"/>
  <c r="AH177" i="42"/>
  <c r="AH247" i="42"/>
  <c r="AN247" i="42"/>
  <c r="AQ247" i="42"/>
  <c r="AK247" i="42"/>
  <c r="AH194" i="42"/>
  <c r="AH217" i="42"/>
  <c r="AH178" i="42"/>
  <c r="AH171" i="42"/>
  <c r="AH182" i="42"/>
  <c r="AH251" i="42"/>
  <c r="AN251" i="42"/>
  <c r="AQ251" i="42"/>
  <c r="AK251" i="42"/>
  <c r="AH176" i="42"/>
  <c r="AH203" i="42"/>
  <c r="AH180" i="42"/>
  <c r="AH191" i="42"/>
  <c r="AK191" i="42"/>
  <c r="AH193" i="42"/>
  <c r="AH230" i="42"/>
  <c r="AH246" i="42"/>
  <c r="AQ246" i="42"/>
  <c r="AN246" i="42"/>
  <c r="AK246" i="42"/>
  <c r="AH224" i="42"/>
  <c r="AH221" i="42"/>
  <c r="AH172" i="42"/>
  <c r="AH179" i="42"/>
  <c r="AH183" i="42"/>
  <c r="AQ243" i="42"/>
  <c r="AK243" i="42"/>
  <c r="AN243" i="42"/>
  <c r="AH243" i="42"/>
  <c r="AH205" i="42"/>
  <c r="AH170" i="42"/>
  <c r="AK242" i="42"/>
  <c r="AN242" i="42"/>
  <c r="AQ242" i="42"/>
  <c r="AH242" i="42"/>
  <c r="AQ197" i="42"/>
  <c r="AK197" i="42"/>
  <c r="AH197" i="42"/>
  <c r="AH196" i="42"/>
  <c r="AH195" i="42"/>
  <c r="AH249" i="42"/>
  <c r="AN249" i="42"/>
  <c r="AQ249" i="42"/>
  <c r="AK249" i="42"/>
  <c r="AQ245" i="42"/>
  <c r="AK245" i="42"/>
  <c r="AH245" i="42"/>
  <c r="AN245" i="42"/>
  <c r="AH219" i="42"/>
  <c r="AH188" i="42"/>
  <c r="AQ248" i="42"/>
  <c r="AK248" i="42"/>
  <c r="AH248" i="42"/>
  <c r="AN248" i="42"/>
  <c r="AH235" i="42"/>
  <c r="AH227" i="42"/>
  <c r="AH164" i="42"/>
  <c r="C100" i="27"/>
  <c r="G95" i="24"/>
  <c r="G96" i="24"/>
  <c r="G97" i="24"/>
  <c r="G98" i="24"/>
  <c r="G101" i="24"/>
  <c r="G102" i="24"/>
  <c r="G103" i="24"/>
  <c r="O60" i="38"/>
  <c r="J56" i="38"/>
  <c r="J64" i="38" s="1"/>
  <c r="CH6" i="2"/>
  <c r="C55" i="26"/>
  <c r="C56" i="26"/>
  <c r="C57" i="26"/>
  <c r="C58" i="26"/>
  <c r="C59" i="26"/>
  <c r="C60" i="25"/>
  <c r="C60" i="26"/>
  <c r="C61" i="25"/>
  <c r="C61" i="26"/>
  <c r="C62" i="25"/>
  <c r="C62" i="26"/>
  <c r="C63" i="25"/>
  <c r="C63" i="26"/>
  <c r="C64" i="26"/>
  <c r="C65" i="25"/>
  <c r="C65" i="26"/>
  <c r="C66" i="25"/>
  <c r="C66" i="26"/>
  <c r="C67" i="25"/>
  <c r="C67" i="26"/>
  <c r="C68" i="25"/>
  <c r="C68" i="26"/>
  <c r="C69" i="25"/>
  <c r="C69" i="26"/>
  <c r="C70" i="25"/>
  <c r="C70" i="26"/>
  <c r="C71" i="25"/>
  <c r="C71" i="26"/>
  <c r="C72" i="25"/>
  <c r="C72" i="26"/>
  <c r="C73" i="25"/>
  <c r="C73" i="26"/>
  <c r="C74" i="25"/>
  <c r="C74" i="26"/>
  <c r="C75" i="25"/>
  <c r="C75" i="26"/>
  <c r="D75" i="28"/>
  <c r="C75" i="28" s="1"/>
  <c r="D75" i="31"/>
  <c r="C75" i="31" s="1"/>
  <c r="C76" i="25"/>
  <c r="C76" i="26"/>
  <c r="D76" i="28"/>
  <c r="C76" i="28" s="1"/>
  <c r="D76" i="31"/>
  <c r="C76" i="31" s="1"/>
  <c r="C77" i="25"/>
  <c r="C77" i="26"/>
  <c r="D77" i="28"/>
  <c r="C77" i="28" s="1"/>
  <c r="D77" i="31"/>
  <c r="C77" i="31" s="1"/>
  <c r="C78" i="25"/>
  <c r="C78" i="26"/>
  <c r="D78" i="28"/>
  <c r="C78" i="28" s="1"/>
  <c r="D78" i="31"/>
  <c r="C78" i="31" s="1"/>
  <c r="C79" i="25"/>
  <c r="C79" i="26"/>
  <c r="D79" i="28"/>
  <c r="C79" i="28" s="1"/>
  <c r="D79" i="31"/>
  <c r="C79" i="31" s="1"/>
  <c r="C80" i="25"/>
  <c r="C80" i="26"/>
  <c r="D80" i="28"/>
  <c r="C80" i="28" s="1"/>
  <c r="D80" i="31"/>
  <c r="C80" i="31" s="1"/>
  <c r="C81" i="25"/>
  <c r="C81" i="26"/>
  <c r="D81" i="28"/>
  <c r="C81" i="28" s="1"/>
  <c r="D81" i="31"/>
  <c r="C81" i="31" s="1"/>
  <c r="C82" i="25"/>
  <c r="C82" i="26"/>
  <c r="D82" i="28"/>
  <c r="C82" i="28" s="1"/>
  <c r="D82" i="31"/>
  <c r="C82" i="31" s="1"/>
  <c r="C83" i="25"/>
  <c r="C83" i="26"/>
  <c r="D83" i="28"/>
  <c r="C83" i="28" s="1"/>
  <c r="D83" i="31"/>
  <c r="C83" i="31" s="1"/>
  <c r="C84" i="25"/>
  <c r="C84" i="26"/>
  <c r="D84" i="28"/>
  <c r="C84" i="28" s="1"/>
  <c r="D84" i="31"/>
  <c r="C84" i="31" s="1"/>
  <c r="C85" i="25"/>
  <c r="C85" i="26"/>
  <c r="D85" i="28"/>
  <c r="C85" i="28" s="1"/>
  <c r="D85" i="31"/>
  <c r="C85" i="31" s="1"/>
  <c r="C86" i="25"/>
  <c r="C86" i="26"/>
  <c r="D86" i="28"/>
  <c r="C86" i="28" s="1"/>
  <c r="D86" i="31"/>
  <c r="C86" i="31" s="1"/>
  <c r="C87" i="25"/>
  <c r="C87" i="26"/>
  <c r="D87" i="28"/>
  <c r="C87" i="28" s="1"/>
  <c r="D87" i="31"/>
  <c r="C87" i="31" s="1"/>
  <c r="C88" i="25"/>
  <c r="C88" i="26"/>
  <c r="D88" i="28"/>
  <c r="C88" i="28" s="1"/>
  <c r="D88" i="31"/>
  <c r="C88" i="31" s="1"/>
  <c r="C89" i="25"/>
  <c r="C89" i="26"/>
  <c r="D89" i="28"/>
  <c r="C89" i="28" s="1"/>
  <c r="D89" i="31"/>
  <c r="C89" i="31" s="1"/>
  <c r="C90" i="25"/>
  <c r="C90" i="26"/>
  <c r="C90" i="27"/>
  <c r="D90" i="28"/>
  <c r="C90" i="28" s="1"/>
  <c r="D90" i="31"/>
  <c r="C90" i="31" s="1"/>
  <c r="C91" i="25"/>
  <c r="C91" i="26"/>
  <c r="D91" i="28"/>
  <c r="C91" i="28" s="1"/>
  <c r="D91" i="31"/>
  <c r="C91" i="31" s="1"/>
  <c r="C92" i="25"/>
  <c r="C92" i="26"/>
  <c r="D92" i="28"/>
  <c r="C92" i="28" s="1"/>
  <c r="D92" i="31"/>
  <c r="C92" i="31" s="1"/>
  <c r="C93" i="25"/>
  <c r="C93" i="26"/>
  <c r="D93" i="28"/>
  <c r="C93" i="28" s="1"/>
  <c r="D93" i="31"/>
  <c r="C93" i="31" s="1"/>
  <c r="C94" i="25"/>
  <c r="C94" i="26"/>
  <c r="D94" i="28"/>
  <c r="C94" i="28" s="1"/>
  <c r="D94" i="31"/>
  <c r="C94" i="31" s="1"/>
  <c r="C95" i="25"/>
  <c r="C95" i="26"/>
  <c r="D95" i="28"/>
  <c r="C95" i="28" s="1"/>
  <c r="D95" i="31"/>
  <c r="C95" i="31" s="1"/>
  <c r="C96" i="25"/>
  <c r="C96" i="26"/>
  <c r="D96" i="28"/>
  <c r="C96" i="28" s="1"/>
  <c r="D96" i="31"/>
  <c r="C96" i="31" s="1"/>
  <c r="C97" i="25"/>
  <c r="C97" i="26"/>
  <c r="C97" i="27"/>
  <c r="D97" i="28"/>
  <c r="C97" i="28" s="1"/>
  <c r="D97" i="31"/>
  <c r="C97" i="31" s="1"/>
  <c r="C98" i="25"/>
  <c r="C98" i="26"/>
  <c r="D98" i="28"/>
  <c r="C98" i="28" s="1"/>
  <c r="D98" i="31"/>
  <c r="C98" i="31" s="1"/>
  <c r="C99" i="25"/>
  <c r="C99" i="26"/>
  <c r="C99" i="27"/>
  <c r="D99" i="28"/>
  <c r="C99" i="28" s="1"/>
  <c r="D99" i="31"/>
  <c r="C99" i="31" s="1"/>
  <c r="C100" i="25"/>
  <c r="C100" i="26"/>
  <c r="D100" i="28"/>
  <c r="C100" i="28" s="1"/>
  <c r="D100" i="31"/>
  <c r="C100" i="31" s="1"/>
  <c r="C101" i="25"/>
  <c r="C101" i="26"/>
  <c r="C101" i="27"/>
  <c r="D101" i="28"/>
  <c r="C101" i="28" s="1"/>
  <c r="D101" i="31"/>
  <c r="C101" i="31" s="1"/>
  <c r="C102" i="25"/>
  <c r="C102" i="26"/>
  <c r="D102" i="28"/>
  <c r="C102" i="28" s="1"/>
  <c r="D102" i="31"/>
  <c r="C102" i="31" s="1"/>
  <c r="C103" i="25"/>
  <c r="C103" i="26"/>
  <c r="D103" i="28"/>
  <c r="C103" i="28" s="1"/>
  <c r="D103" i="31"/>
  <c r="C103" i="31" s="1"/>
  <c r="C104" i="25"/>
  <c r="C104" i="26"/>
  <c r="D104" i="28"/>
  <c r="C104" i="28" s="1"/>
  <c r="D104" i="31"/>
  <c r="C104" i="31" s="1"/>
  <c r="C105" i="25"/>
  <c r="C105" i="26"/>
  <c r="C105" i="27"/>
  <c r="D105" i="28"/>
  <c r="C105" i="28" s="1"/>
  <c r="C99" i="23"/>
  <c r="C101" i="23"/>
  <c r="C64" i="25"/>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D105" i="31"/>
  <c r="C105" i="31" s="1"/>
  <c r="D90" i="35"/>
  <c r="C90" i="35" s="1"/>
  <c r="C92" i="33"/>
  <c r="D95" i="35"/>
  <c r="C95" i="35" s="1"/>
  <c r="D96" i="35"/>
  <c r="C96" i="35" s="1"/>
  <c r="D97" i="35"/>
  <c r="C97" i="35" s="1"/>
  <c r="D99" i="35"/>
  <c r="C99" i="35" s="1"/>
  <c r="C101" i="33"/>
  <c r="D101" i="35"/>
  <c r="C101" i="35" s="1"/>
  <c r="D102" i="35"/>
  <c r="C102" i="35" s="1"/>
  <c r="D103" i="35"/>
  <c r="C103" i="35" s="1"/>
  <c r="C104" i="33"/>
  <c r="D105" i="35"/>
  <c r="C105" i="35" s="1"/>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75" i="35"/>
  <c r="B76" i="35"/>
  <c r="B77" i="35"/>
  <c r="B78" i="35"/>
  <c r="B79" i="35"/>
  <c r="B80" i="35"/>
  <c r="B81" i="35"/>
  <c r="B82" i="35"/>
  <c r="B83" i="35"/>
  <c r="B84" i="35"/>
  <c r="B85" i="35"/>
  <c r="B86" i="35"/>
  <c r="B87" i="35"/>
  <c r="B88" i="35"/>
  <c r="B89" i="35"/>
  <c r="B90" i="35"/>
  <c r="B91" i="35"/>
  <c r="D91" i="35"/>
  <c r="C91" i="35" s="1"/>
  <c r="B92" i="35"/>
  <c r="D92" i="35"/>
  <c r="C92" i="35" s="1"/>
  <c r="B93" i="35"/>
  <c r="D93" i="35"/>
  <c r="C93" i="35" s="1"/>
  <c r="B94" i="35"/>
  <c r="D94" i="35"/>
  <c r="C94" i="35" s="1"/>
  <c r="B95" i="35"/>
  <c r="B96" i="35"/>
  <c r="B97" i="35"/>
  <c r="B98" i="35"/>
  <c r="D98" i="35"/>
  <c r="C98" i="35" s="1"/>
  <c r="B99" i="35"/>
  <c r="B100" i="35"/>
  <c r="D100" i="35"/>
  <c r="C100" i="35" s="1"/>
  <c r="B101" i="35"/>
  <c r="B102" i="35"/>
  <c r="B103" i="35"/>
  <c r="B104" i="35"/>
  <c r="D104" i="35"/>
  <c r="C104" i="35" s="1"/>
  <c r="B105" i="35"/>
  <c r="B75" i="33"/>
  <c r="B76" i="33"/>
  <c r="B77" i="33"/>
  <c r="B78" i="33"/>
  <c r="B79" i="33"/>
  <c r="B80" i="33"/>
  <c r="B81" i="33"/>
  <c r="B82" i="33"/>
  <c r="B83" i="33"/>
  <c r="B84" i="33"/>
  <c r="B85" i="33"/>
  <c r="B86" i="33"/>
  <c r="B87" i="33"/>
  <c r="B88" i="33"/>
  <c r="B89" i="33"/>
  <c r="B90" i="33"/>
  <c r="B91" i="33"/>
  <c r="C91" i="33"/>
  <c r="B92" i="33"/>
  <c r="B93" i="33"/>
  <c r="C93" i="33"/>
  <c r="B94" i="33"/>
  <c r="B95" i="33"/>
  <c r="C95" i="33"/>
  <c r="B96" i="33"/>
  <c r="B97" i="33"/>
  <c r="C97" i="33"/>
  <c r="B98" i="33"/>
  <c r="C98" i="33"/>
  <c r="B99" i="33"/>
  <c r="C99" i="33"/>
  <c r="B100" i="33"/>
  <c r="B101" i="33"/>
  <c r="B102" i="33"/>
  <c r="B103" i="33"/>
  <c r="C103" i="33"/>
  <c r="B104" i="33"/>
  <c r="B105" i="33"/>
  <c r="C105" i="33"/>
  <c r="B75" i="32"/>
  <c r="B76" i="32"/>
  <c r="B77" i="32"/>
  <c r="B78" i="32"/>
  <c r="B79" i="32"/>
  <c r="B80" i="32"/>
  <c r="B81" i="32"/>
  <c r="B82" i="32"/>
  <c r="B83" i="32"/>
  <c r="B84" i="32"/>
  <c r="B85" i="32"/>
  <c r="B86" i="32"/>
  <c r="B87" i="32"/>
  <c r="B88" i="32"/>
  <c r="B89" i="32"/>
  <c r="B90" i="32"/>
  <c r="B91" i="32"/>
  <c r="B92" i="32"/>
  <c r="B93" i="32"/>
  <c r="B94" i="32"/>
  <c r="B95" i="32"/>
  <c r="B96" i="32"/>
  <c r="B97" i="32"/>
  <c r="B98" i="32"/>
  <c r="B99" i="32"/>
  <c r="B100" i="32"/>
  <c r="B101" i="32"/>
  <c r="B102" i="32"/>
  <c r="B103" i="32"/>
  <c r="B104" i="32"/>
  <c r="B105" i="32"/>
  <c r="B75" i="31"/>
  <c r="B76" i="31"/>
  <c r="B77" i="31"/>
  <c r="B78" i="31"/>
  <c r="B79" i="31"/>
  <c r="B80" i="31"/>
  <c r="B81" i="31"/>
  <c r="B82" i="31"/>
  <c r="B83" i="31"/>
  <c r="B84" i="31"/>
  <c r="B85" i="31"/>
  <c r="B86" i="31"/>
  <c r="B87" i="31"/>
  <c r="B88" i="31"/>
  <c r="B89" i="31"/>
  <c r="B90" i="31"/>
  <c r="B91" i="31"/>
  <c r="B92" i="31"/>
  <c r="B93" i="31"/>
  <c r="B94" i="31"/>
  <c r="B95" i="31"/>
  <c r="B96" i="31"/>
  <c r="B97" i="31"/>
  <c r="B98" i="31"/>
  <c r="B99" i="31"/>
  <c r="B100" i="31"/>
  <c r="B101" i="31"/>
  <c r="B102" i="31"/>
  <c r="B103" i="31"/>
  <c r="B104" i="31"/>
  <c r="B105" i="31"/>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75" i="27"/>
  <c r="B76" i="27"/>
  <c r="B77" i="27"/>
  <c r="B78" i="27"/>
  <c r="B79" i="27"/>
  <c r="B80" i="27"/>
  <c r="B81" i="27"/>
  <c r="B82" i="27"/>
  <c r="B83" i="27"/>
  <c r="B84" i="27"/>
  <c r="B85" i="27"/>
  <c r="B86" i="27"/>
  <c r="B87" i="27"/>
  <c r="B88" i="27"/>
  <c r="B89" i="27"/>
  <c r="B90" i="27"/>
  <c r="B91" i="27"/>
  <c r="B92" i="27"/>
  <c r="B93" i="27"/>
  <c r="B94" i="27"/>
  <c r="B95" i="27"/>
  <c r="B96" i="27"/>
  <c r="B97" i="27"/>
  <c r="B98" i="27"/>
  <c r="B99" i="27"/>
  <c r="B100" i="27"/>
  <c r="B101" i="27"/>
  <c r="B102" i="27"/>
  <c r="B103" i="27"/>
  <c r="B104" i="27"/>
  <c r="B105" i="27"/>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3" i="19"/>
  <c r="B104" i="19"/>
  <c r="B105" i="19"/>
  <c r="B90" i="19"/>
  <c r="B91" i="19"/>
  <c r="B92" i="19"/>
  <c r="B93" i="19"/>
  <c r="B94" i="19"/>
  <c r="B95" i="19"/>
  <c r="B96" i="19"/>
  <c r="B97" i="19"/>
  <c r="B98" i="19"/>
  <c r="B99" i="19"/>
  <c r="B100" i="19"/>
  <c r="B101" i="19"/>
  <c r="B102" i="19"/>
  <c r="B105" i="21"/>
  <c r="B90" i="21"/>
  <c r="B91" i="21"/>
  <c r="B92" i="21"/>
  <c r="B93" i="21"/>
  <c r="B94" i="21"/>
  <c r="B95" i="21"/>
  <c r="B96" i="21"/>
  <c r="B97" i="21"/>
  <c r="B98" i="21"/>
  <c r="B99" i="21"/>
  <c r="B100" i="21"/>
  <c r="B101" i="21"/>
  <c r="B102" i="21"/>
  <c r="B103" i="21"/>
  <c r="B104" i="21"/>
  <c r="F102" i="24"/>
  <c r="B103" i="24"/>
  <c r="B104" i="24"/>
  <c r="B10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C103" i="23"/>
  <c r="B105" i="23"/>
  <c r="B91" i="23"/>
  <c r="B92" i="23"/>
  <c r="B93" i="23"/>
  <c r="B94" i="23"/>
  <c r="B95" i="23"/>
  <c r="B96" i="23"/>
  <c r="B97" i="23"/>
  <c r="B98" i="23"/>
  <c r="B99" i="23"/>
  <c r="B100" i="23"/>
  <c r="B101" i="23"/>
  <c r="B102" i="23"/>
  <c r="B103" i="23"/>
  <c r="B104" i="23"/>
  <c r="QT7" i="2"/>
  <c r="U163" i="42" s="1"/>
  <c r="AK163" i="42" s="1"/>
  <c r="QU7" i="2"/>
  <c r="X163" i="42" s="1"/>
  <c r="AN163" i="42" s="1"/>
  <c r="QV7" i="2"/>
  <c r="AA163" i="42" s="1"/>
  <c r="AQ163" i="42" s="1"/>
  <c r="QW7" i="2"/>
  <c r="QT8" i="2"/>
  <c r="U164" i="42" s="1"/>
  <c r="AK164" i="42" s="1"/>
  <c r="QU8" i="2"/>
  <c r="X164" i="42" s="1"/>
  <c r="AN164" i="42" s="1"/>
  <c r="QV8" i="2"/>
  <c r="AA164" i="42" s="1"/>
  <c r="AQ164" i="42" s="1"/>
  <c r="QW8" i="2"/>
  <c r="QT9" i="2"/>
  <c r="U165" i="42" s="1"/>
  <c r="AK165" i="42" s="1"/>
  <c r="QU9" i="2"/>
  <c r="X165" i="42" s="1"/>
  <c r="AN165" i="42" s="1"/>
  <c r="QV9" i="2"/>
  <c r="AA165" i="42" s="1"/>
  <c r="AQ165" i="42" s="1"/>
  <c r="QW9" i="2"/>
  <c r="QT10" i="2"/>
  <c r="U166" i="42" s="1"/>
  <c r="AK166" i="42" s="1"/>
  <c r="QU10" i="2"/>
  <c r="X166" i="42" s="1"/>
  <c r="AN166" i="42" s="1"/>
  <c r="QV10" i="2"/>
  <c r="AA166" i="42" s="1"/>
  <c r="AQ166" i="42" s="1"/>
  <c r="QW10" i="2"/>
  <c r="QT11" i="2"/>
  <c r="U167" i="42" s="1"/>
  <c r="AK167" i="42" s="1"/>
  <c r="QU11" i="2"/>
  <c r="X167" i="42" s="1"/>
  <c r="AN167" i="42" s="1"/>
  <c r="QV11" i="2"/>
  <c r="AA167" i="42" s="1"/>
  <c r="AQ167" i="42" s="1"/>
  <c r="QW11" i="2"/>
  <c r="QT12" i="2"/>
  <c r="U168" i="42" s="1"/>
  <c r="AK168" i="42" s="1"/>
  <c r="QU12" i="2"/>
  <c r="X168" i="42" s="1"/>
  <c r="AN168" i="42" s="1"/>
  <c r="QV12" i="2"/>
  <c r="AA168" i="42" s="1"/>
  <c r="AQ168" i="42" s="1"/>
  <c r="QW12" i="2"/>
  <c r="QT13" i="2"/>
  <c r="U169" i="42" s="1"/>
  <c r="AK169" i="42" s="1"/>
  <c r="QU13" i="2"/>
  <c r="X169" i="42" s="1"/>
  <c r="AN169" i="42" s="1"/>
  <c r="QV13" i="2"/>
  <c r="AA169" i="42" s="1"/>
  <c r="AQ169" i="42" s="1"/>
  <c r="QW13" i="2"/>
  <c r="QT14" i="2"/>
  <c r="U170" i="42" s="1"/>
  <c r="AK170" i="42" s="1"/>
  <c r="QU14" i="2"/>
  <c r="X170" i="42" s="1"/>
  <c r="AN170" i="42" s="1"/>
  <c r="QV14" i="2"/>
  <c r="AA170" i="42" s="1"/>
  <c r="AQ170" i="42" s="1"/>
  <c r="QW14" i="2"/>
  <c r="QT15" i="2"/>
  <c r="U171" i="42" s="1"/>
  <c r="AK171" i="42" s="1"/>
  <c r="QU15" i="2"/>
  <c r="X171" i="42" s="1"/>
  <c r="AN171" i="42" s="1"/>
  <c r="QV15" i="2"/>
  <c r="AA171" i="42" s="1"/>
  <c r="AQ171" i="42" s="1"/>
  <c r="QW15" i="2"/>
  <c r="QT16" i="2"/>
  <c r="U172" i="42" s="1"/>
  <c r="AK172" i="42" s="1"/>
  <c r="QU16" i="2"/>
  <c r="X172" i="42" s="1"/>
  <c r="AN172" i="42" s="1"/>
  <c r="QV16" i="2"/>
  <c r="AA172" i="42" s="1"/>
  <c r="AQ172" i="42" s="1"/>
  <c r="QW16" i="2"/>
  <c r="G16" i="24" s="1"/>
  <c r="QT17" i="2"/>
  <c r="U173" i="42" s="1"/>
  <c r="AK173" i="42" s="1"/>
  <c r="QU17" i="2"/>
  <c r="X173" i="42" s="1"/>
  <c r="AN173" i="42" s="1"/>
  <c r="QV17" i="2"/>
  <c r="AA173" i="42" s="1"/>
  <c r="AQ173" i="42" s="1"/>
  <c r="QW17" i="2"/>
  <c r="QT18" i="2"/>
  <c r="U174" i="42" s="1"/>
  <c r="QU18" i="2"/>
  <c r="X174" i="42" s="1"/>
  <c r="QV18" i="2"/>
  <c r="AA174" i="42" s="1"/>
  <c r="QW18" i="2"/>
  <c r="G18" i="24" s="1"/>
  <c r="QT19" i="2"/>
  <c r="U175" i="42" s="1"/>
  <c r="AK175" i="42" s="1"/>
  <c r="QU19" i="2"/>
  <c r="X175" i="42" s="1"/>
  <c r="AN175" i="42" s="1"/>
  <c r="QV19" i="2"/>
  <c r="AA175" i="42" s="1"/>
  <c r="AQ175" i="42" s="1"/>
  <c r="QW19" i="2"/>
  <c r="QT20" i="2"/>
  <c r="U176" i="42" s="1"/>
  <c r="AK176" i="42" s="1"/>
  <c r="QU20" i="2"/>
  <c r="X176" i="42" s="1"/>
  <c r="AN176" i="42" s="1"/>
  <c r="QV20" i="2"/>
  <c r="AA176" i="42" s="1"/>
  <c r="AQ176" i="42" s="1"/>
  <c r="QW20" i="2"/>
  <c r="G20" i="24" s="1"/>
  <c r="QT21" i="2"/>
  <c r="U177" i="42" s="1"/>
  <c r="AK177" i="42" s="1"/>
  <c r="QU21" i="2"/>
  <c r="X177" i="42" s="1"/>
  <c r="AN177" i="42" s="1"/>
  <c r="QV21" i="2"/>
  <c r="AA177" i="42" s="1"/>
  <c r="AQ177" i="42" s="1"/>
  <c r="QW21" i="2"/>
  <c r="QT22" i="2"/>
  <c r="U178" i="42" s="1"/>
  <c r="AK178" i="42" s="1"/>
  <c r="QU22" i="2"/>
  <c r="X178" i="42" s="1"/>
  <c r="AN178" i="42" s="1"/>
  <c r="QV22" i="2"/>
  <c r="AA178" i="42" s="1"/>
  <c r="AQ178" i="42" s="1"/>
  <c r="QW22" i="2"/>
  <c r="QT23" i="2"/>
  <c r="U179" i="42" s="1"/>
  <c r="AK179" i="42" s="1"/>
  <c r="QU23" i="2"/>
  <c r="X179" i="42" s="1"/>
  <c r="AN179" i="42" s="1"/>
  <c r="QV23" i="2"/>
  <c r="AA179" i="42" s="1"/>
  <c r="AQ179" i="42" s="1"/>
  <c r="QW23" i="2"/>
  <c r="QT24" i="2"/>
  <c r="U180" i="42" s="1"/>
  <c r="AK180" i="42" s="1"/>
  <c r="QU24" i="2"/>
  <c r="X180" i="42" s="1"/>
  <c r="AN180" i="42" s="1"/>
  <c r="QV24" i="2"/>
  <c r="AA180" i="42" s="1"/>
  <c r="AQ180" i="42" s="1"/>
  <c r="QW24" i="2"/>
  <c r="QT25" i="2"/>
  <c r="U181" i="42" s="1"/>
  <c r="AK181" i="42" s="1"/>
  <c r="QU25" i="2"/>
  <c r="X181" i="42" s="1"/>
  <c r="AN181" i="42" s="1"/>
  <c r="QV25" i="2"/>
  <c r="AA181" i="42" s="1"/>
  <c r="AQ181" i="42" s="1"/>
  <c r="QW25" i="2"/>
  <c r="QT26" i="2"/>
  <c r="U182" i="42" s="1"/>
  <c r="AK182" i="42" s="1"/>
  <c r="QU26" i="2"/>
  <c r="X182" i="42" s="1"/>
  <c r="AN182" i="42" s="1"/>
  <c r="QV26" i="2"/>
  <c r="AA182" i="42" s="1"/>
  <c r="AQ182" i="42" s="1"/>
  <c r="QW26" i="2"/>
  <c r="QT27" i="2"/>
  <c r="U183" i="42" s="1"/>
  <c r="AK183" i="42" s="1"/>
  <c r="QU27" i="2"/>
  <c r="X183" i="42" s="1"/>
  <c r="AN183" i="42" s="1"/>
  <c r="QV27" i="2"/>
  <c r="AA183" i="42" s="1"/>
  <c r="AQ183" i="42" s="1"/>
  <c r="QW27" i="2"/>
  <c r="QT28" i="2"/>
  <c r="U184" i="42" s="1"/>
  <c r="AK184" i="42" s="1"/>
  <c r="QU28" i="2"/>
  <c r="X184" i="42" s="1"/>
  <c r="AN184" i="42" s="1"/>
  <c r="QV28" i="2"/>
  <c r="AA184" i="42" s="1"/>
  <c r="AQ184" i="42" s="1"/>
  <c r="QW28" i="2"/>
  <c r="QT29" i="2"/>
  <c r="U185" i="42" s="1"/>
  <c r="AK185" i="42" s="1"/>
  <c r="QU29" i="2"/>
  <c r="X185" i="42" s="1"/>
  <c r="AN185" i="42" s="1"/>
  <c r="QV29" i="2"/>
  <c r="AA185" i="42" s="1"/>
  <c r="AQ185" i="42" s="1"/>
  <c r="QW29" i="2"/>
  <c r="QT30" i="2"/>
  <c r="U186" i="42" s="1"/>
  <c r="AK186" i="42" s="1"/>
  <c r="QU30" i="2"/>
  <c r="X186" i="42" s="1"/>
  <c r="AN186" i="42" s="1"/>
  <c r="QV30" i="2"/>
  <c r="AA186" i="42" s="1"/>
  <c r="AQ186" i="42" s="1"/>
  <c r="QW30" i="2"/>
  <c r="QT31" i="2"/>
  <c r="U187" i="42" s="1"/>
  <c r="AK187" i="42" s="1"/>
  <c r="QU31" i="2"/>
  <c r="X187" i="42" s="1"/>
  <c r="AN187" i="42" s="1"/>
  <c r="QV31" i="2"/>
  <c r="AA187" i="42" s="1"/>
  <c r="AQ187" i="42" s="1"/>
  <c r="QW31" i="2"/>
  <c r="QT32" i="2"/>
  <c r="U188" i="42" s="1"/>
  <c r="AK188" i="42" s="1"/>
  <c r="QU32" i="2"/>
  <c r="X188" i="42" s="1"/>
  <c r="AN188" i="42" s="1"/>
  <c r="QV32" i="2"/>
  <c r="AA188" i="42" s="1"/>
  <c r="AQ188" i="42" s="1"/>
  <c r="QW32" i="2"/>
  <c r="QT33" i="2"/>
  <c r="U189" i="42" s="1"/>
  <c r="AK189" i="42" s="1"/>
  <c r="QU33" i="2"/>
  <c r="X189" i="42" s="1"/>
  <c r="AN189" i="42" s="1"/>
  <c r="QV33" i="2"/>
  <c r="AA189" i="42" s="1"/>
  <c r="AQ189" i="42" s="1"/>
  <c r="QW33" i="2"/>
  <c r="G33" i="24" s="1"/>
  <c r="QT34" i="2"/>
  <c r="U190" i="42" s="1"/>
  <c r="AK190" i="42" s="1"/>
  <c r="QU34" i="2"/>
  <c r="X190" i="42" s="1"/>
  <c r="AN190" i="42" s="1"/>
  <c r="QV34" i="2"/>
  <c r="AA190" i="42" s="1"/>
  <c r="AQ190" i="42" s="1"/>
  <c r="QW34" i="2"/>
  <c r="QT35" i="2"/>
  <c r="U191" i="42" s="1"/>
  <c r="QU35" i="2"/>
  <c r="X191" i="42" s="1"/>
  <c r="QV35" i="2"/>
  <c r="AA191" i="42" s="1"/>
  <c r="AQ191" i="42" s="1"/>
  <c r="QW35" i="2"/>
  <c r="QT36" i="2"/>
  <c r="U192" i="42" s="1"/>
  <c r="AK192" i="42" s="1"/>
  <c r="QU36" i="2"/>
  <c r="X192" i="42" s="1"/>
  <c r="AN192" i="42" s="1"/>
  <c r="QV36" i="2"/>
  <c r="AA192" i="42" s="1"/>
  <c r="AQ192" i="42" s="1"/>
  <c r="QW36" i="2"/>
  <c r="G36" i="24" s="1"/>
  <c r="QT37" i="2"/>
  <c r="U193" i="42" s="1"/>
  <c r="AK193" i="42" s="1"/>
  <c r="QU37" i="2"/>
  <c r="X193" i="42" s="1"/>
  <c r="AN193" i="42" s="1"/>
  <c r="QV37" i="2"/>
  <c r="AA193" i="42" s="1"/>
  <c r="AQ193" i="42" s="1"/>
  <c r="QW37" i="2"/>
  <c r="QT38" i="2"/>
  <c r="U194" i="42" s="1"/>
  <c r="AK194" i="42" s="1"/>
  <c r="QU38" i="2"/>
  <c r="X194" i="42" s="1"/>
  <c r="AN194" i="42" s="1"/>
  <c r="QV38" i="2"/>
  <c r="AA194" i="42" s="1"/>
  <c r="AQ194" i="42" s="1"/>
  <c r="QW38" i="2"/>
  <c r="G38" i="24" s="1"/>
  <c r="QT39" i="2"/>
  <c r="U195" i="42" s="1"/>
  <c r="AK195" i="42" s="1"/>
  <c r="QU39" i="2"/>
  <c r="X195" i="42" s="1"/>
  <c r="AN195" i="42" s="1"/>
  <c r="QV39" i="2"/>
  <c r="AA195" i="42" s="1"/>
  <c r="AQ195" i="42" s="1"/>
  <c r="QW39" i="2"/>
  <c r="QT40" i="2"/>
  <c r="U196" i="42" s="1"/>
  <c r="AK196" i="42" s="1"/>
  <c r="QU40" i="2"/>
  <c r="X196" i="42" s="1"/>
  <c r="AN196" i="42" s="1"/>
  <c r="QV40" i="2"/>
  <c r="AA196" i="42" s="1"/>
  <c r="AQ196" i="42" s="1"/>
  <c r="QW40" i="2"/>
  <c r="QT41" i="2"/>
  <c r="U197" i="42" s="1"/>
  <c r="QU41" i="2"/>
  <c r="X197" i="42" s="1"/>
  <c r="AN197" i="42" s="1"/>
  <c r="QV41" i="2"/>
  <c r="AA197" i="42" s="1"/>
  <c r="QW41" i="2"/>
  <c r="G41" i="24" s="1"/>
  <c r="QT42" i="2"/>
  <c r="U198" i="42" s="1"/>
  <c r="AK198" i="42" s="1"/>
  <c r="QU42" i="2"/>
  <c r="X198" i="42" s="1"/>
  <c r="AN198" i="42" s="1"/>
  <c r="QV42" i="2"/>
  <c r="AA198" i="42" s="1"/>
  <c r="AQ198" i="42" s="1"/>
  <c r="QW42" i="2"/>
  <c r="QT43" i="2"/>
  <c r="U199" i="42" s="1"/>
  <c r="AK199" i="42" s="1"/>
  <c r="QU43" i="2"/>
  <c r="X199" i="42" s="1"/>
  <c r="AN199" i="42" s="1"/>
  <c r="QV43" i="2"/>
  <c r="AA199" i="42" s="1"/>
  <c r="AQ199" i="42" s="1"/>
  <c r="QW43" i="2"/>
  <c r="QT44" i="2"/>
  <c r="U200" i="42" s="1"/>
  <c r="AK200" i="42" s="1"/>
  <c r="QU44" i="2"/>
  <c r="X200" i="42" s="1"/>
  <c r="AN200" i="42" s="1"/>
  <c r="QV44" i="2"/>
  <c r="AA200" i="42" s="1"/>
  <c r="AQ200" i="42" s="1"/>
  <c r="QW44" i="2"/>
  <c r="QT45" i="2"/>
  <c r="U201" i="42" s="1"/>
  <c r="AK201" i="42" s="1"/>
  <c r="QU45" i="2"/>
  <c r="X201" i="42" s="1"/>
  <c r="AN201" i="42" s="1"/>
  <c r="QV45" i="2"/>
  <c r="AA201" i="42" s="1"/>
  <c r="AQ201" i="42" s="1"/>
  <c r="QW45" i="2"/>
  <c r="QT46" i="2"/>
  <c r="U202" i="42" s="1"/>
  <c r="AK202" i="42" s="1"/>
  <c r="QU46" i="2"/>
  <c r="X202" i="42" s="1"/>
  <c r="AN202" i="42" s="1"/>
  <c r="QV46" i="2"/>
  <c r="AA202" i="42" s="1"/>
  <c r="AQ202" i="42" s="1"/>
  <c r="QW46" i="2"/>
  <c r="QT47" i="2"/>
  <c r="U203" i="42" s="1"/>
  <c r="AK203" i="42" s="1"/>
  <c r="QU47" i="2"/>
  <c r="X203" i="42" s="1"/>
  <c r="AN203" i="42" s="1"/>
  <c r="QV47" i="2"/>
  <c r="AA203" i="42" s="1"/>
  <c r="AQ203" i="42" s="1"/>
  <c r="QW47" i="2"/>
  <c r="G47" i="24" s="1"/>
  <c r="QT48" i="2"/>
  <c r="U204" i="42" s="1"/>
  <c r="AK204" i="42" s="1"/>
  <c r="QU48" i="2"/>
  <c r="X204" i="42" s="1"/>
  <c r="AN204" i="42" s="1"/>
  <c r="QV48" i="2"/>
  <c r="AA204" i="42" s="1"/>
  <c r="AQ204" i="42" s="1"/>
  <c r="QW48" i="2"/>
  <c r="QT49" i="2"/>
  <c r="U205" i="42" s="1"/>
  <c r="AK205" i="42" s="1"/>
  <c r="QU49" i="2"/>
  <c r="X205" i="42" s="1"/>
  <c r="AN205" i="42" s="1"/>
  <c r="QV49" i="2"/>
  <c r="AA205" i="42" s="1"/>
  <c r="AQ205" i="42" s="1"/>
  <c r="QW49" i="2"/>
  <c r="G49" i="24" s="1"/>
  <c r="QT50" i="2"/>
  <c r="U206" i="42" s="1"/>
  <c r="AK206" i="42" s="1"/>
  <c r="QU50" i="2"/>
  <c r="X206" i="42" s="1"/>
  <c r="AN206" i="42" s="1"/>
  <c r="QV50" i="2"/>
  <c r="AA206" i="42" s="1"/>
  <c r="QW50" i="2"/>
  <c r="G50" i="24" s="1"/>
  <c r="QT51" i="2"/>
  <c r="U207" i="42" s="1"/>
  <c r="AK207" i="42" s="1"/>
  <c r="QU51" i="2"/>
  <c r="X207" i="42" s="1"/>
  <c r="AN207" i="42" s="1"/>
  <c r="QV51" i="2"/>
  <c r="AA207" i="42" s="1"/>
  <c r="AQ207" i="42" s="1"/>
  <c r="QW51" i="2"/>
  <c r="G51" i="24" s="1"/>
  <c r="QT52" i="2"/>
  <c r="U210" i="42" s="1"/>
  <c r="AK210" i="42" s="1"/>
  <c r="QU52" i="2"/>
  <c r="X210" i="42" s="1"/>
  <c r="AN210" i="42" s="1"/>
  <c r="QV52" i="2"/>
  <c r="AA210" i="42" s="1"/>
  <c r="AQ210" i="42" s="1"/>
  <c r="QW52" i="2"/>
  <c r="G52" i="24" s="1"/>
  <c r="QT53" i="2"/>
  <c r="U211" i="42" s="1"/>
  <c r="AK211" i="42" s="1"/>
  <c r="QU53" i="2"/>
  <c r="X211" i="42" s="1"/>
  <c r="AN211" i="42" s="1"/>
  <c r="QV53" i="2"/>
  <c r="AA211" i="42" s="1"/>
  <c r="AQ211" i="42" s="1"/>
  <c r="QW53" i="2"/>
  <c r="QT54" i="2"/>
  <c r="U212" i="42" s="1"/>
  <c r="AK212" i="42" s="1"/>
  <c r="QU54" i="2"/>
  <c r="X212" i="42" s="1"/>
  <c r="AN212" i="42" s="1"/>
  <c r="QV54" i="2"/>
  <c r="AA212" i="42" s="1"/>
  <c r="AQ212" i="42" s="1"/>
  <c r="QW54" i="2"/>
  <c r="G54" i="24" s="1"/>
  <c r="QT55" i="2"/>
  <c r="U213" i="42" s="1"/>
  <c r="AK213" i="42" s="1"/>
  <c r="QU55" i="2"/>
  <c r="X213" i="42" s="1"/>
  <c r="AN213" i="42" s="1"/>
  <c r="QV55" i="2"/>
  <c r="AA213" i="42" s="1"/>
  <c r="AQ213" i="42" s="1"/>
  <c r="QW55" i="2"/>
  <c r="G55" i="24" s="1"/>
  <c r="QT56" i="2"/>
  <c r="U214" i="42" s="1"/>
  <c r="AK214" i="42" s="1"/>
  <c r="QU56" i="2"/>
  <c r="X214" i="42" s="1"/>
  <c r="AN214" i="42" s="1"/>
  <c r="QV56" i="2"/>
  <c r="AA214" i="42" s="1"/>
  <c r="AQ214" i="42" s="1"/>
  <c r="QW56" i="2"/>
  <c r="G56" i="24" s="1"/>
  <c r="QT57" i="2"/>
  <c r="U215" i="42" s="1"/>
  <c r="AK215" i="42" s="1"/>
  <c r="QU57" i="2"/>
  <c r="X215" i="42" s="1"/>
  <c r="AN215" i="42" s="1"/>
  <c r="QV57" i="2"/>
  <c r="AA215" i="42" s="1"/>
  <c r="AQ215" i="42" s="1"/>
  <c r="QW57" i="2"/>
  <c r="QT58" i="2"/>
  <c r="U216" i="42" s="1"/>
  <c r="AK216" i="42" s="1"/>
  <c r="QU58" i="2"/>
  <c r="X216" i="42" s="1"/>
  <c r="AN216" i="42" s="1"/>
  <c r="QV58" i="2"/>
  <c r="AA216" i="42" s="1"/>
  <c r="AQ216" i="42" s="1"/>
  <c r="QW58" i="2"/>
  <c r="QT59" i="2"/>
  <c r="U217" i="42" s="1"/>
  <c r="AK217" i="42" s="1"/>
  <c r="QU59" i="2"/>
  <c r="X217" i="42" s="1"/>
  <c r="AN217" i="42" s="1"/>
  <c r="QV59" i="2"/>
  <c r="AA217" i="42" s="1"/>
  <c r="AQ217" i="42" s="1"/>
  <c r="QW59" i="2"/>
  <c r="QT60" i="2"/>
  <c r="U218" i="42" s="1"/>
  <c r="AK218" i="42" s="1"/>
  <c r="QU60" i="2"/>
  <c r="X218" i="42" s="1"/>
  <c r="AN218" i="42" s="1"/>
  <c r="QV60" i="2"/>
  <c r="AA218" i="42" s="1"/>
  <c r="AQ218" i="42" s="1"/>
  <c r="QW60" i="2"/>
  <c r="QT61" i="2"/>
  <c r="U219" i="42" s="1"/>
  <c r="AK219" i="42" s="1"/>
  <c r="QU61" i="2"/>
  <c r="X219" i="42" s="1"/>
  <c r="AN219" i="42" s="1"/>
  <c r="QV61" i="2"/>
  <c r="AA219" i="42" s="1"/>
  <c r="AQ219" i="42" s="1"/>
  <c r="QW61" i="2"/>
  <c r="QT62" i="2"/>
  <c r="U220" i="42" s="1"/>
  <c r="AK220" i="42" s="1"/>
  <c r="QU62" i="2"/>
  <c r="X220" i="42" s="1"/>
  <c r="AN220" i="42" s="1"/>
  <c r="QV62" i="2"/>
  <c r="AA220" i="42" s="1"/>
  <c r="AQ220" i="42" s="1"/>
  <c r="QW62" i="2"/>
  <c r="QT63" i="2"/>
  <c r="U221" i="42" s="1"/>
  <c r="AK221" i="42" s="1"/>
  <c r="QU63" i="2"/>
  <c r="X221" i="42" s="1"/>
  <c r="AN221" i="42" s="1"/>
  <c r="QV63" i="2"/>
  <c r="AA221" i="42" s="1"/>
  <c r="AQ221" i="42" s="1"/>
  <c r="QW63" i="2"/>
  <c r="QT64" i="2"/>
  <c r="U222" i="42" s="1"/>
  <c r="AK222" i="42" s="1"/>
  <c r="QU64" i="2"/>
  <c r="X222" i="42" s="1"/>
  <c r="AN222" i="42" s="1"/>
  <c r="QV64" i="2"/>
  <c r="AA222" i="42" s="1"/>
  <c r="AQ222" i="42" s="1"/>
  <c r="QW64" i="2"/>
  <c r="QT65" i="2"/>
  <c r="U223" i="42" s="1"/>
  <c r="AK223" i="42" s="1"/>
  <c r="QU65" i="2"/>
  <c r="X223" i="42" s="1"/>
  <c r="AN223" i="42" s="1"/>
  <c r="QV65" i="2"/>
  <c r="AA223" i="42" s="1"/>
  <c r="AQ223" i="42" s="1"/>
  <c r="QW65" i="2"/>
  <c r="QT66" i="2"/>
  <c r="U224" i="42" s="1"/>
  <c r="AK224" i="42" s="1"/>
  <c r="QU66" i="2"/>
  <c r="X224" i="42" s="1"/>
  <c r="AN224" i="42" s="1"/>
  <c r="QV66" i="2"/>
  <c r="AA224" i="42" s="1"/>
  <c r="AQ224" i="42" s="1"/>
  <c r="QW66" i="2"/>
  <c r="QT67" i="2"/>
  <c r="U225" i="42" s="1"/>
  <c r="AK225" i="42" s="1"/>
  <c r="QU67" i="2"/>
  <c r="X225" i="42" s="1"/>
  <c r="AN225" i="42" s="1"/>
  <c r="QV67" i="2"/>
  <c r="AA225" i="42" s="1"/>
  <c r="AQ225" i="42" s="1"/>
  <c r="QW67" i="2"/>
  <c r="QT68" i="2"/>
  <c r="U226" i="42" s="1"/>
  <c r="AK226" i="42" s="1"/>
  <c r="QU68" i="2"/>
  <c r="X226" i="42" s="1"/>
  <c r="AN226" i="42" s="1"/>
  <c r="QV68" i="2"/>
  <c r="AA226" i="42" s="1"/>
  <c r="AQ226" i="42" s="1"/>
  <c r="QW68" i="2"/>
  <c r="QT69" i="2"/>
  <c r="U227" i="42" s="1"/>
  <c r="AK227" i="42" s="1"/>
  <c r="QU69" i="2"/>
  <c r="X227" i="42" s="1"/>
  <c r="AN227" i="42" s="1"/>
  <c r="QV69" i="2"/>
  <c r="AA227" i="42" s="1"/>
  <c r="AQ227" i="42" s="1"/>
  <c r="QW69" i="2"/>
  <c r="QT70" i="2"/>
  <c r="U228" i="42" s="1"/>
  <c r="AK228" i="42" s="1"/>
  <c r="QU70" i="2"/>
  <c r="X228" i="42" s="1"/>
  <c r="AN228" i="42" s="1"/>
  <c r="QV70" i="2"/>
  <c r="AA228" i="42" s="1"/>
  <c r="AQ228" i="42" s="1"/>
  <c r="QW70" i="2"/>
  <c r="QT71" i="2"/>
  <c r="U229" i="42" s="1"/>
  <c r="AK229" i="42" s="1"/>
  <c r="QU71" i="2"/>
  <c r="X229" i="42" s="1"/>
  <c r="AN229" i="42" s="1"/>
  <c r="QV71" i="2"/>
  <c r="AA229" i="42" s="1"/>
  <c r="AQ229" i="42" s="1"/>
  <c r="QW71" i="2"/>
  <c r="G71" i="24" s="1"/>
  <c r="QT72" i="2"/>
  <c r="U230" i="42" s="1"/>
  <c r="AK230" i="42" s="1"/>
  <c r="QU72" i="2"/>
  <c r="X230" i="42" s="1"/>
  <c r="AN230" i="42" s="1"/>
  <c r="QV72" i="2"/>
  <c r="AA230" i="42" s="1"/>
  <c r="AQ230" i="42" s="1"/>
  <c r="QW72" i="2"/>
  <c r="QT73" i="2"/>
  <c r="U231" i="42" s="1"/>
  <c r="AK231" i="42" s="1"/>
  <c r="QU73" i="2"/>
  <c r="X231" i="42" s="1"/>
  <c r="AN231" i="42" s="1"/>
  <c r="QV73" i="2"/>
  <c r="AA231" i="42" s="1"/>
  <c r="AQ231" i="42" s="1"/>
  <c r="QW73" i="2"/>
  <c r="QT74" i="2"/>
  <c r="U232" i="42" s="1"/>
  <c r="AK232" i="42" s="1"/>
  <c r="QU74" i="2"/>
  <c r="X232" i="42" s="1"/>
  <c r="AN232" i="42" s="1"/>
  <c r="QV74" i="2"/>
  <c r="AA232" i="42" s="1"/>
  <c r="AQ232" i="42" s="1"/>
  <c r="QW74" i="2"/>
  <c r="QT75" i="2"/>
  <c r="U233" i="42" s="1"/>
  <c r="AK233" i="42" s="1"/>
  <c r="QU75" i="2"/>
  <c r="X233" i="42" s="1"/>
  <c r="AN233" i="42" s="1"/>
  <c r="QV75" i="2"/>
  <c r="QW75" i="2"/>
  <c r="QT76" i="2"/>
  <c r="U234" i="42" s="1"/>
  <c r="AK234" i="42" s="1"/>
  <c r="QU76" i="2"/>
  <c r="X234" i="42" s="1"/>
  <c r="AN234" i="42" s="1"/>
  <c r="QV76" i="2"/>
  <c r="QW76" i="2"/>
  <c r="QT77" i="2"/>
  <c r="U235" i="42" s="1"/>
  <c r="AK235" i="42" s="1"/>
  <c r="QU77" i="2"/>
  <c r="X235" i="42" s="1"/>
  <c r="AN235" i="42" s="1"/>
  <c r="QV77" i="2"/>
  <c r="QW77" i="2"/>
  <c r="QT78" i="2"/>
  <c r="U236" i="42" s="1"/>
  <c r="AK236" i="42" s="1"/>
  <c r="QU78" i="2"/>
  <c r="X236" i="42" s="1"/>
  <c r="AN236" i="42" s="1"/>
  <c r="QV78" i="2"/>
  <c r="QW78" i="2"/>
  <c r="QT79" i="2"/>
  <c r="U237" i="42" s="1"/>
  <c r="AK237" i="42" s="1"/>
  <c r="QU79" i="2"/>
  <c r="X237" i="42" s="1"/>
  <c r="AN237" i="42" s="1"/>
  <c r="QV79" i="2"/>
  <c r="QW79" i="2"/>
  <c r="QT80" i="2"/>
  <c r="QU80" i="2"/>
  <c r="QV80" i="2"/>
  <c r="C80" i="20" s="1"/>
  <c r="QW80" i="2"/>
  <c r="C80" i="22" s="1"/>
  <c r="QT81" i="2"/>
  <c r="QU81" i="2"/>
  <c r="QV81" i="2"/>
  <c r="C81" i="20" s="1"/>
  <c r="QW81" i="2"/>
  <c r="C81" i="22" s="1"/>
  <c r="QT82" i="2"/>
  <c r="QU82" i="2"/>
  <c r="QV82" i="2"/>
  <c r="C82" i="20" s="1"/>
  <c r="QW82" i="2"/>
  <c r="C82" i="22" s="1"/>
  <c r="QT83" i="2"/>
  <c r="QU83" i="2"/>
  <c r="QV83" i="2"/>
  <c r="C83" i="20" s="1"/>
  <c r="QW83" i="2"/>
  <c r="C83" i="22" s="1"/>
  <c r="QT84" i="2"/>
  <c r="QU84" i="2"/>
  <c r="QV84" i="2"/>
  <c r="C84" i="20" s="1"/>
  <c r="QW84" i="2"/>
  <c r="C84" i="22" s="1"/>
  <c r="QT85" i="2"/>
  <c r="QU85" i="2"/>
  <c r="QV85" i="2"/>
  <c r="C85" i="20" s="1"/>
  <c r="QW85" i="2"/>
  <c r="C85" i="22" s="1"/>
  <c r="QT86" i="2"/>
  <c r="QU86" i="2"/>
  <c r="QV86" i="2"/>
  <c r="C86" i="20" s="1"/>
  <c r="QW86" i="2"/>
  <c r="C86" i="22" s="1"/>
  <c r="QT87" i="2"/>
  <c r="QU87" i="2"/>
  <c r="QV87" i="2"/>
  <c r="C87" i="20" s="1"/>
  <c r="QW87" i="2"/>
  <c r="C87" i="22" s="1"/>
  <c r="QT88" i="2"/>
  <c r="QU88" i="2"/>
  <c r="QV88" i="2"/>
  <c r="QW88" i="2"/>
  <c r="G88" i="24" s="1"/>
  <c r="QT89" i="2"/>
  <c r="QU89" i="2"/>
  <c r="QV89" i="2"/>
  <c r="QW89" i="2"/>
  <c r="G89" i="24" s="1"/>
  <c r="QT90" i="2"/>
  <c r="QU90" i="2"/>
  <c r="C90" i="19" s="1"/>
  <c r="QV90" i="2"/>
  <c r="QW90" i="2"/>
  <c r="G90" i="24" s="1"/>
  <c r="QT91" i="2"/>
  <c r="QU91" i="2"/>
  <c r="E91" i="24" s="1"/>
  <c r="QV91" i="2"/>
  <c r="QW91" i="2"/>
  <c r="G91" i="24" s="1"/>
  <c r="QT92" i="2"/>
  <c r="QU92" i="2"/>
  <c r="QV92" i="2"/>
  <c r="QW92" i="2"/>
  <c r="QT93" i="2"/>
  <c r="QU93" i="2"/>
  <c r="QV93" i="2"/>
  <c r="QW93" i="2"/>
  <c r="G93" i="24" s="1"/>
  <c r="QT94" i="2"/>
  <c r="C94" i="21" s="1"/>
  <c r="QU94" i="2"/>
  <c r="QV94" i="2"/>
  <c r="QW94" i="2"/>
  <c r="G94" i="24" s="1"/>
  <c r="QT95" i="2"/>
  <c r="QU95" i="2"/>
  <c r="E95" i="24" s="1"/>
  <c r="QV95" i="2"/>
  <c r="F95" i="24" s="1"/>
  <c r="QW95" i="2"/>
  <c r="QT96" i="2"/>
  <c r="QU96" i="2"/>
  <c r="QV96" i="2"/>
  <c r="QW96" i="2"/>
  <c r="C96" i="22" s="1"/>
  <c r="QT97" i="2"/>
  <c r="QU97" i="2"/>
  <c r="QV97" i="2"/>
  <c r="C97" i="20" s="1"/>
  <c r="QW97" i="2"/>
  <c r="QT98" i="2"/>
  <c r="QU98" i="2"/>
  <c r="E98" i="24" s="1"/>
  <c r="QV98" i="2"/>
  <c r="QW98" i="2"/>
  <c r="QT99" i="2"/>
  <c r="QU99" i="2"/>
  <c r="E99" i="24" s="1"/>
  <c r="QV99" i="2"/>
  <c r="QW99" i="2"/>
  <c r="G99" i="24" s="1"/>
  <c r="QT100" i="2"/>
  <c r="QU100" i="2"/>
  <c r="QV100" i="2"/>
  <c r="QW100" i="2"/>
  <c r="G100" i="24" s="1"/>
  <c r="QT101" i="2"/>
  <c r="QU101" i="2"/>
  <c r="E101" i="24" s="1"/>
  <c r="QV101" i="2"/>
  <c r="QW101" i="2"/>
  <c r="QT102" i="2"/>
  <c r="QU102" i="2"/>
  <c r="QV102" i="2"/>
  <c r="QW102" i="2"/>
  <c r="QT103" i="2"/>
  <c r="QU103" i="2"/>
  <c r="QV103" i="2"/>
  <c r="QW103" i="2"/>
  <c r="QT104" i="2"/>
  <c r="QU104" i="2"/>
  <c r="QV104" i="2"/>
  <c r="QW104" i="2"/>
  <c r="QT105" i="2"/>
  <c r="QU105" i="2"/>
  <c r="E105" i="24" s="1"/>
  <c r="QV105" i="2"/>
  <c r="QW105" i="2"/>
  <c r="G105" i="24" s="1"/>
  <c r="D90" i="37"/>
  <c r="D91" i="37"/>
  <c r="D92" i="37"/>
  <c r="E92" i="37" s="1"/>
  <c r="D93" i="37"/>
  <c r="D94" i="37"/>
  <c r="D95" i="37"/>
  <c r="C95" i="37" s="1"/>
  <c r="D96" i="37"/>
  <c r="D97" i="37"/>
  <c r="D98" i="37"/>
  <c r="D99" i="37"/>
  <c r="D100" i="37"/>
  <c r="C100" i="37" s="1"/>
  <c r="D101" i="37"/>
  <c r="C102" i="36"/>
  <c r="D102" i="36" s="1"/>
  <c r="D102" i="37"/>
  <c r="D103" i="37"/>
  <c r="D104" i="37"/>
  <c r="E104" i="37" s="1"/>
  <c r="D105" i="37"/>
  <c r="QT6" i="2"/>
  <c r="U162" i="42" s="1"/>
  <c r="QU6" i="2"/>
  <c r="X162" i="42" s="1"/>
  <c r="QV6" i="2"/>
  <c r="AA162" i="42" s="1"/>
  <c r="QW6" i="2"/>
  <c r="G6" i="24" s="1"/>
  <c r="JO6" i="2"/>
  <c r="G74" i="24" l="1"/>
  <c r="AD232" i="42"/>
  <c r="AT232" i="42" s="1"/>
  <c r="J74" i="22"/>
  <c r="C74" i="22"/>
  <c r="G34" i="24"/>
  <c r="AD190" i="42"/>
  <c r="AT190" i="42" s="1"/>
  <c r="J34" i="22"/>
  <c r="C34" i="22"/>
  <c r="G35" i="24"/>
  <c r="AD191" i="42"/>
  <c r="AT191" i="42" s="1"/>
  <c r="J35" i="22"/>
  <c r="C35" i="22"/>
  <c r="AN191" i="42"/>
  <c r="G60" i="24"/>
  <c r="AD218" i="42"/>
  <c r="AT218" i="42" s="1"/>
  <c r="J60" i="22"/>
  <c r="C60" i="22"/>
  <c r="G66" i="24"/>
  <c r="AD224" i="42"/>
  <c r="AT224" i="42" s="1"/>
  <c r="J66" i="22"/>
  <c r="C66" i="22"/>
  <c r="G12" i="24"/>
  <c r="AD168" i="42"/>
  <c r="AT168" i="42" s="1"/>
  <c r="C12" i="22"/>
  <c r="J12" i="22"/>
  <c r="G9" i="24"/>
  <c r="AD165" i="42"/>
  <c r="AT165" i="42" s="1"/>
  <c r="C9" i="22"/>
  <c r="J9" i="22"/>
  <c r="G17" i="24"/>
  <c r="AD173" i="42"/>
  <c r="AT173" i="42" s="1"/>
  <c r="C17" i="22"/>
  <c r="J17" i="22"/>
  <c r="G13" i="24"/>
  <c r="AD169" i="42"/>
  <c r="AT169" i="42" s="1"/>
  <c r="J13" i="22"/>
  <c r="C13" i="22"/>
  <c r="G43" i="24"/>
  <c r="AD199" i="42"/>
  <c r="AT199" i="42" s="1"/>
  <c r="J43" i="22"/>
  <c r="C43" i="22"/>
  <c r="G46" i="24"/>
  <c r="AD202" i="42"/>
  <c r="AT202" i="42" s="1"/>
  <c r="J46" i="22"/>
  <c r="C46" i="22"/>
  <c r="G72" i="24"/>
  <c r="AD230" i="42"/>
  <c r="AT230" i="42" s="1"/>
  <c r="J72" i="22"/>
  <c r="C72" i="22"/>
  <c r="G53" i="24"/>
  <c r="AD211" i="42"/>
  <c r="AT211" i="42" s="1"/>
  <c r="J53" i="22"/>
  <c r="C53" i="22"/>
  <c r="G58" i="24"/>
  <c r="AD216" i="42"/>
  <c r="AT216" i="42" s="1"/>
  <c r="C58" i="22"/>
  <c r="J58" i="22"/>
  <c r="G28" i="24"/>
  <c r="AD184" i="42"/>
  <c r="AT184" i="42" s="1"/>
  <c r="J28" i="22"/>
  <c r="C28" i="22"/>
  <c r="G40" i="24"/>
  <c r="AD196" i="42"/>
  <c r="AT196" i="42" s="1"/>
  <c r="J40" i="22"/>
  <c r="C40" i="22"/>
  <c r="G10" i="24"/>
  <c r="AD166" i="42"/>
  <c r="AT166" i="42" s="1"/>
  <c r="J10" i="22"/>
  <c r="C10" i="22"/>
  <c r="G31" i="24"/>
  <c r="AD187" i="42"/>
  <c r="AT187" i="42" s="1"/>
  <c r="J31" i="22"/>
  <c r="C31" i="22"/>
  <c r="G30" i="24"/>
  <c r="AD186" i="42"/>
  <c r="AT186" i="42" s="1"/>
  <c r="J30" i="22"/>
  <c r="C30" i="22"/>
  <c r="G19" i="24"/>
  <c r="AD175" i="42"/>
  <c r="AT175" i="42" s="1"/>
  <c r="J19" i="22"/>
  <c r="C19" i="22"/>
  <c r="G29" i="24"/>
  <c r="AD185" i="42"/>
  <c r="AT185" i="42" s="1"/>
  <c r="J29" i="22"/>
  <c r="C29" i="22"/>
  <c r="G63" i="24"/>
  <c r="AD221" i="42"/>
  <c r="AT221" i="42" s="1"/>
  <c r="J63" i="22"/>
  <c r="C63" i="22"/>
  <c r="G26" i="24"/>
  <c r="AD182" i="42"/>
  <c r="AT182" i="42" s="1"/>
  <c r="J26" i="22"/>
  <c r="C26" i="22"/>
  <c r="G21" i="24"/>
  <c r="AD177" i="42"/>
  <c r="AT177" i="42" s="1"/>
  <c r="J21" i="22"/>
  <c r="C21" i="22"/>
  <c r="G23" i="24"/>
  <c r="AD179" i="42"/>
  <c r="AT179" i="42" s="1"/>
  <c r="J23" i="22"/>
  <c r="K23" i="22" s="1"/>
  <c r="C23" i="22"/>
  <c r="G25" i="24"/>
  <c r="AD181" i="42"/>
  <c r="AT181" i="42" s="1"/>
  <c r="J25" i="22"/>
  <c r="C25" i="22"/>
  <c r="G64" i="24"/>
  <c r="AD222" i="42"/>
  <c r="AT222" i="42" s="1"/>
  <c r="J64" i="22"/>
  <c r="C64" i="22"/>
  <c r="G8" i="24"/>
  <c r="AD164" i="42"/>
  <c r="AT164" i="42" s="1"/>
  <c r="J8" i="22"/>
  <c r="C8" i="22"/>
  <c r="I99" i="24"/>
  <c r="C99" i="24" s="1"/>
  <c r="D99" i="23"/>
  <c r="I101" i="24"/>
  <c r="D101" i="23"/>
  <c r="I103" i="24"/>
  <c r="D103" i="23"/>
  <c r="G14" i="24"/>
  <c r="AD170" i="42"/>
  <c r="AT170" i="42" s="1"/>
  <c r="J14" i="22"/>
  <c r="C14" i="22"/>
  <c r="G24" i="24"/>
  <c r="AD180" i="42"/>
  <c r="AT180" i="42" s="1"/>
  <c r="J24" i="22"/>
  <c r="K24" i="22" s="1"/>
  <c r="C24" i="22"/>
  <c r="G39" i="24"/>
  <c r="AD195" i="42"/>
  <c r="AT195" i="42" s="1"/>
  <c r="C39" i="22"/>
  <c r="J39" i="22"/>
  <c r="K39" i="22" s="1"/>
  <c r="G27" i="24"/>
  <c r="AD183" i="42"/>
  <c r="AT183" i="42" s="1"/>
  <c r="J27" i="22"/>
  <c r="C27" i="22"/>
  <c r="G57" i="24"/>
  <c r="AD215" i="42"/>
  <c r="AT215" i="42" s="1"/>
  <c r="J57" i="22"/>
  <c r="K57" i="22" s="1"/>
  <c r="C57" i="22"/>
  <c r="G37" i="24"/>
  <c r="AD193" i="42"/>
  <c r="AT193" i="42" s="1"/>
  <c r="J37" i="22"/>
  <c r="C37" i="22"/>
  <c r="G62" i="24"/>
  <c r="AD220" i="42"/>
  <c r="AT220" i="42" s="1"/>
  <c r="J62" i="22"/>
  <c r="C62" i="22"/>
  <c r="C79" i="22"/>
  <c r="AD237" i="42"/>
  <c r="AT237" i="42" s="1"/>
  <c r="J79" i="22"/>
  <c r="C79" i="20"/>
  <c r="AA237" i="42"/>
  <c r="AQ237" i="42" s="1"/>
  <c r="G70" i="24"/>
  <c r="AD228" i="42"/>
  <c r="AT228" i="42" s="1"/>
  <c r="C70" i="22"/>
  <c r="J70" i="22"/>
  <c r="C76" i="20"/>
  <c r="AA234" i="42"/>
  <c r="AQ234" i="42" s="1"/>
  <c r="AD233" i="42"/>
  <c r="AT233" i="42" s="1"/>
  <c r="J75" i="22"/>
  <c r="C75" i="22"/>
  <c r="C75" i="20"/>
  <c r="AA233" i="42"/>
  <c r="AQ233" i="42" s="1"/>
  <c r="AD234" i="42"/>
  <c r="AT234" i="42" s="1"/>
  <c r="J76" i="22"/>
  <c r="C76" i="22"/>
  <c r="G68" i="24"/>
  <c r="AD226" i="42"/>
  <c r="AT226" i="42" s="1"/>
  <c r="J68" i="22"/>
  <c r="C68" i="22"/>
  <c r="G65" i="24"/>
  <c r="AD223" i="42"/>
  <c r="AT223" i="42" s="1"/>
  <c r="J65" i="22"/>
  <c r="K65" i="22" s="1"/>
  <c r="C65" i="22"/>
  <c r="G67" i="24"/>
  <c r="AD225" i="42"/>
  <c r="AT225" i="42" s="1"/>
  <c r="J67" i="22"/>
  <c r="C67" i="22"/>
  <c r="G59" i="24"/>
  <c r="AD217" i="42"/>
  <c r="AT217" i="42" s="1"/>
  <c r="J59" i="22"/>
  <c r="K59" i="22" s="1"/>
  <c r="C59" i="22"/>
  <c r="G69" i="24"/>
  <c r="AD227" i="42"/>
  <c r="AT227" i="42" s="1"/>
  <c r="C69" i="22"/>
  <c r="J69" i="22"/>
  <c r="G61" i="24"/>
  <c r="AD219" i="42"/>
  <c r="AT219" i="42" s="1"/>
  <c r="J61" i="22"/>
  <c r="K61" i="22" s="1"/>
  <c r="C61" i="22"/>
  <c r="G44" i="24"/>
  <c r="AD200" i="42"/>
  <c r="AT200" i="42" s="1"/>
  <c r="J44" i="22"/>
  <c r="C44" i="22"/>
  <c r="G15" i="24"/>
  <c r="AD171" i="42"/>
  <c r="AT171" i="42" s="1"/>
  <c r="C15" i="22"/>
  <c r="J15" i="22"/>
  <c r="K15" i="22" s="1"/>
  <c r="G11" i="24"/>
  <c r="AD167" i="42"/>
  <c r="AT167" i="42" s="1"/>
  <c r="J11" i="22"/>
  <c r="C11" i="22"/>
  <c r="G73" i="24"/>
  <c r="AD231" i="42"/>
  <c r="AT231" i="42" s="1"/>
  <c r="J73" i="22"/>
  <c r="C73" i="22"/>
  <c r="AD235" i="42"/>
  <c r="AT235" i="42" s="1"/>
  <c r="C77" i="22"/>
  <c r="J77" i="22"/>
  <c r="C77" i="20"/>
  <c r="AA235" i="42"/>
  <c r="AQ235" i="42" s="1"/>
  <c r="G45" i="24"/>
  <c r="AD201" i="42"/>
  <c r="AT201" i="42" s="1"/>
  <c r="J45" i="22"/>
  <c r="K45" i="22" s="1"/>
  <c r="C45" i="22"/>
  <c r="G22" i="24"/>
  <c r="AD178" i="42"/>
  <c r="AT178" i="42" s="1"/>
  <c r="C22" i="22"/>
  <c r="J22" i="22"/>
  <c r="K22" i="22" s="1"/>
  <c r="G32" i="24"/>
  <c r="AD188" i="42"/>
  <c r="AT188" i="42" s="1"/>
  <c r="C32" i="22"/>
  <c r="J32" i="22"/>
  <c r="G42" i="24"/>
  <c r="AD198" i="42"/>
  <c r="AT198" i="42" s="1"/>
  <c r="C42" i="22"/>
  <c r="J42" i="22"/>
  <c r="C78" i="22"/>
  <c r="AD236" i="42"/>
  <c r="AT236" i="42" s="1"/>
  <c r="J78" i="22"/>
  <c r="C78" i="20"/>
  <c r="AA236" i="42"/>
  <c r="AQ236" i="42" s="1"/>
  <c r="G48" i="24"/>
  <c r="AD204" i="42"/>
  <c r="AT204" i="42" s="1"/>
  <c r="C48" i="22"/>
  <c r="J48" i="22"/>
  <c r="K48" i="22" s="1"/>
  <c r="G7" i="24"/>
  <c r="AD163" i="42"/>
  <c r="AT163" i="42" s="1"/>
  <c r="J7" i="22"/>
  <c r="C7" i="22"/>
  <c r="J63" i="38"/>
  <c r="J5" i="42"/>
  <c r="G104" i="24"/>
  <c r="G84" i="24"/>
  <c r="G78" i="24"/>
  <c r="G92" i="24"/>
  <c r="G81" i="24"/>
  <c r="G76" i="24"/>
  <c r="E95" i="37"/>
  <c r="G75" i="24"/>
  <c r="G87" i="24"/>
  <c r="G80" i="24"/>
  <c r="G83" i="24"/>
  <c r="C95" i="27"/>
  <c r="C93" i="27"/>
  <c r="C103" i="27"/>
  <c r="C91" i="27"/>
  <c r="G77" i="24"/>
  <c r="G86" i="24"/>
  <c r="G82" i="24"/>
  <c r="G79" i="24"/>
  <c r="G85" i="24"/>
  <c r="C104" i="27"/>
  <c r="C92" i="27"/>
  <c r="D104" i="32"/>
  <c r="C104" i="32" s="1"/>
  <c r="D103" i="32"/>
  <c r="C103" i="32" s="1"/>
  <c r="C96" i="27"/>
  <c r="C98" i="27"/>
  <c r="C94" i="27"/>
  <c r="C102" i="27"/>
  <c r="C94" i="33"/>
  <c r="C101" i="36"/>
  <c r="D101" i="36" s="1"/>
  <c r="C98" i="22"/>
  <c r="E96" i="24"/>
  <c r="C98" i="23"/>
  <c r="C92" i="37"/>
  <c r="C100" i="33"/>
  <c r="C102" i="37"/>
  <c r="E102" i="37"/>
  <c r="C97" i="23"/>
  <c r="C90" i="37"/>
  <c r="E90" i="37"/>
  <c r="C97" i="37"/>
  <c r="E97" i="37"/>
  <c r="C92" i="23"/>
  <c r="C98" i="37"/>
  <c r="E98" i="37"/>
  <c r="C94" i="37"/>
  <c r="E94" i="37"/>
  <c r="D104" i="24"/>
  <c r="C104" i="21"/>
  <c r="C105" i="37"/>
  <c r="E105" i="37"/>
  <c r="C101" i="37"/>
  <c r="E101" i="37"/>
  <c r="C100" i="23"/>
  <c r="C103" i="22"/>
  <c r="C100" i="22"/>
  <c r="C97" i="22"/>
  <c r="C94" i="22"/>
  <c r="C91" i="22"/>
  <c r="C88" i="22"/>
  <c r="E102" i="24"/>
  <c r="D105" i="32"/>
  <c r="C105" i="32" s="1"/>
  <c r="F98" i="24"/>
  <c r="C98" i="20"/>
  <c r="C90" i="36"/>
  <c r="D90" i="36" s="1"/>
  <c r="K96" i="24"/>
  <c r="D101" i="32"/>
  <c r="C101" i="32" s="1"/>
  <c r="C105" i="36"/>
  <c r="D105" i="36" s="1"/>
  <c r="C97" i="36"/>
  <c r="D97" i="36" s="1"/>
  <c r="C93" i="36"/>
  <c r="D93" i="36" s="1"/>
  <c r="D94" i="32"/>
  <c r="C94" i="32" s="1"/>
  <c r="F103" i="24"/>
  <c r="F100" i="24"/>
  <c r="C100" i="20"/>
  <c r="F97" i="24"/>
  <c r="C94" i="20"/>
  <c r="F94" i="24"/>
  <c r="F91" i="24"/>
  <c r="C88" i="20"/>
  <c r="C104" i="20"/>
  <c r="C95" i="19"/>
  <c r="C103" i="19"/>
  <c r="C100" i="19"/>
  <c r="C97" i="19"/>
  <c r="C94" i="19"/>
  <c r="C91" i="19"/>
  <c r="C95" i="23"/>
  <c r="F101" i="24"/>
  <c r="C101" i="20"/>
  <c r="C102" i="23"/>
  <c r="E89" i="24"/>
  <c r="D95" i="24"/>
  <c r="H95" i="24" s="1"/>
  <c r="C95" i="21"/>
  <c r="E96" i="37"/>
  <c r="C96" i="37"/>
  <c r="D97" i="32"/>
  <c r="C97" i="32" s="1"/>
  <c r="C103" i="21"/>
  <c r="D103" i="24"/>
  <c r="D100" i="24"/>
  <c r="C97" i="21"/>
  <c r="D94" i="24"/>
  <c r="D91" i="24"/>
  <c r="H91" i="24" s="1"/>
  <c r="C91" i="21"/>
  <c r="C93" i="23"/>
  <c r="C96" i="19"/>
  <c r="C98" i="21"/>
  <c r="D98" i="24"/>
  <c r="H98" i="24" s="1"/>
  <c r="C92" i="36"/>
  <c r="D92" i="36" s="1"/>
  <c r="C105" i="22"/>
  <c r="C102" i="22"/>
  <c r="C99" i="22"/>
  <c r="C93" i="22"/>
  <c r="C90" i="22"/>
  <c r="C90" i="23"/>
  <c r="C91" i="23"/>
  <c r="F104" i="24"/>
  <c r="E94" i="24"/>
  <c r="C104" i="22"/>
  <c r="C95" i="20"/>
  <c r="C93" i="37"/>
  <c r="E93" i="37"/>
  <c r="C94" i="36"/>
  <c r="D94" i="36" s="1"/>
  <c r="C104" i="19"/>
  <c r="D89" i="24"/>
  <c r="C104" i="36"/>
  <c r="D104" i="36" s="1"/>
  <c r="C100" i="36"/>
  <c r="D100" i="36" s="1"/>
  <c r="C96" i="36"/>
  <c r="D96" i="36" s="1"/>
  <c r="D102" i="32"/>
  <c r="C102" i="32" s="1"/>
  <c r="C96" i="23"/>
  <c r="F105" i="24"/>
  <c r="C105" i="20"/>
  <c r="C102" i="20"/>
  <c r="C99" i="20"/>
  <c r="F99" i="24"/>
  <c r="C96" i="20"/>
  <c r="F96" i="24"/>
  <c r="C93" i="20"/>
  <c r="C90" i="20"/>
  <c r="F90" i="24"/>
  <c r="E104" i="24"/>
  <c r="F93" i="24"/>
  <c r="C103" i="20"/>
  <c r="C98" i="19"/>
  <c r="D92" i="24"/>
  <c r="C92" i="21"/>
  <c r="C103" i="37"/>
  <c r="E103" i="37"/>
  <c r="C99" i="37"/>
  <c r="E99" i="37"/>
  <c r="C91" i="37"/>
  <c r="E91" i="37"/>
  <c r="D90" i="32"/>
  <c r="C90" i="32" s="1"/>
  <c r="C105" i="19"/>
  <c r="C99" i="19"/>
  <c r="C93" i="19"/>
  <c r="E90" i="24"/>
  <c r="E97" i="24"/>
  <c r="E93" i="24"/>
  <c r="C100" i="21"/>
  <c r="C92" i="22"/>
  <c r="C95" i="36"/>
  <c r="D95" i="36" s="1"/>
  <c r="C92" i="20"/>
  <c r="F92" i="24"/>
  <c r="C92" i="19"/>
  <c r="E92" i="24"/>
  <c r="D96" i="32"/>
  <c r="C96" i="32" s="1"/>
  <c r="C103" i="36"/>
  <c r="D103" i="36" s="1"/>
  <c r="C99" i="36"/>
  <c r="D99" i="36" s="1"/>
  <c r="C91" i="36"/>
  <c r="D91" i="36" s="1"/>
  <c r="C104" i="23"/>
  <c r="C94" i="23"/>
  <c r="C105" i="21"/>
  <c r="D105" i="24"/>
  <c r="H105" i="24" s="1"/>
  <c r="D102" i="24"/>
  <c r="H102" i="24" s="1"/>
  <c r="C102" i="21"/>
  <c r="C99" i="21"/>
  <c r="D99" i="24"/>
  <c r="H99" i="24" s="1"/>
  <c r="C96" i="21"/>
  <c r="D96" i="24"/>
  <c r="C93" i="21"/>
  <c r="D93" i="24"/>
  <c r="C90" i="21"/>
  <c r="D90" i="24"/>
  <c r="D97" i="24"/>
  <c r="C91" i="20"/>
  <c r="D99" i="32"/>
  <c r="C99" i="32" s="1"/>
  <c r="F89" i="24"/>
  <c r="C89" i="20"/>
  <c r="C98" i="36"/>
  <c r="D98" i="36" s="1"/>
  <c r="C101" i="19"/>
  <c r="C101" i="21"/>
  <c r="D101" i="24"/>
  <c r="D98" i="32"/>
  <c r="C98" i="32" s="1"/>
  <c r="C101" i="22"/>
  <c r="C95" i="22"/>
  <c r="C89" i="22"/>
  <c r="C105" i="23"/>
  <c r="E103" i="24"/>
  <c r="E100" i="24"/>
  <c r="C102" i="19"/>
  <c r="C104" i="37"/>
  <c r="E100" i="37"/>
  <c r="C102" i="33"/>
  <c r="C96" i="33"/>
  <c r="C90" i="33"/>
  <c r="I98" i="24" l="1"/>
  <c r="C98" i="24" s="1"/>
  <c r="D98" i="23"/>
  <c r="I97" i="24"/>
  <c r="C97" i="24" s="1"/>
  <c r="D97" i="23"/>
  <c r="I92" i="24"/>
  <c r="C92" i="24" s="1"/>
  <c r="D92" i="23"/>
  <c r="I100" i="24"/>
  <c r="D100" i="23"/>
  <c r="I95" i="24"/>
  <c r="C95" i="24" s="1"/>
  <c r="D95" i="23"/>
  <c r="I102" i="24"/>
  <c r="D102" i="23"/>
  <c r="I93" i="24"/>
  <c r="C93" i="24" s="1"/>
  <c r="D93" i="23"/>
  <c r="I90" i="24"/>
  <c r="C90" i="24" s="1"/>
  <c r="D90" i="23"/>
  <c r="I91" i="24"/>
  <c r="C91" i="24" s="1"/>
  <c r="D91" i="23"/>
  <c r="I96" i="24"/>
  <c r="C96" i="24" s="1"/>
  <c r="D96" i="23"/>
  <c r="I104" i="24"/>
  <c r="D104" i="23"/>
  <c r="I94" i="24"/>
  <c r="C94" i="24" s="1"/>
  <c r="D94" i="23"/>
  <c r="I105" i="24"/>
  <c r="D105" i="23"/>
  <c r="H97" i="24"/>
  <c r="D91" i="32"/>
  <c r="C91" i="32" s="1"/>
  <c r="H94" i="24"/>
  <c r="H100" i="24"/>
  <c r="H101" i="24"/>
  <c r="J101" i="24" s="1"/>
  <c r="H103" i="24"/>
  <c r="J103" i="24" s="1"/>
  <c r="H96" i="24"/>
  <c r="H104" i="24"/>
  <c r="D95" i="32"/>
  <c r="C95" i="32" s="1"/>
  <c r="D100" i="32"/>
  <c r="C100" i="32" s="1"/>
  <c r="H92" i="24"/>
  <c r="H93" i="24"/>
  <c r="D93" i="32"/>
  <c r="C93" i="32" s="1"/>
  <c r="H90" i="24"/>
  <c r="H89" i="24"/>
  <c r="D92" i="32"/>
  <c r="C92" i="32" s="1"/>
  <c r="K98" i="24"/>
  <c r="K91" i="24"/>
  <c r="K99" i="24"/>
  <c r="K95" i="24"/>
  <c r="K103" i="24"/>
  <c r="K92" i="24"/>
  <c r="K104" i="24"/>
  <c r="K100" i="24"/>
  <c r="K102" i="24"/>
  <c r="K90" i="24"/>
  <c r="K105" i="24"/>
  <c r="J99" i="24"/>
  <c r="K101" i="24"/>
  <c r="K97" i="24"/>
  <c r="K93" i="24"/>
  <c r="K94" i="24"/>
  <c r="J98" i="24" l="1"/>
  <c r="J96" i="24"/>
  <c r="J92" i="24"/>
  <c r="J93" i="24"/>
  <c r="J90" i="24"/>
  <c r="J97" i="24"/>
  <c r="J100" i="24"/>
  <c r="J95" i="24"/>
  <c r="J102" i="24"/>
  <c r="J91" i="24"/>
  <c r="J104" i="24"/>
  <c r="J94" i="24"/>
  <c r="J105" i="24"/>
  <c r="B4" i="38"/>
  <c r="B5" i="38" s="1"/>
  <c r="B6" i="38" s="1"/>
  <c r="B7" i="38" s="1"/>
  <c r="B8" i="38" s="1"/>
  <c r="B9" i="38" s="1"/>
  <c r="B10" i="38" s="1"/>
  <c r="B11" i="38" s="1"/>
  <c r="B12" i="38" s="1"/>
  <c r="B13" i="38" s="1"/>
  <c r="B14" i="38" s="1"/>
  <c r="B15" i="38" s="1"/>
  <c r="B16" i="38" s="1"/>
  <c r="B17" i="38" s="1"/>
  <c r="B18" i="38" s="1"/>
  <c r="B19" i="38" s="1"/>
  <c r="B20" i="38" s="1"/>
  <c r="B21" i="38" s="1"/>
  <c r="B22" i="38" s="1"/>
  <c r="B23" i="38" s="1"/>
  <c r="B24" i="38" s="1"/>
  <c r="B25" i="38" s="1"/>
  <c r="B26" i="38" s="1"/>
  <c r="B27" i="38" s="1"/>
  <c r="B28" i="38" s="1"/>
  <c r="B29" i="38" s="1"/>
  <c r="B30" i="38" s="1"/>
  <c r="B31" i="38" s="1"/>
  <c r="B32" i="38" s="1"/>
  <c r="B33" i="38" s="1"/>
  <c r="B34" i="38" s="1"/>
  <c r="B35" i="38" s="1"/>
  <c r="B36" i="38" s="1"/>
  <c r="B37" i="38" s="1"/>
  <c r="B38" i="38" s="1"/>
  <c r="B39" i="38" s="1"/>
  <c r="B40" i="38" s="1"/>
  <c r="B41" i="38" s="1"/>
  <c r="B42" i="38" s="1"/>
  <c r="B43" i="38" s="1"/>
  <c r="B44" i="38" s="1"/>
  <c r="B45" i="38" s="1"/>
  <c r="B46" i="38" s="1"/>
  <c r="B47" i="38" s="1"/>
  <c r="B48" i="38" s="1"/>
  <c r="B49" i="38" s="1"/>
  <c r="B50" i="38" s="1"/>
  <c r="B51" i="38" s="1"/>
  <c r="B52" i="38" s="1"/>
  <c r="B53" i="38" s="1"/>
  <c r="B54" i="38" s="1"/>
  <c r="B74" i="37"/>
  <c r="B73" i="37"/>
  <c r="B72" i="37"/>
  <c r="B71" i="37"/>
  <c r="B70" i="37"/>
  <c r="B69" i="37"/>
  <c r="B68" i="37"/>
  <c r="B67" i="37"/>
  <c r="B66" i="37"/>
  <c r="B65" i="37"/>
  <c r="B64" i="37"/>
  <c r="B63" i="37"/>
  <c r="B62" i="37"/>
  <c r="B61" i="37"/>
  <c r="B60" i="37"/>
  <c r="B59" i="37"/>
  <c r="B58" i="37"/>
  <c r="B57" i="37"/>
  <c r="B56" i="37"/>
  <c r="B55" i="37"/>
  <c r="B54" i="37"/>
  <c r="B53" i="37"/>
  <c r="B52" i="37"/>
  <c r="B51" i="37"/>
  <c r="B50" i="37"/>
  <c r="B49" i="37"/>
  <c r="B48" i="37"/>
  <c r="B47" i="37"/>
  <c r="B46" i="37"/>
  <c r="B45" i="37"/>
  <c r="B44" i="37"/>
  <c r="B43" i="37"/>
  <c r="B42" i="37"/>
  <c r="B41" i="37"/>
  <c r="B40" i="37"/>
  <c r="B39" i="37"/>
  <c r="B38" i="37"/>
  <c r="B37" i="37"/>
  <c r="B36" i="37"/>
  <c r="B35" i="37"/>
  <c r="B34" i="37"/>
  <c r="B33" i="37"/>
  <c r="B32" i="37"/>
  <c r="B31" i="37"/>
  <c r="B30" i="37"/>
  <c r="B29" i="37"/>
  <c r="B28" i="37"/>
  <c r="B27" i="37"/>
  <c r="B26" i="37"/>
  <c r="B25" i="37"/>
  <c r="B24" i="37"/>
  <c r="B23" i="37"/>
  <c r="B22" i="37"/>
  <c r="B21" i="37"/>
  <c r="B20" i="37"/>
  <c r="B19" i="37"/>
  <c r="B18" i="37"/>
  <c r="B17" i="37"/>
  <c r="B16" i="37"/>
  <c r="B15" i="37"/>
  <c r="B14" i="37"/>
  <c r="B13" i="37"/>
  <c r="B12" i="37"/>
  <c r="B11" i="37"/>
  <c r="B10" i="37"/>
  <c r="B9" i="37"/>
  <c r="B8" i="37"/>
  <c r="B7" i="37"/>
  <c r="B6" i="37"/>
  <c r="F3" i="37"/>
  <c r="B74" i="36"/>
  <c r="B73" i="36"/>
  <c r="B72" i="36"/>
  <c r="B71" i="36"/>
  <c r="B70" i="36"/>
  <c r="B69" i="36"/>
  <c r="B68" i="36"/>
  <c r="B67" i="36"/>
  <c r="B66" i="36"/>
  <c r="B65" i="36"/>
  <c r="B64" i="36"/>
  <c r="B63" i="36"/>
  <c r="B62" i="36"/>
  <c r="B61" i="36"/>
  <c r="B60" i="36"/>
  <c r="B59" i="36"/>
  <c r="B58" i="36"/>
  <c r="B57" i="36"/>
  <c r="B56" i="36"/>
  <c r="B55" i="36"/>
  <c r="B54" i="36"/>
  <c r="B53" i="36"/>
  <c r="B52" i="36"/>
  <c r="B51" i="36"/>
  <c r="B50" i="36"/>
  <c r="B49" i="36"/>
  <c r="B48" i="36"/>
  <c r="B47" i="36"/>
  <c r="B46" i="36"/>
  <c r="B45" i="36"/>
  <c r="B44" i="36"/>
  <c r="B43" i="36"/>
  <c r="B42" i="36"/>
  <c r="B41" i="36"/>
  <c r="B40" i="36"/>
  <c r="B39" i="36"/>
  <c r="B38" i="36"/>
  <c r="B37" i="36"/>
  <c r="B36" i="36"/>
  <c r="B35" i="36"/>
  <c r="B34" i="36"/>
  <c r="B33" i="36"/>
  <c r="B32" i="36"/>
  <c r="B31" i="36"/>
  <c r="B30" i="36"/>
  <c r="B29" i="36"/>
  <c r="B28" i="36"/>
  <c r="B27" i="36"/>
  <c r="B26" i="36"/>
  <c r="B25" i="36"/>
  <c r="B24" i="36"/>
  <c r="B23" i="36"/>
  <c r="B22" i="36"/>
  <c r="B21" i="36"/>
  <c r="B20" i="36"/>
  <c r="B19" i="36"/>
  <c r="B18" i="36"/>
  <c r="B17" i="36"/>
  <c r="B16" i="36"/>
  <c r="B15" i="36"/>
  <c r="B14" i="36"/>
  <c r="B13" i="36"/>
  <c r="B12" i="36"/>
  <c r="B11" i="36"/>
  <c r="B10" i="36"/>
  <c r="B9" i="36"/>
  <c r="B8" i="36"/>
  <c r="B7" i="36"/>
  <c r="B6" i="36"/>
  <c r="E3" i="36"/>
  <c r="B74" i="35"/>
  <c r="B73" i="35"/>
  <c r="B72" i="35"/>
  <c r="B71" i="35"/>
  <c r="B70" i="35"/>
  <c r="B69" i="35"/>
  <c r="B68" i="35"/>
  <c r="B67" i="35"/>
  <c r="B66" i="35"/>
  <c r="B65" i="35"/>
  <c r="B64" i="35"/>
  <c r="B63" i="35"/>
  <c r="B62" i="35"/>
  <c r="B61" i="35"/>
  <c r="B60" i="35"/>
  <c r="B59" i="35"/>
  <c r="B58" i="35"/>
  <c r="B57" i="35"/>
  <c r="B56" i="35"/>
  <c r="B55" i="35"/>
  <c r="B54" i="35"/>
  <c r="B53" i="35"/>
  <c r="B52" i="35"/>
  <c r="B51" i="35"/>
  <c r="B50" i="35"/>
  <c r="B49" i="35"/>
  <c r="B48" i="35"/>
  <c r="B47" i="35"/>
  <c r="B46" i="35"/>
  <c r="B45" i="35"/>
  <c r="B44" i="35"/>
  <c r="B43" i="35"/>
  <c r="B42" i="35"/>
  <c r="B41" i="35"/>
  <c r="B40" i="35"/>
  <c r="B39" i="35"/>
  <c r="B38" i="35"/>
  <c r="B37" i="35"/>
  <c r="B36" i="35"/>
  <c r="B35" i="35"/>
  <c r="B34" i="35"/>
  <c r="B33" i="35"/>
  <c r="B32" i="35"/>
  <c r="B31" i="35"/>
  <c r="B30" i="35"/>
  <c r="B29" i="35"/>
  <c r="B28" i="35"/>
  <c r="B27" i="35"/>
  <c r="B26" i="35"/>
  <c r="B25" i="35"/>
  <c r="B24" i="35"/>
  <c r="B23" i="35"/>
  <c r="B22" i="35"/>
  <c r="B21" i="35"/>
  <c r="B20" i="35"/>
  <c r="B19" i="35"/>
  <c r="B18" i="35"/>
  <c r="B17" i="35"/>
  <c r="B16" i="35"/>
  <c r="B15" i="35"/>
  <c r="B14" i="35"/>
  <c r="B13" i="35"/>
  <c r="B12" i="35"/>
  <c r="B11" i="35"/>
  <c r="B10" i="35"/>
  <c r="B9" i="35"/>
  <c r="B8" i="35"/>
  <c r="B7" i="35"/>
  <c r="B6" i="35"/>
  <c r="F3" i="35"/>
  <c r="B74" i="33"/>
  <c r="B73" i="33"/>
  <c r="B72" i="33"/>
  <c r="B71" i="33"/>
  <c r="B70" i="33"/>
  <c r="B69" i="33"/>
  <c r="B68" i="33"/>
  <c r="B67" i="33"/>
  <c r="B66" i="33"/>
  <c r="B65" i="33"/>
  <c r="B64" i="33"/>
  <c r="B63" i="33"/>
  <c r="B62" i="33"/>
  <c r="B61" i="33"/>
  <c r="B60" i="33"/>
  <c r="B59" i="33"/>
  <c r="B58" i="33"/>
  <c r="B57" i="33"/>
  <c r="B56" i="33"/>
  <c r="B55" i="33"/>
  <c r="B54" i="33"/>
  <c r="B53" i="33"/>
  <c r="B52" i="33"/>
  <c r="B51" i="33"/>
  <c r="B50" i="33"/>
  <c r="B49" i="33"/>
  <c r="B48" i="33"/>
  <c r="B47" i="33"/>
  <c r="B46" i="33"/>
  <c r="B45" i="33"/>
  <c r="B44" i="33"/>
  <c r="B43" i="33"/>
  <c r="B42" i="33"/>
  <c r="B41" i="33"/>
  <c r="B40" i="33"/>
  <c r="B39" i="33"/>
  <c r="B38" i="33"/>
  <c r="B37" i="33"/>
  <c r="B36" i="33"/>
  <c r="B35" i="33"/>
  <c r="B34" i="33"/>
  <c r="B33" i="33"/>
  <c r="B32" i="33"/>
  <c r="B31" i="33"/>
  <c r="B30" i="33"/>
  <c r="B29" i="33"/>
  <c r="B28" i="33"/>
  <c r="B27" i="33"/>
  <c r="B26" i="33"/>
  <c r="B25" i="33"/>
  <c r="B24" i="33"/>
  <c r="B23" i="33"/>
  <c r="B22" i="33"/>
  <c r="B21" i="33"/>
  <c r="B20" i="33"/>
  <c r="B19" i="33"/>
  <c r="B18" i="33"/>
  <c r="B17" i="33"/>
  <c r="B16" i="33"/>
  <c r="B15" i="33"/>
  <c r="B14" i="33"/>
  <c r="B13" i="33"/>
  <c r="B12" i="33"/>
  <c r="B11" i="33"/>
  <c r="B10" i="33"/>
  <c r="B9" i="33"/>
  <c r="B8" i="33"/>
  <c r="B7" i="33"/>
  <c r="B6" i="33"/>
  <c r="E3" i="33"/>
  <c r="D68" i="24"/>
  <c r="C68" i="19"/>
  <c r="C68" i="20"/>
  <c r="D68" i="28"/>
  <c r="C68" i="28" s="1"/>
  <c r="D68" i="31"/>
  <c r="C68" i="31" s="1"/>
  <c r="C69" i="19"/>
  <c r="F69" i="24"/>
  <c r="D69" i="28"/>
  <c r="C69" i="28" s="1"/>
  <c r="D69" i="31"/>
  <c r="C69" i="31" s="1"/>
  <c r="C70" i="19"/>
  <c r="C70" i="20"/>
  <c r="D70" i="28"/>
  <c r="C70" i="28" s="1"/>
  <c r="D70" i="31"/>
  <c r="C70" i="31" s="1"/>
  <c r="C71" i="19"/>
  <c r="C71" i="20"/>
  <c r="D71" i="28"/>
  <c r="C71" i="28" s="1"/>
  <c r="D71" i="31"/>
  <c r="C71" i="31" s="1"/>
  <c r="D72" i="24"/>
  <c r="C72" i="19"/>
  <c r="C72" i="20"/>
  <c r="D72" i="28"/>
  <c r="C72" i="28" s="1"/>
  <c r="D72" i="31"/>
  <c r="C72" i="31" s="1"/>
  <c r="E73" i="24"/>
  <c r="F73" i="24"/>
  <c r="D73" i="28"/>
  <c r="C73" i="28" s="1"/>
  <c r="D73" i="31"/>
  <c r="C73" i="31" s="1"/>
  <c r="E74" i="24"/>
  <c r="F74" i="24"/>
  <c r="D74" i="28"/>
  <c r="C74" i="28" s="1"/>
  <c r="D74" i="31"/>
  <c r="C74" i="31" s="1"/>
  <c r="E75" i="24"/>
  <c r="F75" i="24"/>
  <c r="C76" i="19"/>
  <c r="C77" i="19"/>
  <c r="C78" i="19"/>
  <c r="E79" i="24"/>
  <c r="D80" i="24"/>
  <c r="E80" i="24"/>
  <c r="F80" i="24"/>
  <c r="E81" i="24"/>
  <c r="E82" i="24"/>
  <c r="C83" i="19"/>
  <c r="F83" i="24"/>
  <c r="C84" i="21"/>
  <c r="C84" i="19"/>
  <c r="F84" i="24"/>
  <c r="F85" i="24"/>
  <c r="QR89" i="2"/>
  <c r="QR88" i="2"/>
  <c r="QR87" i="2"/>
  <c r="QR86" i="2"/>
  <c r="QR85" i="2"/>
  <c r="QR84" i="2"/>
  <c r="QR83" i="2"/>
  <c r="QR82" i="2"/>
  <c r="QR81" i="2"/>
  <c r="QR80" i="2"/>
  <c r="QR79" i="2"/>
  <c r="QR78" i="2"/>
  <c r="QR77" i="2"/>
  <c r="QR76" i="2"/>
  <c r="QR75" i="2"/>
  <c r="QR74" i="2"/>
  <c r="QR73" i="2"/>
  <c r="QR72" i="2"/>
  <c r="QR71" i="2"/>
  <c r="QR70" i="2"/>
  <c r="QR69" i="2"/>
  <c r="QR68" i="2"/>
  <c r="QR67" i="2"/>
  <c r="QR66" i="2"/>
  <c r="B67" i="23"/>
  <c r="B68" i="23"/>
  <c r="B69" i="23"/>
  <c r="B70" i="23"/>
  <c r="B71" i="23"/>
  <c r="B72" i="23"/>
  <c r="B73" i="23"/>
  <c r="B74" i="23"/>
  <c r="B75" i="23"/>
  <c r="B76" i="23"/>
  <c r="B77" i="23"/>
  <c r="B78" i="23"/>
  <c r="B79" i="23"/>
  <c r="B80" i="23"/>
  <c r="B81" i="23"/>
  <c r="B82" i="23"/>
  <c r="B83" i="23"/>
  <c r="B84" i="23"/>
  <c r="B85" i="23"/>
  <c r="B86" i="23"/>
  <c r="B87" i="23"/>
  <c r="B88" i="23"/>
  <c r="B89" i="23"/>
  <c r="B90" i="23"/>
  <c r="B74" i="32"/>
  <c r="B73" i="32"/>
  <c r="B72" i="32"/>
  <c r="B71" i="32"/>
  <c r="B70" i="32"/>
  <c r="B69" i="32"/>
  <c r="B68" i="32"/>
  <c r="B67" i="32"/>
  <c r="B66" i="32"/>
  <c r="B65" i="32"/>
  <c r="B64" i="32"/>
  <c r="B63" i="32"/>
  <c r="B62" i="32"/>
  <c r="B61" i="32"/>
  <c r="B60" i="32"/>
  <c r="B59" i="32"/>
  <c r="B58" i="32"/>
  <c r="B57" i="32"/>
  <c r="B56" i="32"/>
  <c r="B55" i="32"/>
  <c r="B54" i="32"/>
  <c r="B53" i="32"/>
  <c r="B52" i="32"/>
  <c r="B51" i="32"/>
  <c r="B50" i="32"/>
  <c r="B49" i="32"/>
  <c r="B48" i="32"/>
  <c r="B47" i="32"/>
  <c r="B46" i="32"/>
  <c r="B45" i="32"/>
  <c r="B44" i="32"/>
  <c r="B43" i="32"/>
  <c r="B42" i="32"/>
  <c r="B41" i="32"/>
  <c r="B40" i="32"/>
  <c r="B39" i="32"/>
  <c r="B38" i="32"/>
  <c r="B37" i="32"/>
  <c r="B36" i="32"/>
  <c r="B35"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B9" i="32"/>
  <c r="B8" i="32"/>
  <c r="B7" i="32"/>
  <c r="B6" i="32"/>
  <c r="F3" i="32"/>
  <c r="B74" i="31"/>
  <c r="B73" i="31"/>
  <c r="B72" i="31"/>
  <c r="B71" i="31"/>
  <c r="B70" i="31"/>
  <c r="B69" i="31"/>
  <c r="B68" i="31"/>
  <c r="B67" i="31"/>
  <c r="B66" i="31"/>
  <c r="B65" i="31"/>
  <c r="B64" i="31"/>
  <c r="B63" i="31"/>
  <c r="B62" i="31"/>
  <c r="B61" i="31"/>
  <c r="B60" i="31"/>
  <c r="B59" i="31"/>
  <c r="B58" i="31"/>
  <c r="B57" i="31"/>
  <c r="B56" i="31"/>
  <c r="B55" i="31"/>
  <c r="B54" i="31"/>
  <c r="B53" i="31"/>
  <c r="B52" i="31"/>
  <c r="B51" i="31"/>
  <c r="B50" i="31"/>
  <c r="B49" i="31"/>
  <c r="B48" i="31"/>
  <c r="B47" i="31"/>
  <c r="B46" i="31"/>
  <c r="B45" i="31"/>
  <c r="B44" i="31"/>
  <c r="B43" i="31"/>
  <c r="B42" i="31"/>
  <c r="B41" i="31"/>
  <c r="B40" i="31"/>
  <c r="B39" i="31"/>
  <c r="B38" i="31"/>
  <c r="B37" i="31"/>
  <c r="B36" i="31"/>
  <c r="B35" i="31"/>
  <c r="B34" i="31"/>
  <c r="B33" i="31"/>
  <c r="B32" i="31"/>
  <c r="B31" i="31"/>
  <c r="B30" i="31"/>
  <c r="B29" i="31"/>
  <c r="B28" i="31"/>
  <c r="B27" i="31"/>
  <c r="B26" i="31"/>
  <c r="B25" i="31"/>
  <c r="B24" i="31"/>
  <c r="B23" i="31"/>
  <c r="B22" i="31"/>
  <c r="B21" i="31"/>
  <c r="B20" i="31"/>
  <c r="B19" i="31"/>
  <c r="B18" i="31"/>
  <c r="B17" i="31"/>
  <c r="B16" i="31"/>
  <c r="B15" i="31"/>
  <c r="B14" i="31"/>
  <c r="B13" i="31"/>
  <c r="B12" i="31"/>
  <c r="B11" i="31"/>
  <c r="B10" i="31"/>
  <c r="B9" i="31"/>
  <c r="B8" i="31"/>
  <c r="B7" i="31"/>
  <c r="B6" i="31"/>
  <c r="F3" i="31"/>
  <c r="B67" i="28"/>
  <c r="B68" i="28"/>
  <c r="B69" i="28"/>
  <c r="B70" i="28"/>
  <c r="B71" i="28"/>
  <c r="B72" i="28"/>
  <c r="B73" i="28"/>
  <c r="B74" i="28"/>
  <c r="B67" i="27"/>
  <c r="B68" i="27"/>
  <c r="B69" i="27"/>
  <c r="B70" i="27"/>
  <c r="B71" i="27"/>
  <c r="B72" i="27"/>
  <c r="B73" i="27"/>
  <c r="B74" i="27"/>
  <c r="B67" i="26"/>
  <c r="B68" i="26"/>
  <c r="B69" i="26"/>
  <c r="B70" i="26"/>
  <c r="B71" i="26"/>
  <c r="B72" i="26"/>
  <c r="B73" i="26"/>
  <c r="B67" i="25"/>
  <c r="B68" i="25"/>
  <c r="B69" i="25"/>
  <c r="B70" i="25"/>
  <c r="B71" i="25"/>
  <c r="B72" i="25"/>
  <c r="B73" i="25"/>
  <c r="B74" i="25"/>
  <c r="B67" i="22"/>
  <c r="B68" i="22"/>
  <c r="B69" i="22"/>
  <c r="B70" i="22"/>
  <c r="B71" i="22"/>
  <c r="B72" i="22"/>
  <c r="B73" i="22"/>
  <c r="B74" i="22"/>
  <c r="B67" i="20"/>
  <c r="B68" i="20"/>
  <c r="B69" i="20"/>
  <c r="B70" i="20"/>
  <c r="B71" i="20"/>
  <c r="B72" i="20"/>
  <c r="B73" i="20"/>
  <c r="B74" i="20"/>
  <c r="B67" i="19"/>
  <c r="B68" i="19"/>
  <c r="B69" i="19"/>
  <c r="B70" i="19"/>
  <c r="B71" i="19"/>
  <c r="B72" i="19"/>
  <c r="B73" i="19"/>
  <c r="B74" i="19"/>
  <c r="B75" i="19"/>
  <c r="B76" i="19"/>
  <c r="B77" i="19"/>
  <c r="B78" i="19"/>
  <c r="B79" i="19"/>
  <c r="B80" i="19"/>
  <c r="B81" i="19"/>
  <c r="B82" i="19"/>
  <c r="B83" i="19"/>
  <c r="B84" i="19"/>
  <c r="B85" i="19"/>
  <c r="B86" i="19"/>
  <c r="B87" i="19"/>
  <c r="B88" i="19"/>
  <c r="B89" i="19"/>
  <c r="B67" i="21"/>
  <c r="B68" i="21"/>
  <c r="B69" i="21"/>
  <c r="B70" i="21"/>
  <c r="B71" i="21"/>
  <c r="B72" i="21"/>
  <c r="B73" i="21"/>
  <c r="B74" i="21"/>
  <c r="B75" i="21"/>
  <c r="B76" i="21"/>
  <c r="B77" i="21"/>
  <c r="B78" i="21"/>
  <c r="B79" i="21"/>
  <c r="B80" i="21"/>
  <c r="B81" i="21"/>
  <c r="B82" i="21"/>
  <c r="B83" i="21"/>
  <c r="B84" i="21"/>
  <c r="B85" i="21"/>
  <c r="B86" i="21"/>
  <c r="B87" i="21"/>
  <c r="B88" i="21"/>
  <c r="B89" i="21"/>
  <c r="B67" i="24"/>
  <c r="B68" i="24"/>
  <c r="B69" i="24"/>
  <c r="B70" i="24"/>
  <c r="B71" i="24"/>
  <c r="B72" i="24"/>
  <c r="B73" i="24"/>
  <c r="B74" i="24"/>
  <c r="B75" i="24"/>
  <c r="B65" i="23"/>
  <c r="B66" i="23"/>
  <c r="D79" i="32" l="1"/>
  <c r="C79" i="32" s="1"/>
  <c r="C79" i="27"/>
  <c r="C81" i="27"/>
  <c r="D85" i="32"/>
  <c r="C85" i="32" s="1"/>
  <c r="C85" i="27"/>
  <c r="C78" i="27"/>
  <c r="D78" i="32"/>
  <c r="C78" i="32" s="1"/>
  <c r="D68" i="35"/>
  <c r="C68" i="35" s="1"/>
  <c r="D73" i="35"/>
  <c r="C73" i="35" s="1"/>
  <c r="D69" i="35"/>
  <c r="C69" i="35" s="1"/>
  <c r="D70" i="35"/>
  <c r="C70" i="35" s="1"/>
  <c r="D71" i="35"/>
  <c r="C71" i="35" s="1"/>
  <c r="D74" i="35"/>
  <c r="C74" i="35" s="1"/>
  <c r="D75" i="35"/>
  <c r="C75" i="35" s="1"/>
  <c r="C75" i="33"/>
  <c r="D76" i="35"/>
  <c r="C76" i="35" s="1"/>
  <c r="C76" i="33"/>
  <c r="D77" i="35"/>
  <c r="C77" i="35" s="1"/>
  <c r="C77" i="33"/>
  <c r="C78" i="33"/>
  <c r="D81" i="35"/>
  <c r="C81" i="35" s="1"/>
  <c r="C81" i="33"/>
  <c r="C79" i="33"/>
  <c r="D79" i="35"/>
  <c r="C79" i="35" s="1"/>
  <c r="D80" i="35"/>
  <c r="C80" i="35" s="1"/>
  <c r="C80" i="33"/>
  <c r="D82" i="35"/>
  <c r="C82" i="35" s="1"/>
  <c r="C82" i="33"/>
  <c r="C83" i="33"/>
  <c r="D83" i="35"/>
  <c r="C83" i="35" s="1"/>
  <c r="C84" i="33"/>
  <c r="D84" i="35"/>
  <c r="C84" i="35" s="1"/>
  <c r="D85" i="35"/>
  <c r="C85" i="35" s="1"/>
  <c r="C85" i="33"/>
  <c r="C86" i="33"/>
  <c r="D86" i="35"/>
  <c r="C86" i="35" s="1"/>
  <c r="C87" i="33"/>
  <c r="D87" i="35"/>
  <c r="C87" i="35" s="1"/>
  <c r="C75" i="27"/>
  <c r="D75" i="32"/>
  <c r="C75" i="32" s="1"/>
  <c r="C89" i="27"/>
  <c r="C84" i="27"/>
  <c r="D84" i="32"/>
  <c r="C84" i="32" s="1"/>
  <c r="C88" i="27"/>
  <c r="C87" i="27"/>
  <c r="D87" i="32"/>
  <c r="C87" i="32" s="1"/>
  <c r="C74" i="27"/>
  <c r="H80" i="24"/>
  <c r="C72" i="27"/>
  <c r="C69" i="27"/>
  <c r="D77" i="32"/>
  <c r="C77" i="32" s="1"/>
  <c r="C86" i="27"/>
  <c r="D86" i="32"/>
  <c r="C86" i="32" s="1"/>
  <c r="C83" i="27"/>
  <c r="D83" i="32"/>
  <c r="C83" i="32" s="1"/>
  <c r="C70" i="27"/>
  <c r="C82" i="27"/>
  <c r="D82" i="32"/>
  <c r="C82" i="32" s="1"/>
  <c r="C68" i="27"/>
  <c r="C80" i="27"/>
  <c r="D80" i="32"/>
  <c r="C80" i="32" s="1"/>
  <c r="C67" i="27"/>
  <c r="C73" i="27"/>
  <c r="C76" i="27"/>
  <c r="C79" i="36"/>
  <c r="D79" i="36" s="1"/>
  <c r="D79" i="37"/>
  <c r="D69" i="37"/>
  <c r="D81" i="37"/>
  <c r="D70" i="37"/>
  <c r="C82" i="36"/>
  <c r="D82" i="37"/>
  <c r="D76" i="32"/>
  <c r="C76" i="32" s="1"/>
  <c r="D78" i="35"/>
  <c r="C78" i="35" s="1"/>
  <c r="D68" i="37"/>
  <c r="E68" i="37" s="1"/>
  <c r="C83" i="36"/>
  <c r="D83" i="37"/>
  <c r="D72" i="37"/>
  <c r="E72" i="37" s="1"/>
  <c r="C84" i="36"/>
  <c r="D84" i="36" s="1"/>
  <c r="D84" i="37"/>
  <c r="C85" i="36"/>
  <c r="D85" i="36" s="1"/>
  <c r="D85" i="37"/>
  <c r="D78" i="37"/>
  <c r="C86" i="36"/>
  <c r="D86" i="36" s="1"/>
  <c r="D86" i="37"/>
  <c r="D75" i="37"/>
  <c r="C87" i="36"/>
  <c r="D87" i="37"/>
  <c r="C73" i="36"/>
  <c r="D73" i="37"/>
  <c r="D74" i="37"/>
  <c r="D76" i="37"/>
  <c r="C88" i="36"/>
  <c r="D88" i="36" s="1"/>
  <c r="D88" i="37"/>
  <c r="C80" i="36"/>
  <c r="D80" i="37"/>
  <c r="C77" i="36"/>
  <c r="D77" i="36" s="1"/>
  <c r="D77" i="37"/>
  <c r="C89" i="36"/>
  <c r="D89" i="36" s="1"/>
  <c r="D89" i="37"/>
  <c r="D81" i="32"/>
  <c r="C81" i="32" s="1"/>
  <c r="D72" i="35"/>
  <c r="C72" i="35" s="1"/>
  <c r="E84" i="24"/>
  <c r="C72" i="36"/>
  <c r="D72" i="36" s="1"/>
  <c r="C68" i="36"/>
  <c r="D68" i="36" s="1"/>
  <c r="E86" i="24"/>
  <c r="E87" i="24"/>
  <c r="C80" i="19"/>
  <c r="C85" i="19"/>
  <c r="F81" i="24"/>
  <c r="F78" i="24"/>
  <c r="D78" i="24"/>
  <c r="D82" i="24"/>
  <c r="C82" i="21"/>
  <c r="C81" i="19"/>
  <c r="C81" i="21"/>
  <c r="D81" i="24"/>
  <c r="H81" i="24" s="1"/>
  <c r="C80" i="21"/>
  <c r="E78" i="24"/>
  <c r="C73" i="19"/>
  <c r="C75" i="21"/>
  <c r="C75" i="19"/>
  <c r="E85" i="24"/>
  <c r="D85" i="24"/>
  <c r="E83" i="24"/>
  <c r="D87" i="24"/>
  <c r="F82" i="24"/>
  <c r="C82" i="19"/>
  <c r="D86" i="24"/>
  <c r="H86" i="24" s="1"/>
  <c r="D75" i="24"/>
  <c r="H75" i="24" s="1"/>
  <c r="C87" i="21"/>
  <c r="C74" i="20"/>
  <c r="F68" i="24"/>
  <c r="C78" i="21"/>
  <c r="E68" i="24"/>
  <c r="C77" i="21"/>
  <c r="C86" i="21"/>
  <c r="D83" i="24"/>
  <c r="C85" i="21"/>
  <c r="C73" i="20"/>
  <c r="D73" i="24"/>
  <c r="H73" i="24" s="1"/>
  <c r="D77" i="24"/>
  <c r="F72" i="24"/>
  <c r="C72" i="21"/>
  <c r="C79" i="19"/>
  <c r="C76" i="21"/>
  <c r="D76" i="24"/>
  <c r="F71" i="24"/>
  <c r="C87" i="19"/>
  <c r="F77" i="24"/>
  <c r="E77" i="24"/>
  <c r="C73" i="21"/>
  <c r="D79" i="24"/>
  <c r="C79" i="21"/>
  <c r="C86" i="19"/>
  <c r="E72" i="24"/>
  <c r="F86" i="24"/>
  <c r="D84" i="24"/>
  <c r="F76" i="24"/>
  <c r="D74" i="24"/>
  <c r="H74" i="24" s="1"/>
  <c r="E71" i="24"/>
  <c r="C83" i="21"/>
  <c r="E76" i="24"/>
  <c r="D69" i="24"/>
  <c r="C74" i="21"/>
  <c r="C74" i="19"/>
  <c r="F87" i="24"/>
  <c r="F79" i="24"/>
  <c r="D71" i="24"/>
  <c r="F70" i="24"/>
  <c r="C70" i="21"/>
  <c r="C71" i="21"/>
  <c r="E70" i="24"/>
  <c r="D70" i="24"/>
  <c r="E69" i="24"/>
  <c r="C69" i="20"/>
  <c r="C69" i="21"/>
  <c r="C68" i="21"/>
  <c r="D71" i="37"/>
  <c r="B60" i="23"/>
  <c r="B61" i="23"/>
  <c r="B62" i="23"/>
  <c r="B63" i="23"/>
  <c r="B64" i="23"/>
  <c r="B60" i="25"/>
  <c r="B61" i="25"/>
  <c r="B57" i="23"/>
  <c r="B58" i="23"/>
  <c r="B59" i="23"/>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B6" i="28"/>
  <c r="F3" i="28"/>
  <c r="B66" i="27"/>
  <c r="B65" i="27"/>
  <c r="B64" i="27"/>
  <c r="B63" i="27"/>
  <c r="B62" i="27"/>
  <c r="B61" i="27"/>
  <c r="B60" i="27"/>
  <c r="B59" i="27"/>
  <c r="B58" i="27"/>
  <c r="B57"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3" i="27"/>
  <c r="B22" i="27"/>
  <c r="B21" i="27"/>
  <c r="B20" i="27"/>
  <c r="B19" i="27"/>
  <c r="B18" i="27"/>
  <c r="B17" i="27"/>
  <c r="B16" i="27"/>
  <c r="B15" i="27"/>
  <c r="B14" i="27"/>
  <c r="B13" i="27"/>
  <c r="B12" i="27"/>
  <c r="B11" i="27"/>
  <c r="B10" i="27"/>
  <c r="B9" i="27"/>
  <c r="B8" i="27"/>
  <c r="B7" i="27"/>
  <c r="B6" i="27"/>
  <c r="E3" i="27"/>
  <c r="E3" i="26"/>
  <c r="E3" i="25"/>
  <c r="B66" i="26"/>
  <c r="B65" i="26"/>
  <c r="B64" i="26"/>
  <c r="B63" i="26"/>
  <c r="B62" i="26"/>
  <c r="B61" i="26"/>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66" i="25"/>
  <c r="B65" i="25"/>
  <c r="B64" i="25"/>
  <c r="B63" i="25"/>
  <c r="B62" i="25"/>
  <c r="B59" i="25"/>
  <c r="B58" i="25"/>
  <c r="B57" i="25"/>
  <c r="B56" i="25"/>
  <c r="B55" i="25"/>
  <c r="B54" i="25"/>
  <c r="B53" i="25"/>
  <c r="B52" i="25"/>
  <c r="B51" i="25"/>
  <c r="B50" i="25"/>
  <c r="B49" i="25"/>
  <c r="B48" i="25"/>
  <c r="B47" i="25"/>
  <c r="B46" i="25"/>
  <c r="B45" i="25"/>
  <c r="B44" i="25"/>
  <c r="B43" i="25"/>
  <c r="B42" i="25"/>
  <c r="B41" i="25"/>
  <c r="B40" i="25"/>
  <c r="B39" i="25"/>
  <c r="B38" i="25"/>
  <c r="B37" i="25"/>
  <c r="B36" i="25"/>
  <c r="B35" i="25"/>
  <c r="B34" i="25"/>
  <c r="B33" i="25"/>
  <c r="B32" i="25"/>
  <c r="B31" i="25"/>
  <c r="B30" i="25"/>
  <c r="B29" i="25"/>
  <c r="B28" i="25"/>
  <c r="B27" i="25"/>
  <c r="B26" i="25"/>
  <c r="B25" i="25"/>
  <c r="B24" i="25"/>
  <c r="B23" i="25"/>
  <c r="B22" i="25"/>
  <c r="B21" i="25"/>
  <c r="B20" i="25"/>
  <c r="B19" i="25"/>
  <c r="B18" i="25"/>
  <c r="B17" i="25"/>
  <c r="B16" i="25"/>
  <c r="B15" i="25"/>
  <c r="B14" i="25"/>
  <c r="B13" i="25"/>
  <c r="B12" i="25"/>
  <c r="B11" i="25"/>
  <c r="B10" i="25"/>
  <c r="B9" i="25"/>
  <c r="B8" i="25"/>
  <c r="B7" i="25"/>
  <c r="B6" i="25"/>
  <c r="B56" i="24"/>
  <c r="B57" i="24"/>
  <c r="B58" i="24"/>
  <c r="B59" i="24"/>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B53" i="22"/>
  <c r="B54" i="22"/>
  <c r="B55" i="22"/>
  <c r="B56" i="22"/>
  <c r="B57" i="22"/>
  <c r="B58" i="22"/>
  <c r="B59" i="22"/>
  <c r="B60" i="22"/>
  <c r="B61" i="22"/>
  <c r="B62" i="22"/>
  <c r="B63" i="22"/>
  <c r="B64" i="22"/>
  <c r="B65" i="22"/>
  <c r="B66" i="22"/>
  <c r="B66" i="24"/>
  <c r="B65" i="24"/>
  <c r="B64" i="24"/>
  <c r="B63" i="24"/>
  <c r="B62" i="24"/>
  <c r="B61" i="24"/>
  <c r="B60"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7" i="20"/>
  <c r="B58" i="20"/>
  <c r="B59" i="20"/>
  <c r="B60" i="20"/>
  <c r="B61" i="20"/>
  <c r="B62" i="20"/>
  <c r="B63" i="20"/>
  <c r="B64" i="20"/>
  <c r="B65" i="20"/>
  <c r="B66" i="20"/>
  <c r="B66" i="19"/>
  <c r="B57" i="19"/>
  <c r="B58" i="19"/>
  <c r="B59" i="19"/>
  <c r="B60" i="19"/>
  <c r="B61" i="19"/>
  <c r="B62" i="19"/>
  <c r="B63" i="19"/>
  <c r="B64" i="19"/>
  <c r="B65" i="19"/>
  <c r="B66" i="21"/>
  <c r="B64" i="21"/>
  <c r="B65" i="21"/>
  <c r="B57" i="21"/>
  <c r="B58" i="21"/>
  <c r="B59" i="21"/>
  <c r="B60" i="21"/>
  <c r="B61" i="21"/>
  <c r="B62" i="21"/>
  <c r="B63" i="21"/>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9" i="22"/>
  <c r="B8" i="22"/>
  <c r="B7" i="22"/>
  <c r="B6" i="22"/>
  <c r="B56" i="21"/>
  <c r="B55" i="21"/>
  <c r="B54" i="21"/>
  <c r="B53" i="21"/>
  <c r="B52" i="21"/>
  <c r="B51" i="21"/>
  <c r="B50" i="21"/>
  <c r="B49" i="21"/>
  <c r="B48" i="21"/>
  <c r="B47" i="21"/>
  <c r="B46" i="21"/>
  <c r="B45" i="21"/>
  <c r="B44" i="21"/>
  <c r="B43" i="21"/>
  <c r="B42" i="21"/>
  <c r="B41" i="21"/>
  <c r="B40" i="21"/>
  <c r="B39" i="21"/>
  <c r="B38" i="21"/>
  <c r="B37" i="21"/>
  <c r="B36" i="21"/>
  <c r="B35" i="21"/>
  <c r="B34" i="21"/>
  <c r="B33" i="21"/>
  <c r="B32" i="21"/>
  <c r="B31" i="21"/>
  <c r="B30" i="21"/>
  <c r="B29" i="21"/>
  <c r="B28" i="21"/>
  <c r="B27" i="21"/>
  <c r="B26" i="21"/>
  <c r="B25" i="21"/>
  <c r="B24" i="21"/>
  <c r="B23" i="21"/>
  <c r="B22" i="21"/>
  <c r="B21" i="21"/>
  <c r="B20" i="21"/>
  <c r="B19" i="21"/>
  <c r="B18" i="21"/>
  <c r="B17" i="21"/>
  <c r="B16" i="21"/>
  <c r="B15" i="21"/>
  <c r="B14" i="21"/>
  <c r="B13" i="21"/>
  <c r="B12" i="21"/>
  <c r="B11" i="21"/>
  <c r="B10" i="21"/>
  <c r="B9" i="21"/>
  <c r="B8" i="21"/>
  <c r="B7" i="21"/>
  <c r="B6" i="21"/>
  <c r="C7" i="25"/>
  <c r="C7" i="26"/>
  <c r="D7" i="28"/>
  <c r="C7" i="28" s="1"/>
  <c r="D7" i="31"/>
  <c r="C7" i="31" s="1"/>
  <c r="C8" i="25"/>
  <c r="C8" i="26"/>
  <c r="D8" i="28"/>
  <c r="C8" i="28" s="1"/>
  <c r="D8" i="31"/>
  <c r="C8" i="31" s="1"/>
  <c r="C9" i="25"/>
  <c r="C9" i="26"/>
  <c r="D9" i="28"/>
  <c r="C9" i="28" s="1"/>
  <c r="D9" i="31"/>
  <c r="C9" i="31" s="1"/>
  <c r="C10" i="25"/>
  <c r="C10" i="26"/>
  <c r="D10" i="28"/>
  <c r="C10" i="28" s="1"/>
  <c r="D10" i="31"/>
  <c r="C10" i="31" s="1"/>
  <c r="C11" i="25"/>
  <c r="C11" i="26"/>
  <c r="D11" i="28"/>
  <c r="C11" i="28" s="1"/>
  <c r="D11" i="31"/>
  <c r="C11" i="31" s="1"/>
  <c r="C12" i="25"/>
  <c r="C12" i="26"/>
  <c r="D12" i="28"/>
  <c r="C12" i="28" s="1"/>
  <c r="D12" i="31"/>
  <c r="C12" i="31" s="1"/>
  <c r="C13" i="25"/>
  <c r="C13" i="26"/>
  <c r="D13" i="28"/>
  <c r="C13" i="28" s="1"/>
  <c r="D13" i="31"/>
  <c r="C13" i="31" s="1"/>
  <c r="C14" i="25"/>
  <c r="C14" i="26"/>
  <c r="D14" i="28"/>
  <c r="C14" i="28" s="1"/>
  <c r="D14" i="31"/>
  <c r="C14" i="31" s="1"/>
  <c r="C15" i="25"/>
  <c r="C15" i="26"/>
  <c r="D15" i="28"/>
  <c r="C15" i="28" s="1"/>
  <c r="D15" i="31"/>
  <c r="C15" i="31" s="1"/>
  <c r="C16" i="25"/>
  <c r="C16" i="26"/>
  <c r="D16" i="28"/>
  <c r="C16" i="28" s="1"/>
  <c r="D16" i="31"/>
  <c r="C16" i="31" s="1"/>
  <c r="C17" i="25"/>
  <c r="C17" i="26"/>
  <c r="D17" i="28"/>
  <c r="C17" i="28" s="1"/>
  <c r="D17" i="31"/>
  <c r="C17" i="31" s="1"/>
  <c r="C18" i="25"/>
  <c r="C18" i="26"/>
  <c r="D18" i="28"/>
  <c r="C18" i="28" s="1"/>
  <c r="D18" i="31"/>
  <c r="C18" i="31" s="1"/>
  <c r="C19" i="25"/>
  <c r="C19" i="26"/>
  <c r="D19" i="28"/>
  <c r="C19" i="28" s="1"/>
  <c r="D19" i="31"/>
  <c r="C19" i="31" s="1"/>
  <c r="C20" i="25"/>
  <c r="C20" i="26"/>
  <c r="D20" i="28"/>
  <c r="C20" i="28" s="1"/>
  <c r="D20" i="31"/>
  <c r="C20" i="31" s="1"/>
  <c r="C21" i="25"/>
  <c r="C21" i="26"/>
  <c r="D21" i="28"/>
  <c r="C21" i="28" s="1"/>
  <c r="D21" i="31"/>
  <c r="C21" i="31" s="1"/>
  <c r="C22" i="25"/>
  <c r="C22" i="26"/>
  <c r="D22" i="28"/>
  <c r="C22" i="28" s="1"/>
  <c r="D22" i="31"/>
  <c r="C22" i="31" s="1"/>
  <c r="C23" i="25"/>
  <c r="C23" i="26"/>
  <c r="D23" i="28"/>
  <c r="C23" i="28" s="1"/>
  <c r="D23" i="31"/>
  <c r="C23" i="31" s="1"/>
  <c r="C24" i="25"/>
  <c r="C24" i="26"/>
  <c r="D24" i="28"/>
  <c r="C24" i="28" s="1"/>
  <c r="D24" i="31"/>
  <c r="C24" i="31" s="1"/>
  <c r="C25" i="25"/>
  <c r="C25" i="26"/>
  <c r="D25" i="28"/>
  <c r="C25" i="28" s="1"/>
  <c r="D25" i="31"/>
  <c r="C25" i="31" s="1"/>
  <c r="C26" i="25"/>
  <c r="C26" i="26"/>
  <c r="D26" i="28"/>
  <c r="C26" i="28" s="1"/>
  <c r="D26" i="31"/>
  <c r="C26" i="31" s="1"/>
  <c r="C27" i="25"/>
  <c r="C27" i="26"/>
  <c r="D27" i="28"/>
  <c r="C27" i="28" s="1"/>
  <c r="D27" i="31"/>
  <c r="C27" i="31" s="1"/>
  <c r="C28" i="25"/>
  <c r="C28" i="26"/>
  <c r="D28" i="28"/>
  <c r="C28" i="28" s="1"/>
  <c r="D28" i="31"/>
  <c r="C28" i="31" s="1"/>
  <c r="C29" i="25"/>
  <c r="C29" i="26"/>
  <c r="D29" i="28"/>
  <c r="C29" i="28" s="1"/>
  <c r="D29" i="31"/>
  <c r="C29" i="31" s="1"/>
  <c r="C30" i="25"/>
  <c r="C30" i="26"/>
  <c r="D30" i="28"/>
  <c r="C30" i="28" s="1"/>
  <c r="D30" i="31"/>
  <c r="C30" i="31" s="1"/>
  <c r="C31" i="25"/>
  <c r="C31" i="26"/>
  <c r="D31" i="28"/>
  <c r="C31" i="28" s="1"/>
  <c r="D31" i="31"/>
  <c r="C31" i="31" s="1"/>
  <c r="C32" i="25"/>
  <c r="C32" i="26"/>
  <c r="D32" i="28"/>
  <c r="C32" i="28" s="1"/>
  <c r="D32" i="31"/>
  <c r="C32" i="31" s="1"/>
  <c r="C33" i="25"/>
  <c r="C33" i="26"/>
  <c r="D33" i="28"/>
  <c r="C33" i="28" s="1"/>
  <c r="D33" i="31"/>
  <c r="C33" i="31" s="1"/>
  <c r="C34" i="25"/>
  <c r="C34" i="26"/>
  <c r="D34" i="28"/>
  <c r="C34" i="28" s="1"/>
  <c r="D34" i="31"/>
  <c r="C34" i="31" s="1"/>
  <c r="C35" i="25"/>
  <c r="C35" i="26"/>
  <c r="D35" i="28"/>
  <c r="C35" i="28" s="1"/>
  <c r="D35" i="31"/>
  <c r="C35" i="31" s="1"/>
  <c r="C36" i="25"/>
  <c r="C36" i="26"/>
  <c r="D36" i="28"/>
  <c r="C36" i="28" s="1"/>
  <c r="D36" i="31"/>
  <c r="C36" i="31" s="1"/>
  <c r="C37" i="25"/>
  <c r="C37" i="26"/>
  <c r="D37" i="28"/>
  <c r="C37" i="28" s="1"/>
  <c r="D37" i="31"/>
  <c r="C37" i="31" s="1"/>
  <c r="C38" i="25"/>
  <c r="C38" i="26"/>
  <c r="D38" i="28"/>
  <c r="C38" i="28" s="1"/>
  <c r="D38" i="31"/>
  <c r="C38" i="31" s="1"/>
  <c r="C39" i="25"/>
  <c r="C39" i="26"/>
  <c r="D39" i="28"/>
  <c r="C39" i="28" s="1"/>
  <c r="D39" i="31"/>
  <c r="C39" i="31" s="1"/>
  <c r="C40" i="25"/>
  <c r="C40" i="26"/>
  <c r="D40" i="28"/>
  <c r="C40" i="28" s="1"/>
  <c r="D40" i="31"/>
  <c r="C40" i="31" s="1"/>
  <c r="C41" i="25"/>
  <c r="C41" i="26"/>
  <c r="D41" i="28"/>
  <c r="C41" i="28" s="1"/>
  <c r="D41" i="31"/>
  <c r="C41" i="31" s="1"/>
  <c r="C42" i="25"/>
  <c r="C42" i="26"/>
  <c r="D42" i="28"/>
  <c r="C42" i="28" s="1"/>
  <c r="D42" i="31"/>
  <c r="C42" i="31" s="1"/>
  <c r="C43" i="25"/>
  <c r="C43" i="26"/>
  <c r="D43" i="28"/>
  <c r="C43" i="28" s="1"/>
  <c r="D43" i="31"/>
  <c r="C43" i="31" s="1"/>
  <c r="C44" i="25"/>
  <c r="C44" i="26"/>
  <c r="D44" i="28"/>
  <c r="C44" i="28" s="1"/>
  <c r="D44" i="31"/>
  <c r="C44" i="31" s="1"/>
  <c r="C45" i="25"/>
  <c r="C45" i="26"/>
  <c r="D45" i="28"/>
  <c r="C45" i="28" s="1"/>
  <c r="D45" i="31"/>
  <c r="C45" i="31" s="1"/>
  <c r="C46" i="25"/>
  <c r="C46" i="26"/>
  <c r="D46" i="28"/>
  <c r="C46" i="28" s="1"/>
  <c r="D46" i="31"/>
  <c r="C46" i="31" s="1"/>
  <c r="C47" i="25"/>
  <c r="C47" i="26"/>
  <c r="D47" i="28"/>
  <c r="C47" i="28" s="1"/>
  <c r="D47" i="31"/>
  <c r="C47" i="31" s="1"/>
  <c r="C48" i="25"/>
  <c r="C48" i="26"/>
  <c r="D48" i="28"/>
  <c r="C48" i="28" s="1"/>
  <c r="D48" i="31"/>
  <c r="C48" i="31" s="1"/>
  <c r="C49" i="25"/>
  <c r="C49" i="26"/>
  <c r="D49" i="28"/>
  <c r="C49" i="28" s="1"/>
  <c r="D49" i="31"/>
  <c r="C49" i="31" s="1"/>
  <c r="C50" i="25"/>
  <c r="C50" i="26"/>
  <c r="D50" i="28"/>
  <c r="C50" i="28" s="1"/>
  <c r="D50" i="31"/>
  <c r="C50" i="31" s="1"/>
  <c r="C51" i="25"/>
  <c r="C51" i="26"/>
  <c r="D51" i="28"/>
  <c r="C51" i="28" s="1"/>
  <c r="D51" i="31"/>
  <c r="C51" i="31" s="1"/>
  <c r="C52" i="25"/>
  <c r="C52" i="26"/>
  <c r="D52" i="28"/>
  <c r="C52" i="28" s="1"/>
  <c r="D52" i="31"/>
  <c r="C52" i="31" s="1"/>
  <c r="C53" i="25"/>
  <c r="C53" i="26"/>
  <c r="D53" i="28"/>
  <c r="C53" i="28" s="1"/>
  <c r="D53" i="31"/>
  <c r="C53" i="31" s="1"/>
  <c r="C54" i="25"/>
  <c r="C54" i="26"/>
  <c r="D54" i="28"/>
  <c r="C54" i="28" s="1"/>
  <c r="D54" i="31"/>
  <c r="C54" i="31" s="1"/>
  <c r="C55" i="25"/>
  <c r="D55" i="28"/>
  <c r="C55" i="28" s="1"/>
  <c r="D55" i="31"/>
  <c r="C55" i="31" s="1"/>
  <c r="C56" i="25"/>
  <c r="D56" i="28"/>
  <c r="C56" i="28" s="1"/>
  <c r="D56" i="31"/>
  <c r="C56" i="31" s="1"/>
  <c r="C57" i="25"/>
  <c r="D57" i="28"/>
  <c r="C57" i="28" s="1"/>
  <c r="D57" i="31"/>
  <c r="C57" i="31" s="1"/>
  <c r="C58" i="25"/>
  <c r="D58" i="28"/>
  <c r="C58" i="28" s="1"/>
  <c r="D58" i="31"/>
  <c r="C58" i="31" s="1"/>
  <c r="C59" i="25"/>
  <c r="D59" i="28"/>
  <c r="C59" i="28" s="1"/>
  <c r="D59" i="31"/>
  <c r="C59" i="31" s="1"/>
  <c r="D60" i="28"/>
  <c r="C60" i="28" s="1"/>
  <c r="D60" i="31"/>
  <c r="C60" i="31" s="1"/>
  <c r="D61" i="28"/>
  <c r="C61" i="28" s="1"/>
  <c r="D61" i="31"/>
  <c r="C61" i="31" s="1"/>
  <c r="D62" i="28"/>
  <c r="C62" i="28" s="1"/>
  <c r="D62" i="31"/>
  <c r="C62" i="31" s="1"/>
  <c r="D63" i="28"/>
  <c r="C63" i="28" s="1"/>
  <c r="D63" i="31"/>
  <c r="C63" i="31" s="1"/>
  <c r="D64" i="28"/>
  <c r="C64" i="28" s="1"/>
  <c r="D64" i="31"/>
  <c r="C64" i="31" s="1"/>
  <c r="D65" i="28"/>
  <c r="C65" i="28" s="1"/>
  <c r="D65" i="31"/>
  <c r="C65" i="31" s="1"/>
  <c r="D66" i="28"/>
  <c r="C66" i="28" s="1"/>
  <c r="D66" i="31"/>
  <c r="C66" i="31" s="1"/>
  <c r="D67" i="28"/>
  <c r="C67" i="28" s="1"/>
  <c r="D67" i="31"/>
  <c r="C67" i="31" s="1"/>
  <c r="D6" i="31"/>
  <c r="C6" i="31" s="1"/>
  <c r="D6" i="28"/>
  <c r="C6" i="28" s="1"/>
  <c r="C6" i="26"/>
  <c r="C6" i="25"/>
  <c r="QQ108" i="2"/>
  <c r="H53" i="38" s="1"/>
  <c r="QP108" i="2"/>
  <c r="G53" i="38" s="1"/>
  <c r="QO108" i="2"/>
  <c r="F53" i="38" s="1"/>
  <c r="QN108" i="2"/>
  <c r="E53" i="38" s="1"/>
  <c r="QR65" i="2"/>
  <c r="QR64" i="2"/>
  <c r="QR63" i="2"/>
  <c r="QR62" i="2"/>
  <c r="QR61" i="2"/>
  <c r="QR60" i="2"/>
  <c r="QR59" i="2"/>
  <c r="QR58" i="2"/>
  <c r="QR57" i="2"/>
  <c r="QR56" i="2"/>
  <c r="QR55" i="2"/>
  <c r="QR54" i="2"/>
  <c r="QR53" i="2"/>
  <c r="QR52" i="2"/>
  <c r="QR51" i="2"/>
  <c r="QR50" i="2"/>
  <c r="QR49" i="2"/>
  <c r="QR48" i="2"/>
  <c r="QR47" i="2"/>
  <c r="QR46" i="2"/>
  <c r="QR45" i="2"/>
  <c r="QR44" i="2"/>
  <c r="QR43" i="2"/>
  <c r="QR42" i="2"/>
  <c r="QR41" i="2"/>
  <c r="QR40" i="2"/>
  <c r="QR39" i="2"/>
  <c r="QR38" i="2"/>
  <c r="QR37" i="2"/>
  <c r="QR36" i="2"/>
  <c r="QR35" i="2"/>
  <c r="QR34" i="2"/>
  <c r="QR33" i="2"/>
  <c r="QR32" i="2"/>
  <c r="QR31" i="2"/>
  <c r="QR30" i="2"/>
  <c r="QR29" i="2"/>
  <c r="QR28" i="2"/>
  <c r="QR27" i="2"/>
  <c r="QR26" i="2"/>
  <c r="QR25" i="2"/>
  <c r="QR24" i="2"/>
  <c r="QR23" i="2"/>
  <c r="QR22" i="2"/>
  <c r="QR21" i="2"/>
  <c r="QR20" i="2"/>
  <c r="QR19" i="2"/>
  <c r="QR18" i="2"/>
  <c r="QR17" i="2"/>
  <c r="QR16" i="2"/>
  <c r="QR15" i="2"/>
  <c r="QR14" i="2"/>
  <c r="QR13" i="2"/>
  <c r="QR12" i="2"/>
  <c r="QR11" i="2"/>
  <c r="QR10" i="2"/>
  <c r="QR9" i="2"/>
  <c r="QR8" i="2"/>
  <c r="QR7" i="2"/>
  <c r="QM6" i="2"/>
  <c r="QH108" i="2"/>
  <c r="H52" i="38" s="1"/>
  <c r="QG108" i="2"/>
  <c r="G52" i="38" s="1"/>
  <c r="QF108" i="2"/>
  <c r="F52" i="38" s="1"/>
  <c r="QE108" i="2"/>
  <c r="E52" i="38" s="1"/>
  <c r="QD6" i="2"/>
  <c r="PY108" i="2"/>
  <c r="H51" i="38" s="1"/>
  <c r="Z51" i="38" s="1"/>
  <c r="PX108" i="2"/>
  <c r="G51" i="38" s="1"/>
  <c r="Y51" i="38" s="1"/>
  <c r="PW108" i="2"/>
  <c r="F51" i="38" s="1"/>
  <c r="X51" i="38" s="1"/>
  <c r="PV108" i="2"/>
  <c r="E51" i="38" s="1"/>
  <c r="PU6" i="2"/>
  <c r="PP108" i="2"/>
  <c r="H50" i="38" s="1"/>
  <c r="Z50" i="38" s="1"/>
  <c r="PO108" i="2"/>
  <c r="G50" i="38" s="1"/>
  <c r="Y50" i="38" s="1"/>
  <c r="PN108" i="2"/>
  <c r="F50" i="38" s="1"/>
  <c r="X50" i="38" s="1"/>
  <c r="PM108" i="2"/>
  <c r="E50" i="38" s="1"/>
  <c r="PL6" i="2"/>
  <c r="PG108" i="2"/>
  <c r="H49" i="38" s="1"/>
  <c r="Z49" i="38" s="1"/>
  <c r="PF108" i="2"/>
  <c r="G49" i="38" s="1"/>
  <c r="Y49" i="38" s="1"/>
  <c r="PE108" i="2"/>
  <c r="F49" i="38" s="1"/>
  <c r="X49" i="38" s="1"/>
  <c r="PD108" i="2"/>
  <c r="E49" i="38" s="1"/>
  <c r="PC6" i="2"/>
  <c r="OX108" i="2"/>
  <c r="H48" i="38" s="1"/>
  <c r="Z48" i="38" s="1"/>
  <c r="OW108" i="2"/>
  <c r="G48" i="38" s="1"/>
  <c r="Y48" i="38" s="1"/>
  <c r="OV108" i="2"/>
  <c r="F48" i="38" s="1"/>
  <c r="X48" i="38" s="1"/>
  <c r="OU108" i="2"/>
  <c r="E48" i="38" s="1"/>
  <c r="OT6" i="2"/>
  <c r="OO108" i="2"/>
  <c r="H47" i="38" s="1"/>
  <c r="Z47" i="38" s="1"/>
  <c r="ON108" i="2"/>
  <c r="G47" i="38" s="1"/>
  <c r="Y47" i="38" s="1"/>
  <c r="OM108" i="2"/>
  <c r="F47" i="38" s="1"/>
  <c r="X47" i="38" s="1"/>
  <c r="OL108" i="2"/>
  <c r="E47" i="38" s="1"/>
  <c r="OF108" i="2"/>
  <c r="H46" i="38" s="1"/>
  <c r="Z46" i="38" s="1"/>
  <c r="OE108" i="2"/>
  <c r="G46" i="38" s="1"/>
  <c r="Y46" i="38" s="1"/>
  <c r="OD108" i="2"/>
  <c r="F46" i="38" s="1"/>
  <c r="X46" i="38" s="1"/>
  <c r="OC108" i="2"/>
  <c r="E46" i="38" s="1"/>
  <c r="OB6" i="2"/>
  <c r="NW108" i="2"/>
  <c r="H45" i="38" s="1"/>
  <c r="Z45" i="38" s="1"/>
  <c r="NV108" i="2"/>
  <c r="G45" i="38" s="1"/>
  <c r="Y45" i="38" s="1"/>
  <c r="NU108" i="2"/>
  <c r="F45" i="38" s="1"/>
  <c r="X45" i="38" s="1"/>
  <c r="NT108" i="2"/>
  <c r="E45" i="38" s="1"/>
  <c r="NN108" i="2"/>
  <c r="H44" i="38" s="1"/>
  <c r="Z44" i="38" s="1"/>
  <c r="NM108" i="2"/>
  <c r="G44" i="38" s="1"/>
  <c r="Y44" i="38" s="1"/>
  <c r="NL108" i="2"/>
  <c r="F44" i="38" s="1"/>
  <c r="X44" i="38" s="1"/>
  <c r="NK108" i="2"/>
  <c r="E44" i="38" s="1"/>
  <c r="NJ6" i="2"/>
  <c r="NO6" i="2" s="1"/>
  <c r="NE108" i="2"/>
  <c r="H43" i="38" s="1"/>
  <c r="Z43" i="38" s="1"/>
  <c r="ND108" i="2"/>
  <c r="G43" i="38" s="1"/>
  <c r="Y43" i="38" s="1"/>
  <c r="NC108" i="2"/>
  <c r="F43" i="38" s="1"/>
  <c r="X43" i="38" s="1"/>
  <c r="NB108" i="2"/>
  <c r="E43" i="38" s="1"/>
  <c r="NA6" i="2"/>
  <c r="MV108" i="2"/>
  <c r="H42" i="38" s="1"/>
  <c r="Z42" i="38" s="1"/>
  <c r="MU108" i="2"/>
  <c r="G42" i="38" s="1"/>
  <c r="Y42" i="38" s="1"/>
  <c r="MT108" i="2"/>
  <c r="F42" i="38" s="1"/>
  <c r="X42" i="38" s="1"/>
  <c r="MS108" i="2"/>
  <c r="E42" i="38" s="1"/>
  <c r="MR6" i="2"/>
  <c r="MM108" i="2"/>
  <c r="H41" i="38" s="1"/>
  <c r="Z41" i="38" s="1"/>
  <c r="ML108" i="2"/>
  <c r="G41" i="38" s="1"/>
  <c r="Y41" i="38" s="1"/>
  <c r="MK108" i="2"/>
  <c r="F41" i="38" s="1"/>
  <c r="X41" i="38" s="1"/>
  <c r="MJ108" i="2"/>
  <c r="E41" i="38" s="1"/>
  <c r="MI6" i="2"/>
  <c r="MD108" i="2"/>
  <c r="H40" i="38" s="1"/>
  <c r="Z40" i="38" s="1"/>
  <c r="MC108" i="2"/>
  <c r="G40" i="38" s="1"/>
  <c r="Y40" i="38" s="1"/>
  <c r="MB108" i="2"/>
  <c r="F40" i="38" s="1"/>
  <c r="X40" i="38" s="1"/>
  <c r="MA108" i="2"/>
  <c r="E40" i="38" s="1"/>
  <c r="LZ6" i="2"/>
  <c r="LU108" i="2"/>
  <c r="H39" i="38" s="1"/>
  <c r="Z39" i="38" s="1"/>
  <c r="LT108" i="2"/>
  <c r="G39" i="38" s="1"/>
  <c r="Y39" i="38" s="1"/>
  <c r="LS108" i="2"/>
  <c r="F39" i="38" s="1"/>
  <c r="X39" i="38" s="1"/>
  <c r="LR108" i="2"/>
  <c r="E39" i="38" s="1"/>
  <c r="LL108" i="2"/>
  <c r="H38" i="38" s="1"/>
  <c r="Z38" i="38" s="1"/>
  <c r="LK108" i="2"/>
  <c r="G38" i="38" s="1"/>
  <c r="Y38" i="38" s="1"/>
  <c r="LJ108" i="2"/>
  <c r="F38" i="38" s="1"/>
  <c r="X38" i="38" s="1"/>
  <c r="LI108" i="2"/>
  <c r="E38" i="38" s="1"/>
  <c r="LH6" i="2"/>
  <c r="LC108" i="2"/>
  <c r="H37" i="38" s="1"/>
  <c r="Z37" i="38" s="1"/>
  <c r="LB108" i="2"/>
  <c r="G37" i="38" s="1"/>
  <c r="Y37" i="38" s="1"/>
  <c r="LA108" i="2"/>
  <c r="F37" i="38" s="1"/>
  <c r="X37" i="38" s="1"/>
  <c r="KZ108" i="2"/>
  <c r="E37" i="38" s="1"/>
  <c r="KY6" i="2"/>
  <c r="KT108" i="2"/>
  <c r="H36" i="38" s="1"/>
  <c r="Z36" i="38" s="1"/>
  <c r="KS108" i="2"/>
  <c r="G36" i="38" s="1"/>
  <c r="Y36" i="38" s="1"/>
  <c r="KR108" i="2"/>
  <c r="F36" i="38" s="1"/>
  <c r="X36" i="38" s="1"/>
  <c r="KQ108" i="2"/>
  <c r="E36" i="38" s="1"/>
  <c r="KP6" i="2"/>
  <c r="KK108" i="2"/>
  <c r="H35" i="38" s="1"/>
  <c r="Z35" i="38" s="1"/>
  <c r="KJ108" i="2"/>
  <c r="G35" i="38" s="1"/>
  <c r="Y35" i="38" s="1"/>
  <c r="KI108" i="2"/>
  <c r="F35" i="38" s="1"/>
  <c r="X35" i="38" s="1"/>
  <c r="KH108" i="2"/>
  <c r="E35" i="38" s="1"/>
  <c r="KG6" i="2"/>
  <c r="KB108" i="2"/>
  <c r="H34" i="38" s="1"/>
  <c r="Z34" i="38" s="1"/>
  <c r="KA108" i="2"/>
  <c r="G34" i="38" s="1"/>
  <c r="Y34" i="38" s="1"/>
  <c r="JZ108" i="2"/>
  <c r="F34" i="38" s="1"/>
  <c r="X34" i="38" s="1"/>
  <c r="JY108" i="2"/>
  <c r="E34" i="38" s="1"/>
  <c r="JX6" i="2"/>
  <c r="JS108" i="2"/>
  <c r="H33" i="38" s="1"/>
  <c r="Z33" i="38" s="1"/>
  <c r="JR108" i="2"/>
  <c r="G33" i="38" s="1"/>
  <c r="Y33" i="38" s="1"/>
  <c r="JQ108" i="2"/>
  <c r="F33" i="38" s="1"/>
  <c r="X33" i="38" s="1"/>
  <c r="JP108" i="2"/>
  <c r="E33" i="38" s="1"/>
  <c r="JJ108" i="2"/>
  <c r="H32" i="38" s="1"/>
  <c r="Z32" i="38" s="1"/>
  <c r="JI108" i="2"/>
  <c r="G32" i="38" s="1"/>
  <c r="Y32" i="38" s="1"/>
  <c r="JH108" i="2"/>
  <c r="F32" i="38" s="1"/>
  <c r="X32" i="38" s="1"/>
  <c r="JG108" i="2"/>
  <c r="E32" i="38" s="1"/>
  <c r="JF6" i="2"/>
  <c r="JA108" i="2"/>
  <c r="H31" i="38" s="1"/>
  <c r="Z31" i="38" s="1"/>
  <c r="IZ108" i="2"/>
  <c r="G31" i="38" s="1"/>
  <c r="Y31" i="38" s="1"/>
  <c r="IY108" i="2"/>
  <c r="F31" i="38" s="1"/>
  <c r="X31" i="38" s="1"/>
  <c r="IX108" i="2"/>
  <c r="E31" i="38" s="1"/>
  <c r="IW6" i="2"/>
  <c r="IR108" i="2"/>
  <c r="H30" i="38" s="1"/>
  <c r="Z30" i="38" s="1"/>
  <c r="IQ108" i="2"/>
  <c r="G30" i="38" s="1"/>
  <c r="Y30" i="38" s="1"/>
  <c r="IP108" i="2"/>
  <c r="F30" i="38" s="1"/>
  <c r="X30" i="38" s="1"/>
  <c r="IO108" i="2"/>
  <c r="E30" i="38" s="1"/>
  <c r="IN6" i="2"/>
  <c r="II108" i="2"/>
  <c r="H29" i="38" s="1"/>
  <c r="Z29" i="38" s="1"/>
  <c r="IH108" i="2"/>
  <c r="G29" i="38" s="1"/>
  <c r="Y29" i="38" s="1"/>
  <c r="IG108" i="2"/>
  <c r="F29" i="38" s="1"/>
  <c r="X29" i="38" s="1"/>
  <c r="IF108" i="2"/>
  <c r="E29" i="38" s="1"/>
  <c r="HZ108" i="2"/>
  <c r="H28" i="38" s="1"/>
  <c r="Z28" i="38" s="1"/>
  <c r="HY108" i="2"/>
  <c r="G28" i="38" s="1"/>
  <c r="Y28" i="38" s="1"/>
  <c r="HX108" i="2"/>
  <c r="F28" i="38" s="1"/>
  <c r="X28" i="38" s="1"/>
  <c r="HW108" i="2"/>
  <c r="E28" i="38" s="1"/>
  <c r="HV6" i="2"/>
  <c r="HQ108" i="2"/>
  <c r="H27" i="38" s="1"/>
  <c r="Z27" i="38" s="1"/>
  <c r="HP108" i="2"/>
  <c r="G27" i="38" s="1"/>
  <c r="Y27" i="38" s="1"/>
  <c r="HO108" i="2"/>
  <c r="F27" i="38" s="1"/>
  <c r="X27" i="38" s="1"/>
  <c r="HN108" i="2"/>
  <c r="E27" i="38" s="1"/>
  <c r="HM6" i="2"/>
  <c r="HH108" i="2"/>
  <c r="H26" i="38" s="1"/>
  <c r="Z26" i="38" s="1"/>
  <c r="HG108" i="2"/>
  <c r="G26" i="38" s="1"/>
  <c r="Y26" i="38" s="1"/>
  <c r="HF108" i="2"/>
  <c r="F26" i="38" s="1"/>
  <c r="X26" i="38" s="1"/>
  <c r="HE108" i="2"/>
  <c r="E26" i="38" s="1"/>
  <c r="HD6" i="2"/>
  <c r="GY108" i="2"/>
  <c r="H25" i="38" s="1"/>
  <c r="Z25" i="38" s="1"/>
  <c r="GX108" i="2"/>
  <c r="G25" i="38" s="1"/>
  <c r="Y25" i="38" s="1"/>
  <c r="GW108" i="2"/>
  <c r="F25" i="38" s="1"/>
  <c r="X25" i="38" s="1"/>
  <c r="GV108" i="2"/>
  <c r="E25" i="38" s="1"/>
  <c r="GU6" i="2"/>
  <c r="GP108" i="2"/>
  <c r="H24" i="38" s="1"/>
  <c r="Z24" i="38" s="1"/>
  <c r="GO108" i="2"/>
  <c r="G24" i="38" s="1"/>
  <c r="Y24" i="38" s="1"/>
  <c r="GN108" i="2"/>
  <c r="F24" i="38" s="1"/>
  <c r="X24" i="38" s="1"/>
  <c r="GM108" i="2"/>
  <c r="E24" i="38" s="1"/>
  <c r="GG108" i="2"/>
  <c r="H23" i="38" s="1"/>
  <c r="Z23" i="38" s="1"/>
  <c r="GF108" i="2"/>
  <c r="G23" i="38" s="1"/>
  <c r="Y23" i="38" s="1"/>
  <c r="GE108" i="2"/>
  <c r="F23" i="38" s="1"/>
  <c r="X23" i="38" s="1"/>
  <c r="GD108" i="2"/>
  <c r="E23" i="38" s="1"/>
  <c r="GC6" i="2"/>
  <c r="FX108" i="2"/>
  <c r="H22" i="38" s="1"/>
  <c r="Z22" i="38" s="1"/>
  <c r="FW108" i="2"/>
  <c r="G22" i="38" s="1"/>
  <c r="Y22" i="38" s="1"/>
  <c r="FV108" i="2"/>
  <c r="F22" i="38" s="1"/>
  <c r="X22" i="38" s="1"/>
  <c r="FU108" i="2"/>
  <c r="E22" i="38" s="1"/>
  <c r="FT6" i="2"/>
  <c r="FO108" i="2"/>
  <c r="H21" i="38" s="1"/>
  <c r="Z21" i="38" s="1"/>
  <c r="FN108" i="2"/>
  <c r="G21" i="38" s="1"/>
  <c r="Y21" i="38" s="1"/>
  <c r="FM108" i="2"/>
  <c r="F21" i="38" s="1"/>
  <c r="X21" i="38" s="1"/>
  <c r="FL108" i="2"/>
  <c r="E21" i="38" s="1"/>
  <c r="FK6" i="2"/>
  <c r="FF108" i="2"/>
  <c r="H20" i="38" s="1"/>
  <c r="Z20" i="38" s="1"/>
  <c r="FE108" i="2"/>
  <c r="G20" i="38" s="1"/>
  <c r="Y20" i="38" s="1"/>
  <c r="FD108" i="2"/>
  <c r="F20" i="38" s="1"/>
  <c r="X20" i="38" s="1"/>
  <c r="FC108" i="2"/>
  <c r="E20" i="38" s="1"/>
  <c r="FB6" i="2"/>
  <c r="EW108" i="2"/>
  <c r="H19" i="38" s="1"/>
  <c r="Z19" i="38" s="1"/>
  <c r="EV108" i="2"/>
  <c r="G19" i="38" s="1"/>
  <c r="Y19" i="38" s="1"/>
  <c r="EU108" i="2"/>
  <c r="F19" i="38" s="1"/>
  <c r="X19" i="38" s="1"/>
  <c r="ET108" i="2"/>
  <c r="E19" i="38" s="1"/>
  <c r="EN108" i="2"/>
  <c r="H18" i="38" s="1"/>
  <c r="Z18" i="38" s="1"/>
  <c r="EM108" i="2"/>
  <c r="G18" i="38" s="1"/>
  <c r="Y18" i="38" s="1"/>
  <c r="EL108" i="2"/>
  <c r="F18" i="38" s="1"/>
  <c r="X18" i="38" s="1"/>
  <c r="EK108" i="2"/>
  <c r="E18" i="38" s="1"/>
  <c r="EJ6" i="2"/>
  <c r="EE108" i="2"/>
  <c r="H17" i="38" s="1"/>
  <c r="Z17" i="38" s="1"/>
  <c r="ED108" i="2"/>
  <c r="G17" i="38" s="1"/>
  <c r="Y17" i="38" s="1"/>
  <c r="EC108" i="2"/>
  <c r="F17" i="38" s="1"/>
  <c r="X17" i="38" s="1"/>
  <c r="EB108" i="2"/>
  <c r="E17" i="38" s="1"/>
  <c r="EA6" i="2"/>
  <c r="DV108" i="2"/>
  <c r="H16" i="38" s="1"/>
  <c r="Z16" i="38" s="1"/>
  <c r="DU108" i="2"/>
  <c r="G16" i="38" s="1"/>
  <c r="Y16" i="38" s="1"/>
  <c r="DT108" i="2"/>
  <c r="F16" i="38" s="1"/>
  <c r="X16" i="38" s="1"/>
  <c r="DS108" i="2"/>
  <c r="E16" i="38" s="1"/>
  <c r="DR6" i="2"/>
  <c r="DM108" i="2"/>
  <c r="H15" i="38" s="1"/>
  <c r="Z15" i="38" s="1"/>
  <c r="DL108" i="2"/>
  <c r="G15" i="38" s="1"/>
  <c r="Y15" i="38" s="1"/>
  <c r="DK108" i="2"/>
  <c r="F15" i="38" s="1"/>
  <c r="X15" i="38" s="1"/>
  <c r="DJ108" i="2"/>
  <c r="E15" i="38" s="1"/>
  <c r="DI6" i="2"/>
  <c r="DD108" i="2"/>
  <c r="H14" i="38" s="1"/>
  <c r="Z14" i="38" s="1"/>
  <c r="DC108" i="2"/>
  <c r="G14" i="38" s="1"/>
  <c r="Y14" i="38" s="1"/>
  <c r="DB108" i="2"/>
  <c r="F14" i="38" s="1"/>
  <c r="X14" i="38" s="1"/>
  <c r="DA108" i="2"/>
  <c r="E14" i="38" s="1"/>
  <c r="CZ6" i="2"/>
  <c r="CU108" i="2"/>
  <c r="H13" i="38" s="1"/>
  <c r="Z13" i="38" s="1"/>
  <c r="CT108" i="2"/>
  <c r="G13" i="38" s="1"/>
  <c r="Y13" i="38" s="1"/>
  <c r="CS108" i="2"/>
  <c r="F13" i="38" s="1"/>
  <c r="X13" i="38" s="1"/>
  <c r="CR108" i="2"/>
  <c r="E13" i="38" s="1"/>
  <c r="CQ6" i="2"/>
  <c r="CL108" i="2"/>
  <c r="H12" i="38" s="1"/>
  <c r="Z12" i="38" s="1"/>
  <c r="CK108" i="2"/>
  <c r="G12" i="38" s="1"/>
  <c r="Y12" i="38" s="1"/>
  <c r="CJ108" i="2"/>
  <c r="F12" i="38" s="1"/>
  <c r="X12" i="38" s="1"/>
  <c r="CI108" i="2"/>
  <c r="E12" i="38" s="1"/>
  <c r="CC108" i="2"/>
  <c r="H11" i="38" s="1"/>
  <c r="Z11" i="38" s="1"/>
  <c r="CB108" i="2"/>
  <c r="G11" i="38" s="1"/>
  <c r="Y11" i="38" s="1"/>
  <c r="CA108" i="2"/>
  <c r="F11" i="38" s="1"/>
  <c r="X11" i="38" s="1"/>
  <c r="BZ108" i="2"/>
  <c r="E11" i="38" s="1"/>
  <c r="BY6" i="2"/>
  <c r="BT108" i="2"/>
  <c r="H10" i="38" s="1"/>
  <c r="Z10" i="38" s="1"/>
  <c r="BS108" i="2"/>
  <c r="G10" i="38" s="1"/>
  <c r="Y10" i="38" s="1"/>
  <c r="BR108" i="2"/>
  <c r="F10" i="38" s="1"/>
  <c r="X10" i="38" s="1"/>
  <c r="BQ108" i="2"/>
  <c r="E10" i="38" s="1"/>
  <c r="BP6" i="2"/>
  <c r="BK108" i="2"/>
  <c r="H9" i="38" s="1"/>
  <c r="Z9" i="38" s="1"/>
  <c r="BJ108" i="2"/>
  <c r="G9" i="38" s="1"/>
  <c r="Y9" i="38" s="1"/>
  <c r="BI108" i="2"/>
  <c r="F9" i="38" s="1"/>
  <c r="X9" i="38" s="1"/>
  <c r="BH108" i="2"/>
  <c r="E9" i="38" s="1"/>
  <c r="BG6" i="2"/>
  <c r="BL6" i="2" s="1"/>
  <c r="BB108" i="2"/>
  <c r="H8" i="38" s="1"/>
  <c r="Z8" i="38" s="1"/>
  <c r="BA108" i="2"/>
  <c r="G8" i="38" s="1"/>
  <c r="Y8" i="38" s="1"/>
  <c r="AZ108" i="2"/>
  <c r="F8" i="38" s="1"/>
  <c r="X8" i="38" s="1"/>
  <c r="AY108" i="2"/>
  <c r="E8" i="38" s="1"/>
  <c r="AX6" i="2"/>
  <c r="AM3" i="2"/>
  <c r="AV3" i="2" s="1"/>
  <c r="BE3" i="2" s="1"/>
  <c r="BN3" i="2" s="1"/>
  <c r="BW3" i="2" s="1"/>
  <c r="CF3" i="2" s="1"/>
  <c r="CO3" i="2" s="1"/>
  <c r="CX3" i="2" s="1"/>
  <c r="DG3" i="2" s="1"/>
  <c r="DP3" i="2" s="1"/>
  <c r="DY3" i="2" s="1"/>
  <c r="EH3" i="2" s="1"/>
  <c r="EQ3" i="2" s="1"/>
  <c r="EZ3" i="2" s="1"/>
  <c r="FI3" i="2" s="1"/>
  <c r="FR3" i="2" s="1"/>
  <c r="GA3" i="2" s="1"/>
  <c r="GJ3" i="2" s="1"/>
  <c r="GS3" i="2" s="1"/>
  <c r="HB3" i="2" s="1"/>
  <c r="HK3" i="2" s="1"/>
  <c r="HT3" i="2" s="1"/>
  <c r="IC3" i="2" s="1"/>
  <c r="IL3" i="2" s="1"/>
  <c r="IU3" i="2" s="1"/>
  <c r="JD3" i="2" s="1"/>
  <c r="JM3" i="2" s="1"/>
  <c r="JV3" i="2" s="1"/>
  <c r="KE3" i="2" s="1"/>
  <c r="KN3" i="2" s="1"/>
  <c r="KW3" i="2" s="1"/>
  <c r="LF3" i="2" s="1"/>
  <c r="LO3" i="2" s="1"/>
  <c r="LX3" i="2" s="1"/>
  <c r="MG3" i="2" s="1"/>
  <c r="MP3" i="2" s="1"/>
  <c r="MY3" i="2" s="1"/>
  <c r="NH3" i="2" s="1"/>
  <c r="NQ3" i="2" s="1"/>
  <c r="OI3" i="2" s="1"/>
  <c r="OR3" i="2" s="1"/>
  <c r="PA3" i="2" s="1"/>
  <c r="PJ3" i="2" s="1"/>
  <c r="PS3" i="2" s="1"/>
  <c r="QB3" i="2" s="1"/>
  <c r="QK3" i="2" s="1"/>
  <c r="AM2" i="2"/>
  <c r="AV2" i="2" s="1"/>
  <c r="BE2" i="2" s="1"/>
  <c r="BN2" i="2" s="1"/>
  <c r="BW2" i="2" s="1"/>
  <c r="CF2" i="2" s="1"/>
  <c r="CO2" i="2" s="1"/>
  <c r="CX2" i="2" s="1"/>
  <c r="DG2" i="2" s="1"/>
  <c r="DP2" i="2" s="1"/>
  <c r="DY2" i="2" s="1"/>
  <c r="EH2" i="2" s="1"/>
  <c r="EQ2" i="2" s="1"/>
  <c r="EZ2" i="2" s="1"/>
  <c r="FI2" i="2" s="1"/>
  <c r="FR2" i="2" s="1"/>
  <c r="GA2" i="2" s="1"/>
  <c r="GJ2" i="2" s="1"/>
  <c r="GS2" i="2" s="1"/>
  <c r="HB2" i="2" s="1"/>
  <c r="HK2" i="2" s="1"/>
  <c r="HT2" i="2" s="1"/>
  <c r="IC2" i="2" s="1"/>
  <c r="IL2" i="2" s="1"/>
  <c r="IU2" i="2" s="1"/>
  <c r="JD2" i="2" s="1"/>
  <c r="JM2" i="2" s="1"/>
  <c r="JV2" i="2" s="1"/>
  <c r="KE2" i="2" s="1"/>
  <c r="KN2" i="2" s="1"/>
  <c r="KW2" i="2" s="1"/>
  <c r="LF2" i="2" s="1"/>
  <c r="LO2" i="2" s="1"/>
  <c r="LX2" i="2" s="1"/>
  <c r="MG2" i="2" s="1"/>
  <c r="MP2" i="2" s="1"/>
  <c r="MY2" i="2" s="1"/>
  <c r="NH2" i="2" s="1"/>
  <c r="NQ2" i="2" s="1"/>
  <c r="NZ2" i="2" s="1"/>
  <c r="OI2" i="2" s="1"/>
  <c r="OR2" i="2" s="1"/>
  <c r="PA2" i="2" s="1"/>
  <c r="PJ2" i="2" s="1"/>
  <c r="PS2" i="2" s="1"/>
  <c r="QB2" i="2" s="1"/>
  <c r="QK2" i="2" s="1"/>
  <c r="AS108" i="2"/>
  <c r="H7" i="38" s="1"/>
  <c r="Z7" i="38" s="1"/>
  <c r="AR108" i="2"/>
  <c r="G7" i="38" s="1"/>
  <c r="Y7" i="38" s="1"/>
  <c r="AQ108" i="2"/>
  <c r="F7" i="38" s="1"/>
  <c r="X7" i="38" s="1"/>
  <c r="AP108" i="2"/>
  <c r="E7" i="38" s="1"/>
  <c r="AO6" i="2"/>
  <c r="AJ108" i="2"/>
  <c r="H6" i="38" s="1"/>
  <c r="Z6" i="38" s="1"/>
  <c r="AI108" i="2"/>
  <c r="G6" i="38" s="1"/>
  <c r="Y6" i="38" s="1"/>
  <c r="AH108" i="2"/>
  <c r="F6" i="38" s="1"/>
  <c r="X6" i="38" s="1"/>
  <c r="AG108" i="2"/>
  <c r="E6" i="38" s="1"/>
  <c r="AF6" i="2"/>
  <c r="AA108" i="2"/>
  <c r="H5" i="38" s="1"/>
  <c r="Z5" i="38" s="1"/>
  <c r="Z108" i="2"/>
  <c r="G5" i="38" s="1"/>
  <c r="Y5" i="38" s="1"/>
  <c r="Y108" i="2"/>
  <c r="F5" i="38" s="1"/>
  <c r="X108" i="2"/>
  <c r="E5" i="38" s="1"/>
  <c r="N6" i="2"/>
  <c r="R108" i="2"/>
  <c r="H4" i="38" s="1"/>
  <c r="Z4" i="38" s="1"/>
  <c r="Q108" i="2"/>
  <c r="G4" i="38" s="1"/>
  <c r="Y4" i="38" s="1"/>
  <c r="P108" i="2"/>
  <c r="F4" i="38" s="1"/>
  <c r="X4" i="38" s="1"/>
  <c r="O108" i="2"/>
  <c r="E4" i="38" s="1"/>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B56" i="20"/>
  <c r="B55" i="20"/>
  <c r="B54" i="20"/>
  <c r="B53" i="20"/>
  <c r="B52" i="20"/>
  <c r="B51" i="20"/>
  <c r="B50" i="20"/>
  <c r="B49" i="20"/>
  <c r="B48" i="20"/>
  <c r="B47" i="20"/>
  <c r="B46" i="20"/>
  <c r="B45" i="20"/>
  <c r="B44" i="20"/>
  <c r="B43"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8" i="20"/>
  <c r="B7" i="20"/>
  <c r="B6" i="20"/>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6" i="19"/>
  <c r="RI6" i="2" l="1"/>
  <c r="RH6" i="2"/>
  <c r="BJ162" i="42" s="1"/>
  <c r="BB162" i="42"/>
  <c r="AX162" i="42"/>
  <c r="D7" i="35"/>
  <c r="C7" i="35" s="1"/>
  <c r="H79" i="24"/>
  <c r="H72" i="24"/>
  <c r="H78" i="24"/>
  <c r="H76" i="24"/>
  <c r="C77" i="27"/>
  <c r="D8" i="35"/>
  <c r="C8" i="35" s="1"/>
  <c r="D52" i="35"/>
  <c r="C52" i="35" s="1"/>
  <c r="D11" i="35"/>
  <c r="C11" i="35" s="1"/>
  <c r="D55" i="35"/>
  <c r="C55" i="35" s="1"/>
  <c r="D13" i="35"/>
  <c r="C13" i="35" s="1"/>
  <c r="D35" i="35"/>
  <c r="C35" i="35" s="1"/>
  <c r="D57" i="35"/>
  <c r="C57" i="35" s="1"/>
  <c r="D41" i="35"/>
  <c r="C41" i="35" s="1"/>
  <c r="D63" i="35"/>
  <c r="C63" i="35" s="1"/>
  <c r="D12" i="35"/>
  <c r="C12" i="35" s="1"/>
  <c r="D15" i="35"/>
  <c r="C15" i="35" s="1"/>
  <c r="D16" i="35"/>
  <c r="C16" i="35" s="1"/>
  <c r="D39" i="35"/>
  <c r="C39" i="35" s="1"/>
  <c r="D40" i="35"/>
  <c r="C40" i="35" s="1"/>
  <c r="D43" i="35"/>
  <c r="C43" i="35" s="1"/>
  <c r="D65" i="35"/>
  <c r="C65" i="35" s="1"/>
  <c r="D44" i="35"/>
  <c r="C44" i="35" s="1"/>
  <c r="D45" i="35"/>
  <c r="C45" i="35" s="1"/>
  <c r="D37" i="35"/>
  <c r="C37" i="35" s="1"/>
  <c r="D17" i="35"/>
  <c r="C17" i="35" s="1"/>
  <c r="D64" i="35"/>
  <c r="C64" i="35" s="1"/>
  <c r="D48" i="35"/>
  <c r="C48" i="35" s="1"/>
  <c r="D50" i="35"/>
  <c r="C50" i="35" s="1"/>
  <c r="D9" i="35"/>
  <c r="C9" i="35" s="1"/>
  <c r="D53" i="35"/>
  <c r="C53" i="35" s="1"/>
  <c r="D54" i="35"/>
  <c r="C54" i="35" s="1"/>
  <c r="D14" i="35"/>
  <c r="C14" i="35" s="1"/>
  <c r="D36" i="35"/>
  <c r="C36" i="35" s="1"/>
  <c r="D58" i="35"/>
  <c r="C58" i="35" s="1"/>
  <c r="D38" i="35"/>
  <c r="C38" i="35" s="1"/>
  <c r="D60" i="35"/>
  <c r="C60" i="35" s="1"/>
  <c r="D61" i="35"/>
  <c r="C61" i="35" s="1"/>
  <c r="D62" i="35"/>
  <c r="C62" i="35" s="1"/>
  <c r="D42" i="35"/>
  <c r="C42" i="35" s="1"/>
  <c r="D46" i="35"/>
  <c r="C46" i="35" s="1"/>
  <c r="D47" i="35"/>
  <c r="C47" i="35" s="1"/>
  <c r="C71" i="27"/>
  <c r="H87" i="24"/>
  <c r="C62" i="27"/>
  <c r="H68" i="24"/>
  <c r="C66" i="27"/>
  <c r="H83" i="24"/>
  <c r="H71" i="24"/>
  <c r="C65" i="27"/>
  <c r="H69" i="24"/>
  <c r="C74" i="36"/>
  <c r="C63" i="27"/>
  <c r="C60" i="27"/>
  <c r="H70" i="24"/>
  <c r="H77" i="24"/>
  <c r="H82" i="24"/>
  <c r="H85" i="24"/>
  <c r="H84" i="24"/>
  <c r="C64" i="27"/>
  <c r="C61" i="27"/>
  <c r="K89" i="24"/>
  <c r="S6" i="2"/>
  <c r="BL108" i="2"/>
  <c r="I9" i="38" s="1"/>
  <c r="K9" i="38" s="1"/>
  <c r="X5" i="38"/>
  <c r="C68" i="33"/>
  <c r="D51" i="37"/>
  <c r="C79" i="37"/>
  <c r="E79" i="37"/>
  <c r="D16" i="37"/>
  <c r="D28" i="37"/>
  <c r="C89" i="37"/>
  <c r="E89" i="37"/>
  <c r="C73" i="37"/>
  <c r="C75" i="37"/>
  <c r="E75" i="37"/>
  <c r="C81" i="37"/>
  <c r="E81" i="37"/>
  <c r="D59" i="35"/>
  <c r="C59" i="35" s="1"/>
  <c r="D29" i="37"/>
  <c r="D41" i="37"/>
  <c r="D53" i="37"/>
  <c r="D65" i="37"/>
  <c r="C68" i="37"/>
  <c r="C75" i="36"/>
  <c r="D75" i="36" s="1"/>
  <c r="E84" i="37"/>
  <c r="C84" i="37"/>
  <c r="C82" i="37"/>
  <c r="C81" i="36"/>
  <c r="D81" i="36" s="1"/>
  <c r="D6" i="35"/>
  <c r="C6" i="35" s="1"/>
  <c r="D6" i="37"/>
  <c r="D30" i="37"/>
  <c r="D42" i="37"/>
  <c r="D54" i="37"/>
  <c r="D89" i="35"/>
  <c r="C89" i="35" s="1"/>
  <c r="D66" i="35"/>
  <c r="C66" i="35" s="1"/>
  <c r="D51" i="35"/>
  <c r="C51" i="35" s="1"/>
  <c r="D19" i="37"/>
  <c r="C77" i="37"/>
  <c r="E77" i="37"/>
  <c r="E88" i="37"/>
  <c r="C88" i="37"/>
  <c r="C86" i="37"/>
  <c r="E86" i="37"/>
  <c r="C89" i="33"/>
  <c r="C69" i="37"/>
  <c r="E69" i="37"/>
  <c r="D8" i="37"/>
  <c r="D20" i="37"/>
  <c r="D44" i="37"/>
  <c r="D56" i="37"/>
  <c r="E56" i="37" s="1"/>
  <c r="D46" i="37"/>
  <c r="E46" i="37" s="1"/>
  <c r="C70" i="37"/>
  <c r="C76" i="37"/>
  <c r="E76" i="37"/>
  <c r="D56" i="35"/>
  <c r="C56" i="35" s="1"/>
  <c r="D35" i="37"/>
  <c r="E35" i="37" s="1"/>
  <c r="D47" i="37"/>
  <c r="C74" i="37"/>
  <c r="C76" i="36"/>
  <c r="D76" i="36" s="1"/>
  <c r="C85" i="37"/>
  <c r="E85" i="37"/>
  <c r="D89" i="32"/>
  <c r="C89" i="32" s="1"/>
  <c r="D10" i="37"/>
  <c r="D58" i="37"/>
  <c r="D12" i="37"/>
  <c r="E12" i="37" s="1"/>
  <c r="D36" i="37"/>
  <c r="D48" i="37"/>
  <c r="C71" i="37"/>
  <c r="E71" i="37"/>
  <c r="C69" i="36"/>
  <c r="D69" i="36" s="1"/>
  <c r="C88" i="33"/>
  <c r="C83" i="37"/>
  <c r="D67" i="35"/>
  <c r="C67" i="35" s="1"/>
  <c r="D57" i="37"/>
  <c r="D13" i="37"/>
  <c r="D37" i="37"/>
  <c r="D61" i="37"/>
  <c r="E61" i="37" s="1"/>
  <c r="C80" i="37"/>
  <c r="C87" i="37"/>
  <c r="C78" i="37"/>
  <c r="E78" i="37"/>
  <c r="D88" i="35"/>
  <c r="C88" i="35" s="1"/>
  <c r="D88" i="32"/>
  <c r="C88" i="32" s="1"/>
  <c r="C78" i="36"/>
  <c r="D78" i="36" s="1"/>
  <c r="F6" i="31" a="1"/>
  <c r="F6" i="28" a="1"/>
  <c r="E108" i="2"/>
  <c r="C74" i="33"/>
  <c r="C69" i="33"/>
  <c r="C71" i="36"/>
  <c r="D71" i="36" s="1"/>
  <c r="C72" i="37"/>
  <c r="C70" i="36"/>
  <c r="C8" i="19"/>
  <c r="D74" i="32"/>
  <c r="C74" i="32" s="1"/>
  <c r="C86" i="23"/>
  <c r="D69" i="32"/>
  <c r="C69" i="32" s="1"/>
  <c r="D71" i="32"/>
  <c r="C71" i="32" s="1"/>
  <c r="D68" i="32"/>
  <c r="C68" i="32" s="1"/>
  <c r="D72" i="32"/>
  <c r="C72" i="32" s="1"/>
  <c r="F64" i="24"/>
  <c r="C64" i="19"/>
  <c r="C35" i="21"/>
  <c r="D64" i="24"/>
  <c r="C72" i="33"/>
  <c r="C76" i="23"/>
  <c r="E62" i="24"/>
  <c r="C31" i="21"/>
  <c r="D62" i="24"/>
  <c r="C39" i="21"/>
  <c r="C37" i="20"/>
  <c r="C33" i="20"/>
  <c r="C25" i="20"/>
  <c r="C71" i="33"/>
  <c r="C70" i="33"/>
  <c r="C9" i="20"/>
  <c r="C73" i="33"/>
  <c r="C45" i="20"/>
  <c r="C32" i="19"/>
  <c r="C19" i="21"/>
  <c r="C44" i="19"/>
  <c r="C40" i="19"/>
  <c r="C17" i="20"/>
  <c r="E60" i="24"/>
  <c r="D60" i="24"/>
  <c r="F60" i="24"/>
  <c r="D70" i="32"/>
  <c r="C70" i="32" s="1"/>
  <c r="C21" i="20"/>
  <c r="C56" i="19"/>
  <c r="C57" i="20"/>
  <c r="E57" i="24"/>
  <c r="D57" i="24"/>
  <c r="F59" i="24"/>
  <c r="E59" i="24"/>
  <c r="C59" i="21"/>
  <c r="E58" i="24"/>
  <c r="D58" i="24"/>
  <c r="C65" i="20"/>
  <c r="E65" i="24"/>
  <c r="D65" i="24"/>
  <c r="C27" i="21"/>
  <c r="F61" i="24"/>
  <c r="E61" i="24"/>
  <c r="D61" i="24"/>
  <c r="C47" i="21"/>
  <c r="C49" i="20"/>
  <c r="C53" i="20"/>
  <c r="C43" i="21"/>
  <c r="C52" i="19"/>
  <c r="C55" i="21"/>
  <c r="C20" i="19"/>
  <c r="F66" i="24"/>
  <c r="E66" i="24"/>
  <c r="D66" i="24"/>
  <c r="C51" i="21"/>
  <c r="C13" i="20"/>
  <c r="C48" i="19"/>
  <c r="C28" i="19"/>
  <c r="C23" i="21"/>
  <c r="C12" i="19"/>
  <c r="C11" i="21"/>
  <c r="C24" i="19"/>
  <c r="C15" i="21"/>
  <c r="C41" i="20"/>
  <c r="C36" i="19"/>
  <c r="C29" i="20"/>
  <c r="E6" i="24"/>
  <c r="C6" i="21"/>
  <c r="C7" i="21"/>
  <c r="F63" i="24"/>
  <c r="E63" i="24"/>
  <c r="D63" i="24"/>
  <c r="C16" i="19"/>
  <c r="D73" i="32"/>
  <c r="C73" i="32" s="1"/>
  <c r="C77" i="23"/>
  <c r="C82" i="23"/>
  <c r="C85" i="23"/>
  <c r="F67" i="24"/>
  <c r="C67" i="20"/>
  <c r="C67" i="19"/>
  <c r="E67" i="24"/>
  <c r="C67" i="21"/>
  <c r="D67" i="24"/>
  <c r="C89" i="21"/>
  <c r="F88" i="24"/>
  <c r="E88" i="24"/>
  <c r="C88" i="19"/>
  <c r="D88" i="24"/>
  <c r="C88" i="21"/>
  <c r="C89" i="19"/>
  <c r="C65" i="21"/>
  <c r="C61" i="21"/>
  <c r="C57" i="21"/>
  <c r="D43" i="24"/>
  <c r="D27" i="24"/>
  <c r="C66" i="19"/>
  <c r="F37" i="24"/>
  <c r="E24" i="24"/>
  <c r="C63" i="20"/>
  <c r="C62" i="19"/>
  <c r="F21" i="24"/>
  <c r="C59" i="20"/>
  <c r="C58" i="19"/>
  <c r="E40" i="24"/>
  <c r="E8" i="24"/>
  <c r="D11" i="24"/>
  <c r="C6" i="20"/>
  <c r="F6" i="24"/>
  <c r="C54" i="21"/>
  <c r="D54" i="24"/>
  <c r="C52" i="20"/>
  <c r="F52" i="24"/>
  <c r="C51" i="19"/>
  <c r="E51" i="24"/>
  <c r="C50" i="21"/>
  <c r="D50" i="24"/>
  <c r="C48" i="20"/>
  <c r="F48" i="24"/>
  <c r="C47" i="19"/>
  <c r="E47" i="24"/>
  <c r="C46" i="21"/>
  <c r="D46" i="24"/>
  <c r="C44" i="20"/>
  <c r="F44" i="24"/>
  <c r="C43" i="19"/>
  <c r="E43" i="24"/>
  <c r="C42" i="21"/>
  <c r="D42" i="24"/>
  <c r="C40" i="20"/>
  <c r="F40" i="24"/>
  <c r="C39" i="19"/>
  <c r="E39" i="24"/>
  <c r="C38" i="21"/>
  <c r="D38" i="24"/>
  <c r="C36" i="20"/>
  <c r="F36" i="24"/>
  <c r="C35" i="19"/>
  <c r="E35" i="24"/>
  <c r="C34" i="21"/>
  <c r="D34" i="24"/>
  <c r="C32" i="20"/>
  <c r="F32" i="24"/>
  <c r="C31" i="19"/>
  <c r="E31" i="24"/>
  <c r="C30" i="21"/>
  <c r="D30" i="24"/>
  <c r="C28" i="20"/>
  <c r="F28" i="24"/>
  <c r="C27" i="19"/>
  <c r="E27" i="24"/>
  <c r="C26" i="21"/>
  <c r="D26" i="24"/>
  <c r="C24" i="20"/>
  <c r="F24" i="24"/>
  <c r="C23" i="19"/>
  <c r="E23" i="24"/>
  <c r="C22" i="21"/>
  <c r="D22" i="24"/>
  <c r="C20" i="20"/>
  <c r="F20" i="24"/>
  <c r="C19" i="19"/>
  <c r="E19" i="24"/>
  <c r="C18" i="21"/>
  <c r="D18" i="24"/>
  <c r="C16" i="20"/>
  <c r="F16" i="24"/>
  <c r="C15" i="19"/>
  <c r="E15" i="24"/>
  <c r="C14" i="21"/>
  <c r="D14" i="24"/>
  <c r="C12" i="20"/>
  <c r="F12" i="24"/>
  <c r="C11" i="19"/>
  <c r="E11" i="24"/>
  <c r="C10" i="21"/>
  <c r="D10" i="24"/>
  <c r="C8" i="20"/>
  <c r="F8" i="24"/>
  <c r="C7" i="19"/>
  <c r="E7" i="24"/>
  <c r="C66" i="21"/>
  <c r="C62" i="21"/>
  <c r="C58" i="21"/>
  <c r="C63" i="19"/>
  <c r="C59" i="19"/>
  <c r="C64" i="20"/>
  <c r="D59" i="24"/>
  <c r="E56" i="24"/>
  <c r="F53" i="24"/>
  <c r="C56" i="20"/>
  <c r="F56" i="24"/>
  <c r="D55" i="24"/>
  <c r="D39" i="24"/>
  <c r="D23" i="24"/>
  <c r="D7" i="24"/>
  <c r="E52" i="24"/>
  <c r="E36" i="24"/>
  <c r="E20" i="24"/>
  <c r="F65" i="24"/>
  <c r="F49" i="24"/>
  <c r="F33" i="24"/>
  <c r="F17" i="24"/>
  <c r="F62" i="24"/>
  <c r="C62" i="20"/>
  <c r="F58" i="24"/>
  <c r="C58" i="20"/>
  <c r="C56" i="21"/>
  <c r="D56" i="24"/>
  <c r="C54" i="20"/>
  <c r="F54" i="24"/>
  <c r="C53" i="19"/>
  <c r="E53" i="24"/>
  <c r="C52" i="21"/>
  <c r="D52" i="24"/>
  <c r="C50" i="20"/>
  <c r="F50" i="24"/>
  <c r="C49" i="19"/>
  <c r="E49" i="24"/>
  <c r="C48" i="21"/>
  <c r="D48" i="24"/>
  <c r="C46" i="20"/>
  <c r="F46" i="24"/>
  <c r="C45" i="19"/>
  <c r="E45" i="24"/>
  <c r="C44" i="21"/>
  <c r="D44" i="24"/>
  <c r="C42" i="20"/>
  <c r="F42" i="24"/>
  <c r="C41" i="19"/>
  <c r="E41" i="24"/>
  <c r="C40" i="21"/>
  <c r="D40" i="24"/>
  <c r="C38" i="20"/>
  <c r="F38" i="24"/>
  <c r="C37" i="19"/>
  <c r="E37" i="24"/>
  <c r="C36" i="21"/>
  <c r="D36" i="24"/>
  <c r="C34" i="20"/>
  <c r="F34" i="24"/>
  <c r="C33" i="19"/>
  <c r="E33" i="24"/>
  <c r="C32" i="21"/>
  <c r="D32" i="24"/>
  <c r="C30" i="20"/>
  <c r="F30" i="24"/>
  <c r="C29" i="19"/>
  <c r="E29" i="24"/>
  <c r="C28" i="21"/>
  <c r="D28" i="24"/>
  <c r="C26" i="20"/>
  <c r="F26" i="24"/>
  <c r="C25" i="19"/>
  <c r="E25" i="24"/>
  <c r="C24" i="21"/>
  <c r="D24" i="24"/>
  <c r="C22" i="20"/>
  <c r="F22" i="24"/>
  <c r="C21" i="19"/>
  <c r="E21" i="24"/>
  <c r="C20" i="21"/>
  <c r="D20" i="24"/>
  <c r="C18" i="20"/>
  <c r="F18" i="24"/>
  <c r="C17" i="19"/>
  <c r="E17" i="24"/>
  <c r="C16" i="21"/>
  <c r="D16" i="24"/>
  <c r="C14" i="20"/>
  <c r="F14" i="24"/>
  <c r="C13" i="19"/>
  <c r="E13" i="24"/>
  <c r="C12" i="21"/>
  <c r="D12" i="24"/>
  <c r="C10" i="20"/>
  <c r="F10" i="24"/>
  <c r="C9" i="19"/>
  <c r="E9" i="24"/>
  <c r="C8" i="21"/>
  <c r="D8" i="24"/>
  <c r="D10" i="35"/>
  <c r="C10" i="35" s="1"/>
  <c r="C64" i="21"/>
  <c r="C60" i="21"/>
  <c r="C65" i="19"/>
  <c r="C61" i="19"/>
  <c r="C57" i="19"/>
  <c r="C66" i="20"/>
  <c r="C61" i="20"/>
  <c r="D6" i="24"/>
  <c r="D51" i="24"/>
  <c r="D35" i="24"/>
  <c r="D19" i="24"/>
  <c r="E64" i="24"/>
  <c r="E48" i="24"/>
  <c r="E32" i="24"/>
  <c r="E16" i="24"/>
  <c r="F45" i="24"/>
  <c r="F29" i="24"/>
  <c r="F13" i="24"/>
  <c r="C55" i="19"/>
  <c r="E55" i="24"/>
  <c r="C55" i="20"/>
  <c r="F55" i="24"/>
  <c r="C54" i="19"/>
  <c r="E54" i="24"/>
  <c r="C53" i="21"/>
  <c r="D53" i="24"/>
  <c r="C51" i="20"/>
  <c r="F51" i="24"/>
  <c r="C50" i="19"/>
  <c r="E50" i="24"/>
  <c r="C49" i="21"/>
  <c r="D49" i="24"/>
  <c r="C47" i="20"/>
  <c r="F47" i="24"/>
  <c r="C46" i="19"/>
  <c r="E46" i="24"/>
  <c r="C45" i="21"/>
  <c r="D45" i="24"/>
  <c r="C43" i="20"/>
  <c r="F43" i="24"/>
  <c r="C42" i="19"/>
  <c r="E42" i="24"/>
  <c r="C41" i="21"/>
  <c r="D41" i="24"/>
  <c r="C39" i="20"/>
  <c r="F39" i="24"/>
  <c r="C38" i="19"/>
  <c r="E38" i="24"/>
  <c r="C37" i="21"/>
  <c r="D37" i="24"/>
  <c r="C35" i="20"/>
  <c r="F35" i="24"/>
  <c r="C34" i="19"/>
  <c r="E34" i="24"/>
  <c r="C33" i="21"/>
  <c r="D33" i="24"/>
  <c r="C31" i="20"/>
  <c r="F31" i="24"/>
  <c r="C30" i="19"/>
  <c r="E30" i="24"/>
  <c r="C29" i="21"/>
  <c r="D29" i="24"/>
  <c r="C27" i="20"/>
  <c r="F27" i="24"/>
  <c r="C26" i="19"/>
  <c r="E26" i="24"/>
  <c r="C25" i="21"/>
  <c r="D25" i="24"/>
  <c r="C23" i="20"/>
  <c r="F23" i="24"/>
  <c r="C22" i="19"/>
  <c r="E22" i="24"/>
  <c r="C21" i="21"/>
  <c r="D21" i="24"/>
  <c r="C19" i="20"/>
  <c r="F19" i="24"/>
  <c r="C18" i="19"/>
  <c r="E18" i="24"/>
  <c r="C17" i="21"/>
  <c r="D17" i="24"/>
  <c r="C15" i="20"/>
  <c r="F15" i="24"/>
  <c r="C14" i="19"/>
  <c r="E14" i="24"/>
  <c r="C13" i="21"/>
  <c r="D13" i="24"/>
  <c r="C11" i="20"/>
  <c r="F11" i="24"/>
  <c r="C10" i="19"/>
  <c r="E10" i="24"/>
  <c r="C9" i="21"/>
  <c r="D9" i="24"/>
  <c r="C7" i="20"/>
  <c r="F7" i="24"/>
  <c r="C63" i="21"/>
  <c r="C60" i="19"/>
  <c r="C60" i="20"/>
  <c r="D47" i="24"/>
  <c r="D31" i="24"/>
  <c r="D15" i="24"/>
  <c r="E44" i="24"/>
  <c r="E28" i="24"/>
  <c r="E12" i="24"/>
  <c r="F57" i="24"/>
  <c r="F41" i="24"/>
  <c r="F25" i="24"/>
  <c r="F9" i="24"/>
  <c r="D11" i="37"/>
  <c r="D27" i="37"/>
  <c r="E27" i="37" s="1"/>
  <c r="D43" i="37"/>
  <c r="E43" i="37" s="1"/>
  <c r="D59" i="37"/>
  <c r="E59" i="37" s="1"/>
  <c r="D67" i="37"/>
  <c r="E67" i="37" s="1"/>
  <c r="D63" i="37"/>
  <c r="D31" i="37"/>
  <c r="D49" i="35"/>
  <c r="C49" i="35" s="1"/>
  <c r="D14" i="37"/>
  <c r="E14" i="37" s="1"/>
  <c r="D22" i="37"/>
  <c r="D62" i="37"/>
  <c r="E62" i="37" s="1"/>
  <c r="D39" i="37"/>
  <c r="D7" i="37"/>
  <c r="D24" i="37"/>
  <c r="D32" i="37"/>
  <c r="E32" i="37" s="1"/>
  <c r="D40" i="37"/>
  <c r="D52" i="37"/>
  <c r="E52" i="37" s="1"/>
  <c r="D60" i="37"/>
  <c r="E60" i="37" s="1"/>
  <c r="D64" i="37"/>
  <c r="E64" i="37" s="1"/>
  <c r="D55" i="37"/>
  <c r="D23" i="37"/>
  <c r="D18" i="37"/>
  <c r="E18" i="37" s="1"/>
  <c r="D26" i="37"/>
  <c r="E26" i="37" s="1"/>
  <c r="D34" i="37"/>
  <c r="D38" i="37"/>
  <c r="E38" i="37" s="1"/>
  <c r="D50" i="37"/>
  <c r="E50" i="37" s="1"/>
  <c r="D66" i="37"/>
  <c r="D9" i="37"/>
  <c r="E9" i="37" s="1"/>
  <c r="D17" i="37"/>
  <c r="D21" i="37"/>
  <c r="E21" i="37" s="1"/>
  <c r="D25" i="37"/>
  <c r="E25" i="37" s="1"/>
  <c r="D33" i="37"/>
  <c r="D45" i="37"/>
  <c r="D49" i="37"/>
  <c r="E49" i="37" s="1"/>
  <c r="D15" i="37"/>
  <c r="E15" i="37" s="1"/>
  <c r="NA108" i="2"/>
  <c r="D43" i="38" s="1"/>
  <c r="FK108" i="2"/>
  <c r="D21" i="38" s="1"/>
  <c r="NO108" i="2"/>
  <c r="I44" i="38" s="1"/>
  <c r="K44" i="38" s="1"/>
  <c r="OT108" i="2"/>
  <c r="W48" i="38" s="1"/>
  <c r="QD108" i="2"/>
  <c r="D52" i="38" s="1"/>
  <c r="BP108" i="2"/>
  <c r="CZ108" i="2"/>
  <c r="D14" i="38" s="1"/>
  <c r="EJ108" i="2"/>
  <c r="D18" i="38" s="1"/>
  <c r="AF108" i="2"/>
  <c r="D6" i="38" s="1"/>
  <c r="NJ108" i="2"/>
  <c r="D44" i="38" s="1"/>
  <c r="GL108" i="2"/>
  <c r="D24" i="38" s="1"/>
  <c r="HV108" i="2"/>
  <c r="D28" i="38" s="1"/>
  <c r="W28" i="38" s="1"/>
  <c r="MR108" i="2"/>
  <c r="D42" i="38" s="1"/>
  <c r="NF6" i="2"/>
  <c r="NF108" i="2" s="1"/>
  <c r="OK108" i="2"/>
  <c r="D47" i="38" s="1"/>
  <c r="PU108" i="2"/>
  <c r="D51" i="38" s="1"/>
  <c r="MI108" i="2"/>
  <c r="D41" i="38" s="1"/>
  <c r="OB108" i="2"/>
  <c r="D46" i="38" s="1"/>
  <c r="PL108" i="2"/>
  <c r="D50" i="38" s="1"/>
  <c r="W50" i="38" s="1"/>
  <c r="IN108" i="2"/>
  <c r="D30" i="38" s="1"/>
  <c r="JX108" i="2"/>
  <c r="D34" i="38" s="1"/>
  <c r="LH108" i="2"/>
  <c r="D38" i="38" s="1"/>
  <c r="LZ108" i="2"/>
  <c r="D40" i="38" s="1"/>
  <c r="NS108" i="2"/>
  <c r="D45" i="38" s="1"/>
  <c r="PC108" i="2"/>
  <c r="D49" i="38" s="1"/>
  <c r="QM108" i="2"/>
  <c r="D53" i="38" s="1"/>
  <c r="QR6" i="2"/>
  <c r="QR108" i="2" s="1"/>
  <c r="I53" i="38" s="1"/>
  <c r="K53" i="38" s="1"/>
  <c r="QI6" i="2"/>
  <c r="QI108" i="2" s="1"/>
  <c r="I52" i="38" s="1"/>
  <c r="K52" i="38" s="1"/>
  <c r="PZ6" i="2"/>
  <c r="PQ6" i="2"/>
  <c r="PQ108" i="2" s="1"/>
  <c r="I50" i="38" s="1"/>
  <c r="K50" i="38" s="1"/>
  <c r="PH6" i="2"/>
  <c r="PH108" i="2" s="1"/>
  <c r="OY6" i="2"/>
  <c r="OP6" i="2"/>
  <c r="OP108" i="2" s="1"/>
  <c r="OG6" i="2"/>
  <c r="OG108" i="2" s="1"/>
  <c r="I46" i="38" s="1"/>
  <c r="K46" i="38" s="1"/>
  <c r="NX6" i="2"/>
  <c r="MW6" i="2"/>
  <c r="MW108" i="2" s="1"/>
  <c r="I42" i="38" s="1"/>
  <c r="K42" i="38" s="1"/>
  <c r="MN6" i="2"/>
  <c r="MN108" i="2" s="1"/>
  <c r="I41" i="38" s="1"/>
  <c r="K41" i="38" s="1"/>
  <c r="ME6" i="2"/>
  <c r="ME108" i="2" s="1"/>
  <c r="I40" i="38" s="1"/>
  <c r="K40" i="38" s="1"/>
  <c r="AO108" i="2"/>
  <c r="D7" i="38" s="1"/>
  <c r="CQ108" i="2"/>
  <c r="D13" i="38" s="1"/>
  <c r="EA108" i="2"/>
  <c r="D17" i="38" s="1"/>
  <c r="GC108" i="2"/>
  <c r="D23" i="38" s="1"/>
  <c r="HM108" i="2"/>
  <c r="D27" i="38" s="1"/>
  <c r="IA6" i="2"/>
  <c r="IA108" i="2" s="1"/>
  <c r="I28" i="38" s="1"/>
  <c r="K28" i="38" s="1"/>
  <c r="IE108" i="2"/>
  <c r="D29" i="38" s="1"/>
  <c r="JO108" i="2"/>
  <c r="W33" i="38" s="1"/>
  <c r="KY108" i="2"/>
  <c r="D37" i="38" s="1"/>
  <c r="AX108" i="2"/>
  <c r="D8" i="38" s="1"/>
  <c r="CH108" i="2"/>
  <c r="D12" i="38" s="1"/>
  <c r="DR108" i="2"/>
  <c r="D16" i="38" s="1"/>
  <c r="FB108" i="2"/>
  <c r="D20" i="38" s="1"/>
  <c r="W20" i="38" s="1"/>
  <c r="FP6" i="2"/>
  <c r="FT108" i="2"/>
  <c r="D22" i="38" s="1"/>
  <c r="W22" i="38" s="1"/>
  <c r="HD108" i="2"/>
  <c r="D26" i="38" s="1"/>
  <c r="JF108" i="2"/>
  <c r="D32" i="38" s="1"/>
  <c r="KP108" i="2"/>
  <c r="D36" i="38" s="1"/>
  <c r="W36" i="38" s="1"/>
  <c r="W108" i="2"/>
  <c r="D5" i="38" s="1"/>
  <c r="BY108" i="2"/>
  <c r="D11" i="38" s="1"/>
  <c r="DI108" i="2"/>
  <c r="D15" i="38" s="1"/>
  <c r="ES108" i="2"/>
  <c r="D19" i="38" s="1"/>
  <c r="GU108" i="2"/>
  <c r="D25" i="38" s="1"/>
  <c r="W25" i="38" s="1"/>
  <c r="IW108" i="2"/>
  <c r="D31" i="38" s="1"/>
  <c r="KG108" i="2"/>
  <c r="D35" i="38" s="1"/>
  <c r="LQ108" i="2"/>
  <c r="D39" i="38" s="1"/>
  <c r="LV6" i="2"/>
  <c r="LV108" i="2" s="1"/>
  <c r="I39" i="38" s="1"/>
  <c r="K39" i="38" s="1"/>
  <c r="LM6" i="2"/>
  <c r="LM108" i="2" s="1"/>
  <c r="I38" i="38" s="1"/>
  <c r="K38" i="38" s="1"/>
  <c r="LD6" i="2"/>
  <c r="LD108" i="2" s="1"/>
  <c r="I37" i="38" s="1"/>
  <c r="K37" i="38" s="1"/>
  <c r="KU6" i="2"/>
  <c r="KU108" i="2" s="1"/>
  <c r="KL6" i="2"/>
  <c r="KL108" i="2" s="1"/>
  <c r="I35" i="38" s="1"/>
  <c r="K35" i="38" s="1"/>
  <c r="KC6" i="2"/>
  <c r="KC108" i="2" s="1"/>
  <c r="JT6" i="2"/>
  <c r="JK6" i="2"/>
  <c r="JK108" i="2" s="1"/>
  <c r="I32" i="38" s="1"/>
  <c r="K32" i="38" s="1"/>
  <c r="JB6" i="2"/>
  <c r="JB108" i="2" s="1"/>
  <c r="I31" i="38" s="1"/>
  <c r="K31" i="38" s="1"/>
  <c r="IS6" i="2"/>
  <c r="IS108" i="2" s="1"/>
  <c r="I30" i="38" s="1"/>
  <c r="K30" i="38" s="1"/>
  <c r="IJ6" i="2"/>
  <c r="HR6" i="2"/>
  <c r="HR108" i="2" s="1"/>
  <c r="I27" i="38" s="1"/>
  <c r="HI6" i="2"/>
  <c r="HI108" i="2" s="1"/>
  <c r="I26" i="38" s="1"/>
  <c r="K26" i="38" s="1"/>
  <c r="GZ6" i="2"/>
  <c r="GZ108" i="2" s="1"/>
  <c r="I25" i="38" s="1"/>
  <c r="K25" i="38" s="1"/>
  <c r="GQ6" i="2"/>
  <c r="GQ108" i="2" s="1"/>
  <c r="K24" i="38" s="1"/>
  <c r="GH6" i="2"/>
  <c r="GH108" i="2" s="1"/>
  <c r="I23" i="38" s="1"/>
  <c r="FY6" i="2"/>
  <c r="FY108" i="2" s="1"/>
  <c r="I22" i="38" s="1"/>
  <c r="FG6" i="2"/>
  <c r="FG108" i="2" s="1"/>
  <c r="I20" i="38" s="1"/>
  <c r="K20" i="38" s="1"/>
  <c r="EX6" i="2"/>
  <c r="EO6" i="2"/>
  <c r="EO108" i="2" s="1"/>
  <c r="I18" i="38" s="1"/>
  <c r="EF6" i="2"/>
  <c r="QY6" i="2" s="1"/>
  <c r="DW6" i="2"/>
  <c r="DW108" i="2" s="1"/>
  <c r="K16" i="38" s="1"/>
  <c r="DN6" i="2"/>
  <c r="DE6" i="2"/>
  <c r="CV6" i="2"/>
  <c r="CV108" i="2" s="1"/>
  <c r="K13" i="38" s="1"/>
  <c r="CM6" i="2"/>
  <c r="CD6" i="2"/>
  <c r="CD108" i="2" s="1"/>
  <c r="I11" i="38" s="1"/>
  <c r="K11" i="38" s="1"/>
  <c r="BU6" i="2"/>
  <c r="BU108" i="2" s="1"/>
  <c r="K10" i="38" s="1"/>
  <c r="BG108" i="2"/>
  <c r="D9" i="38" s="1"/>
  <c r="BC6" i="2"/>
  <c r="AT6" i="2"/>
  <c r="AK6" i="2"/>
  <c r="AB6" i="2"/>
  <c r="N108" i="2"/>
  <c r="D4" i="38" s="1"/>
  <c r="IJ108" i="2" l="1"/>
  <c r="I29" i="38" s="1"/>
  <c r="K29" i="38" s="1"/>
  <c r="RP6" i="2"/>
  <c r="K162" i="42" s="1"/>
  <c r="E37" i="37"/>
  <c r="E48" i="37"/>
  <c r="E22" i="37"/>
  <c r="E53" i="37"/>
  <c r="E24" i="37"/>
  <c r="E45" i="37"/>
  <c r="E7" i="37"/>
  <c r="E39" i="37"/>
  <c r="E17" i="37"/>
  <c r="G162" i="42"/>
  <c r="I6" i="22"/>
  <c r="K6" i="22" s="1"/>
  <c r="M6" i="22" s="1" a="1"/>
  <c r="RK6" i="2"/>
  <c r="BF162" i="42" s="1"/>
  <c r="H25" i="24"/>
  <c r="I86" i="24"/>
  <c r="C86" i="24" s="1"/>
  <c r="D86" i="23"/>
  <c r="I76" i="24"/>
  <c r="C76" i="24" s="1"/>
  <c r="D76" i="23"/>
  <c r="I77" i="24"/>
  <c r="D77" i="23"/>
  <c r="I82" i="24"/>
  <c r="C82" i="24" s="1"/>
  <c r="D82" i="23"/>
  <c r="I85" i="24"/>
  <c r="C85" i="24" s="1"/>
  <c r="D85" i="23"/>
  <c r="W37" i="38"/>
  <c r="R37" i="38"/>
  <c r="S37" i="38"/>
  <c r="P37" i="38"/>
  <c r="Q37" i="38"/>
  <c r="W30" i="38"/>
  <c r="P30" i="38"/>
  <c r="R30" i="38"/>
  <c r="S30" i="38"/>
  <c r="Q30" i="38"/>
  <c r="W17" i="38"/>
  <c r="R17" i="38"/>
  <c r="S17" i="38"/>
  <c r="P17" i="38"/>
  <c r="Q17" i="38"/>
  <c r="W32" i="38"/>
  <c r="P32" i="38"/>
  <c r="S32" i="38"/>
  <c r="R32" i="38"/>
  <c r="Q32" i="38"/>
  <c r="W10" i="38"/>
  <c r="P10" i="38"/>
  <c r="Q10" i="38"/>
  <c r="R10" i="38"/>
  <c r="S10" i="38"/>
  <c r="W9" i="38"/>
  <c r="P9" i="38"/>
  <c r="Q9" i="38"/>
  <c r="R9" i="38"/>
  <c r="S9" i="38"/>
  <c r="P52" i="38"/>
  <c r="R52" i="38"/>
  <c r="Q52" i="38"/>
  <c r="S52" i="38"/>
  <c r="W8" i="38"/>
  <c r="S8" i="38"/>
  <c r="P8" i="38"/>
  <c r="Q8" i="38"/>
  <c r="R8" i="38"/>
  <c r="W21" i="38"/>
  <c r="P21" i="38"/>
  <c r="Q21" i="38"/>
  <c r="S21" i="38"/>
  <c r="R21" i="38"/>
  <c r="W29" i="38"/>
  <c r="Q29" i="38"/>
  <c r="S29" i="38"/>
  <c r="P29" i="38"/>
  <c r="R29" i="38"/>
  <c r="W27" i="38"/>
  <c r="P27" i="38"/>
  <c r="R27" i="38"/>
  <c r="Q27" i="38"/>
  <c r="S27" i="38"/>
  <c r="W23" i="38"/>
  <c r="Q23" i="38"/>
  <c r="P23" i="38"/>
  <c r="R23" i="38"/>
  <c r="S23" i="38"/>
  <c r="W46" i="38"/>
  <c r="P46" i="38"/>
  <c r="Q46" i="38"/>
  <c r="R46" i="38"/>
  <c r="S46" i="38"/>
  <c r="P15" i="38"/>
  <c r="Q15" i="38"/>
  <c r="R15" i="38"/>
  <c r="S15" i="38"/>
  <c r="W47" i="38"/>
  <c r="R47" i="38"/>
  <c r="Q47" i="38"/>
  <c r="S47" i="38"/>
  <c r="P47" i="38"/>
  <c r="W42" i="38"/>
  <c r="Q42" i="38"/>
  <c r="P42" i="38"/>
  <c r="R42" i="38"/>
  <c r="S42" i="38"/>
  <c r="W24" i="38"/>
  <c r="P24" i="38"/>
  <c r="R24" i="38"/>
  <c r="Q24" i="38"/>
  <c r="S24" i="38"/>
  <c r="P16" i="38"/>
  <c r="Q16" i="38"/>
  <c r="R16" i="38"/>
  <c r="S16" i="38"/>
  <c r="W49" i="38"/>
  <c r="R49" i="38"/>
  <c r="P49" i="38"/>
  <c r="Q49" i="38"/>
  <c r="S49" i="38"/>
  <c r="W40" i="38"/>
  <c r="P40" i="38"/>
  <c r="R40" i="38"/>
  <c r="Q40" i="38"/>
  <c r="S40" i="38"/>
  <c r="W39" i="38"/>
  <c r="P39" i="38"/>
  <c r="R39" i="38"/>
  <c r="Q39" i="38"/>
  <c r="S39" i="38"/>
  <c r="P13" i="38"/>
  <c r="R13" i="38"/>
  <c r="Q13" i="38"/>
  <c r="S13" i="38"/>
  <c r="W41" i="38"/>
  <c r="P41" i="38"/>
  <c r="R41" i="38"/>
  <c r="Q41" i="38"/>
  <c r="S41" i="38"/>
  <c r="W51" i="38"/>
  <c r="Q51" i="38"/>
  <c r="S51" i="38"/>
  <c r="P51" i="38"/>
  <c r="R51" i="38"/>
  <c r="W26" i="38"/>
  <c r="Q26" i="38"/>
  <c r="S26" i="38"/>
  <c r="P26" i="38"/>
  <c r="R26" i="38"/>
  <c r="W44" i="38"/>
  <c r="R44" i="38"/>
  <c r="P44" i="38"/>
  <c r="S44" i="38"/>
  <c r="Q44" i="38"/>
  <c r="W18" i="38"/>
  <c r="R18" i="38"/>
  <c r="S18" i="38"/>
  <c r="P18" i="38"/>
  <c r="Q18" i="38"/>
  <c r="W12" i="38"/>
  <c r="R12" i="38"/>
  <c r="Q12" i="38"/>
  <c r="S12" i="38"/>
  <c r="P12" i="38"/>
  <c r="W45" i="38"/>
  <c r="R45" i="38"/>
  <c r="S45" i="38"/>
  <c r="P45" i="38"/>
  <c r="Q45" i="38"/>
  <c r="W43" i="38"/>
  <c r="S43" i="38"/>
  <c r="P43" i="38"/>
  <c r="Q43" i="38"/>
  <c r="R43" i="38"/>
  <c r="W38" i="38"/>
  <c r="Q38" i="38"/>
  <c r="P38" i="38"/>
  <c r="R38" i="38"/>
  <c r="S38" i="38"/>
  <c r="W34" i="38"/>
  <c r="P34" i="38"/>
  <c r="S34" i="38"/>
  <c r="Q34" i="38"/>
  <c r="R34" i="38"/>
  <c r="W35" i="38"/>
  <c r="Q35" i="38"/>
  <c r="R35" i="38"/>
  <c r="P35" i="38"/>
  <c r="S35" i="38"/>
  <c r="W31" i="38"/>
  <c r="Q31" i="38"/>
  <c r="P31" i="38"/>
  <c r="R31" i="38"/>
  <c r="S31" i="38"/>
  <c r="W19" i="38"/>
  <c r="P19" i="38"/>
  <c r="Q19" i="38"/>
  <c r="R19" i="38"/>
  <c r="S19" i="38"/>
  <c r="W11" i="38"/>
  <c r="P11" i="38"/>
  <c r="Q11" i="38"/>
  <c r="R11" i="38"/>
  <c r="S11" i="38"/>
  <c r="W4" i="38"/>
  <c r="Q4" i="38"/>
  <c r="R4" i="38"/>
  <c r="S4" i="38"/>
  <c r="P4" i="38"/>
  <c r="S14" i="38"/>
  <c r="P14" i="38"/>
  <c r="Q14" i="38"/>
  <c r="R14" i="38"/>
  <c r="W7" i="38"/>
  <c r="P7" i="38"/>
  <c r="Q7" i="38"/>
  <c r="S7" i="38"/>
  <c r="R7" i="38"/>
  <c r="W6" i="38"/>
  <c r="P6" i="38"/>
  <c r="R6" i="38"/>
  <c r="S6" i="38"/>
  <c r="Q6" i="38"/>
  <c r="W5" i="38"/>
  <c r="S5" i="38"/>
  <c r="P5" i="38"/>
  <c r="Q5" i="38"/>
  <c r="R5" i="38"/>
  <c r="K36" i="38"/>
  <c r="K18" i="38"/>
  <c r="K34" i="38"/>
  <c r="K49" i="38"/>
  <c r="K23" i="38"/>
  <c r="H9" i="24"/>
  <c r="K22" i="38"/>
  <c r="K43" i="38"/>
  <c r="H88" i="24"/>
  <c r="K27" i="38"/>
  <c r="C75" i="23"/>
  <c r="C74" i="23"/>
  <c r="H49" i="24"/>
  <c r="C72" i="23"/>
  <c r="C81" i="23"/>
  <c r="H27" i="24"/>
  <c r="C69" i="23"/>
  <c r="H50" i="24"/>
  <c r="H58" i="24"/>
  <c r="H39" i="24"/>
  <c r="H52" i="24"/>
  <c r="H40" i="24"/>
  <c r="H13" i="24"/>
  <c r="H46" i="24"/>
  <c r="H7" i="24"/>
  <c r="H35" i="24"/>
  <c r="H18" i="24"/>
  <c r="H45" i="24"/>
  <c r="H17" i="24"/>
  <c r="H32" i="24"/>
  <c r="H33" i="24"/>
  <c r="K47" i="38"/>
  <c r="E44" i="37"/>
  <c r="E54" i="37"/>
  <c r="H15" i="24"/>
  <c r="H64" i="24"/>
  <c r="H48" i="24"/>
  <c r="H54" i="24"/>
  <c r="H24" i="24"/>
  <c r="H47" i="24"/>
  <c r="H61" i="24"/>
  <c r="H67" i="24"/>
  <c r="H20" i="24"/>
  <c r="H11" i="24"/>
  <c r="H8" i="24"/>
  <c r="H36" i="24"/>
  <c r="H22" i="24"/>
  <c r="H53" i="24"/>
  <c r="H37" i="24"/>
  <c r="H12" i="24"/>
  <c r="H41" i="24"/>
  <c r="FP108" i="2"/>
  <c r="I21" i="38" s="1"/>
  <c r="H59" i="24"/>
  <c r="H21" i="24"/>
  <c r="E36" i="37"/>
  <c r="E55" i="37"/>
  <c r="E28" i="37"/>
  <c r="H6" i="24"/>
  <c r="E11" i="37"/>
  <c r="E8" i="37"/>
  <c r="E16" i="37"/>
  <c r="E34" i="37"/>
  <c r="E82" i="37"/>
  <c r="E57" i="37"/>
  <c r="E74" i="37"/>
  <c r="E80" i="37"/>
  <c r="E29" i="37"/>
  <c r="E30" i="37"/>
  <c r="E23" i="37"/>
  <c r="E70" i="37"/>
  <c r="E87" i="37"/>
  <c r="E10" i="37"/>
  <c r="E83" i="37"/>
  <c r="E73" i="37"/>
  <c r="E13" i="37"/>
  <c r="E63" i="37"/>
  <c r="E51" i="37"/>
  <c r="E31" i="37"/>
  <c r="H31" i="24"/>
  <c r="H51" i="24"/>
  <c r="H38" i="24"/>
  <c r="H28" i="24"/>
  <c r="H14" i="24"/>
  <c r="H19" i="24"/>
  <c r="H42" i="24"/>
  <c r="H44" i="24"/>
  <c r="H16" i="24"/>
  <c r="H43" i="24"/>
  <c r="H29" i="24"/>
  <c r="H30" i="24"/>
  <c r="H62" i="24"/>
  <c r="H56" i="24"/>
  <c r="H34" i="24"/>
  <c r="H23" i="24"/>
  <c r="H66" i="24"/>
  <c r="H10" i="24"/>
  <c r="H26" i="24"/>
  <c r="H60" i="24"/>
  <c r="H65" i="24"/>
  <c r="H57" i="24"/>
  <c r="H55" i="24"/>
  <c r="H63" i="24"/>
  <c r="DN108" i="2"/>
  <c r="I15" i="38" s="1"/>
  <c r="K15" i="38" s="1"/>
  <c r="DE108" i="2"/>
  <c r="K14" i="38" s="1"/>
  <c r="CM108" i="2"/>
  <c r="C70" i="23"/>
  <c r="C78" i="23"/>
  <c r="K71" i="24"/>
  <c r="C71" i="23"/>
  <c r="AT108" i="2"/>
  <c r="C73" i="23"/>
  <c r="AK108" i="2"/>
  <c r="I6" i="38" s="1"/>
  <c r="K6" i="38" s="1"/>
  <c r="C68" i="23"/>
  <c r="AB108" i="2"/>
  <c r="I5" i="38" s="1"/>
  <c r="K5" i="38" s="1"/>
  <c r="C87" i="23"/>
  <c r="C79" i="23"/>
  <c r="C84" i="23"/>
  <c r="C80" i="23"/>
  <c r="E6" i="25" a="1"/>
  <c r="E6" i="22" a="1"/>
  <c r="C83" i="23"/>
  <c r="E6" i="26" a="1"/>
  <c r="C20" i="37"/>
  <c r="E20" i="37"/>
  <c r="C58" i="37"/>
  <c r="E58" i="37"/>
  <c r="C42" i="37"/>
  <c r="E42" i="37"/>
  <c r="C40" i="37"/>
  <c r="E40" i="37"/>
  <c r="E6" i="20" a="1"/>
  <c r="BC108" i="2"/>
  <c r="EX108" i="2"/>
  <c r="I19" i="38" s="1"/>
  <c r="C47" i="37"/>
  <c r="E47" i="37"/>
  <c r="C65" i="37"/>
  <c r="E65" i="37"/>
  <c r="C6" i="36"/>
  <c r="C41" i="37"/>
  <c r="E41" i="37"/>
  <c r="E6" i="37"/>
  <c r="C6" i="37"/>
  <c r="C33" i="37"/>
  <c r="E33" i="37"/>
  <c r="C66" i="37"/>
  <c r="E66" i="37"/>
  <c r="C19" i="37"/>
  <c r="E19" i="37"/>
  <c r="OY108" i="2"/>
  <c r="I48" i="38" s="1"/>
  <c r="K48" i="38" s="1"/>
  <c r="NX108" i="2"/>
  <c r="RP108" i="2"/>
  <c r="PZ108" i="2"/>
  <c r="I51" i="38" s="1"/>
  <c r="K51" i="38" s="1"/>
  <c r="E6" i="21" a="1"/>
  <c r="C57" i="36"/>
  <c r="C55" i="37"/>
  <c r="C9" i="37"/>
  <c r="C66" i="36"/>
  <c r="C28" i="36"/>
  <c r="C35" i="37"/>
  <c r="C15" i="36"/>
  <c r="D15" i="36" s="1"/>
  <c r="C8" i="37"/>
  <c r="C54" i="37"/>
  <c r="C37" i="37"/>
  <c r="C22" i="36"/>
  <c r="C51" i="36"/>
  <c r="C31" i="36"/>
  <c r="C11" i="37"/>
  <c r="C53" i="36"/>
  <c r="C37" i="36"/>
  <c r="C21" i="36"/>
  <c r="D21" i="36" s="1"/>
  <c r="C50" i="37"/>
  <c r="C11" i="36"/>
  <c r="C60" i="36"/>
  <c r="D60" i="36" s="1"/>
  <c r="C62" i="36"/>
  <c r="D62" i="36" s="1"/>
  <c r="C55" i="36"/>
  <c r="C51" i="37"/>
  <c r="C21" i="37"/>
  <c r="C40" i="36"/>
  <c r="D40" i="36" s="1"/>
  <c r="C24" i="36"/>
  <c r="C8" i="36"/>
  <c r="C54" i="36"/>
  <c r="C50" i="36"/>
  <c r="D50" i="36" s="1"/>
  <c r="C18" i="36"/>
  <c r="D18" i="36" s="1"/>
  <c r="C63" i="37"/>
  <c r="C67" i="37"/>
  <c r="C47" i="36"/>
  <c r="D47" i="36" s="1"/>
  <c r="C25" i="37"/>
  <c r="C26" i="37"/>
  <c r="C26" i="36"/>
  <c r="D26" i="36" s="1"/>
  <c r="C49" i="37"/>
  <c r="C14" i="36"/>
  <c r="D14" i="36" s="1"/>
  <c r="C52" i="36"/>
  <c r="D52" i="36" s="1"/>
  <c r="C38" i="37"/>
  <c r="C10" i="37"/>
  <c r="C38" i="36"/>
  <c r="D38" i="36" s="1"/>
  <c r="C10" i="36"/>
  <c r="C48" i="37"/>
  <c r="C32" i="37"/>
  <c r="C16" i="37"/>
  <c r="C43" i="36"/>
  <c r="D43" i="36" s="1"/>
  <c r="C23" i="36"/>
  <c r="C25" i="36"/>
  <c r="D25" i="36" s="1"/>
  <c r="C35" i="36"/>
  <c r="D35" i="36" s="1"/>
  <c r="C39" i="37"/>
  <c r="C27" i="36"/>
  <c r="D27" i="36" s="1"/>
  <c r="C49" i="36"/>
  <c r="D49" i="36" s="1"/>
  <c r="C17" i="36"/>
  <c r="C63" i="36"/>
  <c r="C65" i="36"/>
  <c r="C61" i="37"/>
  <c r="C29" i="37"/>
  <c r="C64" i="37"/>
  <c r="C48" i="36"/>
  <c r="C32" i="36"/>
  <c r="D32" i="36" s="1"/>
  <c r="C16" i="36"/>
  <c r="C42" i="36"/>
  <c r="C59" i="37"/>
  <c r="C30" i="36"/>
  <c r="C17" i="37"/>
  <c r="C36" i="36"/>
  <c r="C20" i="36"/>
  <c r="D20" i="36" s="1"/>
  <c r="C46" i="36"/>
  <c r="D46" i="36" s="1"/>
  <c r="C67" i="36"/>
  <c r="D67" i="36" s="1"/>
  <c r="C7" i="36"/>
  <c r="C33" i="36"/>
  <c r="D33" i="36" s="1"/>
  <c r="C61" i="36"/>
  <c r="D61" i="36" s="1"/>
  <c r="C45" i="36"/>
  <c r="C29" i="36"/>
  <c r="C13" i="36"/>
  <c r="C34" i="37"/>
  <c r="C64" i="36"/>
  <c r="D64" i="36" s="1"/>
  <c r="C59" i="36"/>
  <c r="D59" i="36" s="1"/>
  <c r="C39" i="36"/>
  <c r="C44" i="36"/>
  <c r="C9" i="36"/>
  <c r="D9" i="36" s="1"/>
  <c r="C34" i="36"/>
  <c r="C60" i="37"/>
  <c r="C44" i="37"/>
  <c r="C62" i="37"/>
  <c r="C30" i="37"/>
  <c r="C19" i="36"/>
  <c r="C8" i="33"/>
  <c r="C26" i="27"/>
  <c r="D31" i="32"/>
  <c r="C31" i="32" s="1"/>
  <c r="D26" i="32"/>
  <c r="C26" i="32" s="1"/>
  <c r="C37" i="27"/>
  <c r="D8" i="32"/>
  <c r="C8" i="32" s="1"/>
  <c r="C33" i="27"/>
  <c r="C35" i="27"/>
  <c r="D38" i="32"/>
  <c r="C38" i="32" s="1"/>
  <c r="D45" i="32"/>
  <c r="C45" i="32" s="1"/>
  <c r="K86" i="24"/>
  <c r="D27" i="32"/>
  <c r="C27" i="32" s="1"/>
  <c r="C34" i="27"/>
  <c r="C25" i="27"/>
  <c r="D25" i="32"/>
  <c r="C25" i="32" s="1"/>
  <c r="C45" i="27"/>
  <c r="D35" i="32"/>
  <c r="C35" i="32" s="1"/>
  <c r="C31" i="27"/>
  <c r="D62" i="32"/>
  <c r="C62" i="32" s="1"/>
  <c r="D34" i="32"/>
  <c r="C34" i="32" s="1"/>
  <c r="C39" i="27"/>
  <c r="C38" i="27"/>
  <c r="D33" i="32"/>
  <c r="C33" i="32" s="1"/>
  <c r="D64" i="32"/>
  <c r="C64" i="32" s="1"/>
  <c r="K87" i="24"/>
  <c r="D37" i="32"/>
  <c r="C37" i="32" s="1"/>
  <c r="C27" i="27"/>
  <c r="C10" i="27"/>
  <c r="D30" i="32"/>
  <c r="C30" i="32" s="1"/>
  <c r="D39" i="32"/>
  <c r="C39" i="32" s="1"/>
  <c r="C8" i="27"/>
  <c r="D67" i="32"/>
  <c r="C67" i="32" s="1"/>
  <c r="C30" i="27"/>
  <c r="D10" i="32"/>
  <c r="C10" i="32" s="1"/>
  <c r="K84" i="24"/>
  <c r="C64" i="33"/>
  <c r="C9" i="33"/>
  <c r="C52" i="33"/>
  <c r="K74" i="24"/>
  <c r="C38" i="33"/>
  <c r="C62" i="33"/>
  <c r="C35" i="33"/>
  <c r="C67" i="33"/>
  <c r="K80" i="24"/>
  <c r="C67" i="23"/>
  <c r="C17" i="33"/>
  <c r="C56" i="33"/>
  <c r="K82" i="24"/>
  <c r="C36" i="33"/>
  <c r="K69" i="24"/>
  <c r="C39" i="33"/>
  <c r="K83" i="24"/>
  <c r="C42" i="33"/>
  <c r="C40" i="33"/>
  <c r="K76" i="24"/>
  <c r="C50" i="33"/>
  <c r="C10" i="33"/>
  <c r="K72" i="24"/>
  <c r="C14" i="33"/>
  <c r="C37" i="33"/>
  <c r="D9" i="32"/>
  <c r="C9" i="32" s="1"/>
  <c r="C9" i="27"/>
  <c r="K75" i="24"/>
  <c r="C44" i="33"/>
  <c r="C51" i="33"/>
  <c r="C13" i="33"/>
  <c r="C7" i="33"/>
  <c r="C55" i="33"/>
  <c r="C54" i="33"/>
  <c r="C66" i="33"/>
  <c r="C45" i="33"/>
  <c r="D61" i="32"/>
  <c r="C61" i="32" s="1"/>
  <c r="K85" i="24"/>
  <c r="D32" i="32"/>
  <c r="C32" i="32" s="1"/>
  <c r="C32" i="27"/>
  <c r="K81" i="24"/>
  <c r="C41" i="36"/>
  <c r="C56" i="36"/>
  <c r="D56" i="36" s="1"/>
  <c r="C12" i="36"/>
  <c r="D12" i="36" s="1"/>
  <c r="C58" i="36"/>
  <c r="C19" i="27"/>
  <c r="D19" i="32"/>
  <c r="C19" i="32" s="1"/>
  <c r="D44" i="32"/>
  <c r="C44" i="32" s="1"/>
  <c r="C44" i="27"/>
  <c r="D40" i="32"/>
  <c r="C40" i="32" s="1"/>
  <c r="C40" i="27"/>
  <c r="C17" i="27"/>
  <c r="D17" i="32"/>
  <c r="C17" i="32" s="1"/>
  <c r="D42" i="32"/>
  <c r="C42" i="32" s="1"/>
  <c r="C42" i="27"/>
  <c r="D65" i="32"/>
  <c r="C65" i="32" s="1"/>
  <c r="D60" i="32"/>
  <c r="C60" i="32" s="1"/>
  <c r="C60" i="33"/>
  <c r="C47" i="27"/>
  <c r="D47" i="32"/>
  <c r="C47" i="32" s="1"/>
  <c r="C50" i="27"/>
  <c r="D50" i="32"/>
  <c r="C50" i="32" s="1"/>
  <c r="C49" i="27"/>
  <c r="D49" i="32"/>
  <c r="C49" i="32" s="1"/>
  <c r="K70" i="24"/>
  <c r="D53" i="32"/>
  <c r="C53" i="32" s="1"/>
  <c r="C53" i="27"/>
  <c r="D21" i="32"/>
  <c r="C21" i="32" s="1"/>
  <c r="C21" i="27"/>
  <c r="D58" i="32"/>
  <c r="C58" i="32" s="1"/>
  <c r="C58" i="27"/>
  <c r="D57" i="32"/>
  <c r="C57" i="32" s="1"/>
  <c r="C57" i="27"/>
  <c r="C56" i="27"/>
  <c r="D56" i="32"/>
  <c r="C56" i="32" s="1"/>
  <c r="D43" i="32"/>
  <c r="C43" i="32" s="1"/>
  <c r="C43" i="27"/>
  <c r="C59" i="27"/>
  <c r="D59" i="32"/>
  <c r="C59" i="32" s="1"/>
  <c r="C57" i="33"/>
  <c r="C59" i="33"/>
  <c r="C58" i="33"/>
  <c r="C65" i="33"/>
  <c r="C11" i="33"/>
  <c r="C61" i="33"/>
  <c r="C46" i="33"/>
  <c r="C12" i="33"/>
  <c r="C47" i="33"/>
  <c r="C48" i="33"/>
  <c r="C15" i="33"/>
  <c r="C16" i="33"/>
  <c r="C6" i="33"/>
  <c r="C63" i="33"/>
  <c r="C41" i="33"/>
  <c r="C49" i="33"/>
  <c r="C53" i="33"/>
  <c r="C43" i="33"/>
  <c r="C46" i="27"/>
  <c r="D46" i="32"/>
  <c r="C46" i="32" s="1"/>
  <c r="K78" i="24"/>
  <c r="C52" i="27"/>
  <c r="D52" i="32"/>
  <c r="C52" i="32" s="1"/>
  <c r="D22" i="32"/>
  <c r="C22" i="32" s="1"/>
  <c r="C22" i="27"/>
  <c r="K77" i="24"/>
  <c r="C55" i="27"/>
  <c r="D55" i="32"/>
  <c r="C55" i="32" s="1"/>
  <c r="D20" i="32"/>
  <c r="C20" i="32" s="1"/>
  <c r="C20" i="27"/>
  <c r="D66" i="32"/>
  <c r="C66" i="32" s="1"/>
  <c r="D54" i="32"/>
  <c r="C54" i="32" s="1"/>
  <c r="C54" i="27"/>
  <c r="C51" i="27"/>
  <c r="D51" i="32"/>
  <c r="C51" i="32" s="1"/>
  <c r="D13" i="32"/>
  <c r="C13" i="32" s="1"/>
  <c r="C13" i="27"/>
  <c r="C48" i="27"/>
  <c r="D48" i="32"/>
  <c r="C48" i="32" s="1"/>
  <c r="C28" i="27"/>
  <c r="D28" i="32"/>
  <c r="C28" i="32" s="1"/>
  <c r="C23" i="27"/>
  <c r="D23" i="32"/>
  <c r="C23" i="32" s="1"/>
  <c r="D11" i="32"/>
  <c r="C11" i="32" s="1"/>
  <c r="C11" i="27"/>
  <c r="C24" i="27"/>
  <c r="D24" i="32"/>
  <c r="C24" i="32" s="1"/>
  <c r="C12" i="27"/>
  <c r="D12" i="32"/>
  <c r="C12" i="32" s="1"/>
  <c r="C18" i="27"/>
  <c r="D18" i="32"/>
  <c r="C18" i="32" s="1"/>
  <c r="D15" i="32"/>
  <c r="C15" i="32" s="1"/>
  <c r="C15" i="27"/>
  <c r="C14" i="27"/>
  <c r="D14" i="32"/>
  <c r="C14" i="32" s="1"/>
  <c r="K79" i="24"/>
  <c r="C41" i="27"/>
  <c r="D41" i="32"/>
  <c r="C41" i="32" s="1"/>
  <c r="D36" i="32"/>
  <c r="C36" i="32" s="1"/>
  <c r="C36" i="27"/>
  <c r="D29" i="32"/>
  <c r="C29" i="32" s="1"/>
  <c r="C29" i="27"/>
  <c r="D6" i="32"/>
  <c r="C6" i="32" s="1"/>
  <c r="C6" i="27"/>
  <c r="D7" i="32"/>
  <c r="C7" i="32" s="1"/>
  <c r="C7" i="27"/>
  <c r="D63" i="32"/>
  <c r="C63" i="32" s="1"/>
  <c r="C16" i="27"/>
  <c r="D16" i="32"/>
  <c r="C16" i="32" s="1"/>
  <c r="K73" i="24"/>
  <c r="C27" i="37"/>
  <c r="JT108" i="2"/>
  <c r="C53" i="37"/>
  <c r="C36" i="37"/>
  <c r="C13" i="37"/>
  <c r="C12" i="37"/>
  <c r="C57" i="37"/>
  <c r="C14" i="37"/>
  <c r="C28" i="37"/>
  <c r="C56" i="37"/>
  <c r="C18" i="37"/>
  <c r="C22" i="37"/>
  <c r="C46" i="37"/>
  <c r="C7" i="37"/>
  <c r="C43" i="37"/>
  <c r="C15" i="37"/>
  <c r="C52" i="37"/>
  <c r="C45" i="37"/>
  <c r="C23" i="37"/>
  <c r="C31" i="37"/>
  <c r="C24" i="37"/>
  <c r="E64" i="5"/>
  <c r="N137" i="42" s="1"/>
  <c r="E61" i="5"/>
  <c r="N134" i="42" s="1"/>
  <c r="E56" i="5"/>
  <c r="N129" i="42" s="1"/>
  <c r="E62" i="5"/>
  <c r="N135" i="42" s="1"/>
  <c r="B64" i="5"/>
  <c r="D137" i="42" s="1"/>
  <c r="B61" i="5"/>
  <c r="D134" i="42" s="1"/>
  <c r="E58" i="5"/>
  <c r="N131" i="42" s="1"/>
  <c r="B58" i="5"/>
  <c r="D131" i="42" s="1"/>
  <c r="E63" i="5"/>
  <c r="N136" i="42" s="1"/>
  <c r="E59" i="5"/>
  <c r="N132" i="42" s="1"/>
  <c r="B63" i="5"/>
  <c r="D136" i="42" s="1"/>
  <c r="B59" i="5"/>
  <c r="D132" i="42" s="1"/>
  <c r="E65" i="5"/>
  <c r="N138" i="42" s="1"/>
  <c r="E60" i="5"/>
  <c r="N133" i="42" s="1"/>
  <c r="E57" i="5"/>
  <c r="N130" i="42" s="1"/>
  <c r="B65" i="5"/>
  <c r="D138" i="42" s="1"/>
  <c r="B60" i="5"/>
  <c r="D133" i="42" s="1"/>
  <c r="B57" i="5"/>
  <c r="D130" i="42" s="1"/>
  <c r="B62" i="5"/>
  <c r="D135" i="42" s="1"/>
  <c r="K62" i="5"/>
  <c r="AF135" i="42" s="1"/>
  <c r="K58" i="5"/>
  <c r="AF131" i="42" s="1"/>
  <c r="H62" i="5"/>
  <c r="V135" i="42" s="1"/>
  <c r="H58" i="5"/>
  <c r="V131" i="42" s="1"/>
  <c r="K64" i="5"/>
  <c r="AF137" i="42" s="1"/>
  <c r="H60" i="5"/>
  <c r="V133" i="42" s="1"/>
  <c r="K65" i="5"/>
  <c r="AF138" i="42" s="1"/>
  <c r="K61" i="5"/>
  <c r="AF134" i="42" s="1"/>
  <c r="K57" i="5"/>
  <c r="AF130" i="42" s="1"/>
  <c r="H65" i="5"/>
  <c r="V138" i="42" s="1"/>
  <c r="H61" i="5"/>
  <c r="V134" i="42" s="1"/>
  <c r="H57" i="5"/>
  <c r="V130" i="42" s="1"/>
  <c r="K63" i="5"/>
  <c r="AF136" i="42" s="1"/>
  <c r="K59" i="5"/>
  <c r="AF132" i="42" s="1"/>
  <c r="K56" i="5"/>
  <c r="AF129" i="42" s="1"/>
  <c r="H63" i="5"/>
  <c r="V136" i="42" s="1"/>
  <c r="H59" i="5"/>
  <c r="V132" i="42" s="1"/>
  <c r="K60" i="5"/>
  <c r="AF133" i="42" s="1"/>
  <c r="H64" i="5"/>
  <c r="V137" i="42" s="1"/>
  <c r="C89" i="23"/>
  <c r="C88" i="23"/>
  <c r="C66" i="23"/>
  <c r="C64" i="23"/>
  <c r="C65" i="23"/>
  <c r="C48" i="23"/>
  <c r="S108" i="2"/>
  <c r="I4" i="38" s="1"/>
  <c r="K4" i="38" s="1"/>
  <c r="EF108" i="2"/>
  <c r="I17" i="38" s="1"/>
  <c r="S38" i="7"/>
  <c r="J38" i="7"/>
  <c r="A38" i="7"/>
  <c r="J77" i="24" l="1"/>
  <c r="C77" i="24"/>
  <c r="D48" i="36"/>
  <c r="D37" i="36"/>
  <c r="D22" i="36"/>
  <c r="D45" i="36"/>
  <c r="D24" i="36"/>
  <c r="D53" i="36"/>
  <c r="D17" i="36"/>
  <c r="D39" i="36"/>
  <c r="D7" i="36"/>
  <c r="BG59" i="42" s="1"/>
  <c r="BG87" i="42"/>
  <c r="BO77" i="42"/>
  <c r="BO75" i="42"/>
  <c r="BO83" i="42"/>
  <c r="BG67" i="42"/>
  <c r="BO61" i="42"/>
  <c r="BG85" i="42"/>
  <c r="BO79" i="42"/>
  <c r="BO81" i="42"/>
  <c r="BO85" i="42"/>
  <c r="BO59" i="42"/>
  <c r="BG61" i="42"/>
  <c r="BG63" i="42"/>
  <c r="BO73" i="42"/>
  <c r="BG69" i="42"/>
  <c r="BO69" i="42"/>
  <c r="BG65" i="42"/>
  <c r="BO65" i="42"/>
  <c r="BG71" i="42"/>
  <c r="BG73" i="42"/>
  <c r="BO67" i="42"/>
  <c r="BO71" i="42"/>
  <c r="BG75" i="42"/>
  <c r="BG81" i="42"/>
  <c r="BG77" i="42"/>
  <c r="BG79" i="42"/>
  <c r="BO63" i="42"/>
  <c r="BO87" i="42"/>
  <c r="BG83" i="42"/>
  <c r="AT162" i="42"/>
  <c r="N162" i="42"/>
  <c r="J86" i="24"/>
  <c r="J76" i="24"/>
  <c r="J82" i="24"/>
  <c r="J85" i="24"/>
  <c r="I75" i="24"/>
  <c r="C75" i="24" s="1"/>
  <c r="D75" i="23"/>
  <c r="I74" i="24"/>
  <c r="C74" i="24" s="1"/>
  <c r="D74" i="23"/>
  <c r="I72" i="24"/>
  <c r="C72" i="24" s="1"/>
  <c r="D72" i="23"/>
  <c r="I81" i="24"/>
  <c r="C81" i="24" s="1"/>
  <c r="D81" i="23"/>
  <c r="I69" i="24"/>
  <c r="C69" i="24" s="1"/>
  <c r="D69" i="23"/>
  <c r="I70" i="24"/>
  <c r="D70" i="23"/>
  <c r="I78" i="24"/>
  <c r="C78" i="24" s="1"/>
  <c r="D78" i="23"/>
  <c r="I71" i="24"/>
  <c r="C71" i="24" s="1"/>
  <c r="D71" i="23"/>
  <c r="I73" i="24"/>
  <c r="C73" i="24" s="1"/>
  <c r="D73" i="23"/>
  <c r="I68" i="24"/>
  <c r="D68" i="23"/>
  <c r="I87" i="24"/>
  <c r="C87" i="24" s="1"/>
  <c r="D87" i="23"/>
  <c r="I79" i="24"/>
  <c r="C79" i="24" s="1"/>
  <c r="D79" i="23"/>
  <c r="I84" i="24"/>
  <c r="C84" i="24" s="1"/>
  <c r="D84" i="23"/>
  <c r="I80" i="24"/>
  <c r="C80" i="24" s="1"/>
  <c r="D80" i="23"/>
  <c r="I83" i="24"/>
  <c r="D83" i="23"/>
  <c r="I67" i="24"/>
  <c r="D67" i="23"/>
  <c r="I89" i="24"/>
  <c r="C89" i="24" s="1"/>
  <c r="D89" i="23"/>
  <c r="I88" i="24"/>
  <c r="C88" i="24" s="1"/>
  <c r="D88" i="23"/>
  <c r="I66" i="24"/>
  <c r="D66" i="23"/>
  <c r="I64" i="24"/>
  <c r="C64" i="24" s="1"/>
  <c r="D64" i="23"/>
  <c r="I65" i="24"/>
  <c r="D65" i="23"/>
  <c r="I48" i="24"/>
  <c r="D48" i="23"/>
  <c r="K8" i="38"/>
  <c r="I7" i="38"/>
  <c r="K7" i="38" s="1"/>
  <c r="AO59" i="42" s="1"/>
  <c r="AO71" i="42"/>
  <c r="AW69" i="42"/>
  <c r="AO85" i="42"/>
  <c r="AW71" i="42"/>
  <c r="AO87" i="42"/>
  <c r="AW73" i="42"/>
  <c r="AW75" i="42"/>
  <c r="AO73" i="42"/>
  <c r="AO75" i="42"/>
  <c r="AO79" i="42"/>
  <c r="AO81" i="42"/>
  <c r="AO83" i="42"/>
  <c r="AW61" i="42"/>
  <c r="AO77" i="42"/>
  <c r="AW59" i="42"/>
  <c r="AW63" i="42"/>
  <c r="AW65" i="42"/>
  <c r="AW67" i="42"/>
  <c r="AW77" i="42"/>
  <c r="AW79" i="42"/>
  <c r="AW81" i="42"/>
  <c r="AW83" i="42"/>
  <c r="AW85" i="42"/>
  <c r="AO65" i="42"/>
  <c r="AO67" i="42"/>
  <c r="AO69" i="42"/>
  <c r="AW87" i="42"/>
  <c r="AO61" i="42"/>
  <c r="AO63" i="42"/>
  <c r="E59" i="42" s="1"/>
  <c r="M75" i="42"/>
  <c r="M87" i="42"/>
  <c r="E61" i="42"/>
  <c r="E63" i="42"/>
  <c r="E65" i="42"/>
  <c r="E67" i="42"/>
  <c r="M77" i="42"/>
  <c r="M79" i="42"/>
  <c r="M83" i="42"/>
  <c r="M85" i="42"/>
  <c r="M81" i="42"/>
  <c r="E69" i="42"/>
  <c r="E71" i="42"/>
  <c r="E73" i="42"/>
  <c r="E75" i="42"/>
  <c r="M67" i="42"/>
  <c r="E85" i="42"/>
  <c r="M61" i="42"/>
  <c r="E77" i="42"/>
  <c r="E83" i="42"/>
  <c r="M63" i="42"/>
  <c r="E79" i="42"/>
  <c r="E87" i="42"/>
  <c r="M59" i="42"/>
  <c r="M65" i="42"/>
  <c r="E81" i="42"/>
  <c r="M69" i="42"/>
  <c r="M71" i="42"/>
  <c r="M73" i="42"/>
  <c r="C63" i="23"/>
  <c r="K33" i="38"/>
  <c r="K17" i="38"/>
  <c r="K19" i="38"/>
  <c r="K45" i="38"/>
  <c r="K21" i="38"/>
  <c r="K12" i="38"/>
  <c r="C52" i="23"/>
  <c r="C59" i="23"/>
  <c r="C46" i="23"/>
  <c r="C60" i="23"/>
  <c r="C61" i="23"/>
  <c r="C50" i="23"/>
  <c r="D54" i="36"/>
  <c r="D28" i="36"/>
  <c r="D44" i="36"/>
  <c r="C62" i="23"/>
  <c r="D65" i="36"/>
  <c r="D36" i="36"/>
  <c r="D6" i="36"/>
  <c r="D55" i="36"/>
  <c r="D11" i="36"/>
  <c r="D41" i="36"/>
  <c r="D42" i="36"/>
  <c r="D8" i="36"/>
  <c r="D29" i="36"/>
  <c r="D16" i="36"/>
  <c r="D34" i="36"/>
  <c r="D30" i="36"/>
  <c r="D66" i="36"/>
  <c r="D82" i="36"/>
  <c r="D10" i="36"/>
  <c r="D63" i="36"/>
  <c r="D74" i="36"/>
  <c r="D57" i="36"/>
  <c r="D80" i="36"/>
  <c r="D23" i="36"/>
  <c r="D70" i="36"/>
  <c r="D58" i="36"/>
  <c r="D87" i="36"/>
  <c r="D13" i="36"/>
  <c r="D19" i="36"/>
  <c r="D83" i="36"/>
  <c r="D73" i="36"/>
  <c r="D31" i="36"/>
  <c r="D51" i="36"/>
  <c r="C51" i="23"/>
  <c r="C58" i="23"/>
  <c r="W10" i="5"/>
  <c r="C53" i="23"/>
  <c r="C49" i="23"/>
  <c r="C54" i="23"/>
  <c r="C47" i="23"/>
  <c r="C57" i="23"/>
  <c r="C55" i="23"/>
  <c r="C56" i="23"/>
  <c r="K60" i="24"/>
  <c r="K61" i="24"/>
  <c r="F6" i="37" a="1"/>
  <c r="H79" i="5" s="1"/>
  <c r="BF145" i="42" s="1"/>
  <c r="F6" i="32" a="1"/>
  <c r="E6" i="27" a="1"/>
  <c r="B14" i="5"/>
  <c r="B17" i="5"/>
  <c r="E13" i="5"/>
  <c r="E17" i="5"/>
  <c r="B18" i="5"/>
  <c r="E16" i="5"/>
  <c r="E15" i="5"/>
  <c r="E14" i="5"/>
  <c r="B16" i="5"/>
  <c r="B13" i="5"/>
  <c r="B15" i="5"/>
  <c r="B11" i="5"/>
  <c r="E11" i="5"/>
  <c r="E12" i="5"/>
  <c r="B12" i="5"/>
  <c r="E18" i="5"/>
  <c r="K68" i="24"/>
  <c r="K88" i="24"/>
  <c r="C35" i="23"/>
  <c r="C37" i="23"/>
  <c r="C38" i="23"/>
  <c r="K67" i="24"/>
  <c r="C39" i="23"/>
  <c r="K64" i="24"/>
  <c r="C45" i="23"/>
  <c r="C44" i="23"/>
  <c r="C40" i="23"/>
  <c r="C42" i="23"/>
  <c r="K50" i="24"/>
  <c r="K56" i="24"/>
  <c r="K57" i="24"/>
  <c r="K58" i="24"/>
  <c r="K65" i="24"/>
  <c r="K47" i="24"/>
  <c r="K49" i="24"/>
  <c r="K53" i="24"/>
  <c r="C43" i="23"/>
  <c r="K46" i="24"/>
  <c r="K52" i="24"/>
  <c r="K55" i="24"/>
  <c r="K66" i="24"/>
  <c r="K54" i="24"/>
  <c r="T11" i="5"/>
  <c r="T15" i="5"/>
  <c r="W14" i="5"/>
  <c r="W16" i="5"/>
  <c r="W9" i="5"/>
  <c r="W17" i="5"/>
  <c r="W15" i="5"/>
  <c r="T13" i="5"/>
  <c r="T18" i="5"/>
  <c r="T9" i="5"/>
  <c r="W18" i="5"/>
  <c r="T12" i="5"/>
  <c r="W12" i="5"/>
  <c r="T16" i="5"/>
  <c r="T14" i="5"/>
  <c r="T10" i="5"/>
  <c r="W11" i="5"/>
  <c r="T17" i="5"/>
  <c r="W13" i="5"/>
  <c r="K51" i="24"/>
  <c r="K48" i="24"/>
  <c r="C36" i="23"/>
  <c r="C41" i="23"/>
  <c r="H56" i="5"/>
  <c r="V129" i="42" s="1"/>
  <c r="Q12" i="5"/>
  <c r="N10" i="5"/>
  <c r="N18" i="5"/>
  <c r="Q13" i="5"/>
  <c r="N11" i="5"/>
  <c r="N14" i="5"/>
  <c r="Q17" i="5"/>
  <c r="Q14" i="5"/>
  <c r="N12" i="5"/>
  <c r="Q15" i="5"/>
  <c r="N13" i="5"/>
  <c r="Q10" i="5"/>
  <c r="Q18" i="5"/>
  <c r="N16" i="5"/>
  <c r="Q16" i="5"/>
  <c r="N15" i="5"/>
  <c r="Q11" i="5"/>
  <c r="Q9" i="5"/>
  <c r="N17" i="5"/>
  <c r="E50" i="5"/>
  <c r="N121" i="42" s="1"/>
  <c r="E46" i="5"/>
  <c r="N117" i="42" s="1"/>
  <c r="E42" i="5"/>
  <c r="N113" i="42" s="1"/>
  <c r="B50" i="5"/>
  <c r="D121" i="42" s="1"/>
  <c r="B46" i="5"/>
  <c r="D117" i="42" s="1"/>
  <c r="E48" i="5"/>
  <c r="N119" i="42" s="1"/>
  <c r="B44" i="5"/>
  <c r="D115" i="42" s="1"/>
  <c r="E49" i="5"/>
  <c r="N120" i="42" s="1"/>
  <c r="E45" i="5"/>
  <c r="N116" i="42" s="1"/>
  <c r="B49" i="5"/>
  <c r="D120" i="42" s="1"/>
  <c r="B45" i="5"/>
  <c r="D116" i="42" s="1"/>
  <c r="E51" i="5"/>
  <c r="N122" i="42" s="1"/>
  <c r="E47" i="5"/>
  <c r="N118" i="42" s="1"/>
  <c r="E43" i="5"/>
  <c r="N114" i="42" s="1"/>
  <c r="E44" i="5"/>
  <c r="N115" i="42" s="1"/>
  <c r="B48" i="5"/>
  <c r="D119" i="42" s="1"/>
  <c r="B51" i="5"/>
  <c r="D122" i="42" s="1"/>
  <c r="B47" i="5"/>
  <c r="D118" i="42" s="1"/>
  <c r="B43" i="5"/>
  <c r="D114" i="42" s="1"/>
  <c r="K48" i="5"/>
  <c r="AF119" i="42" s="1"/>
  <c r="K44" i="5"/>
  <c r="AF115" i="42" s="1"/>
  <c r="K42" i="5"/>
  <c r="AF113" i="42" s="1"/>
  <c r="H48" i="5"/>
  <c r="V119" i="42" s="1"/>
  <c r="H44" i="5"/>
  <c r="V115" i="42" s="1"/>
  <c r="K50" i="5"/>
  <c r="AF121" i="42" s="1"/>
  <c r="H46" i="5"/>
  <c r="V117" i="42" s="1"/>
  <c r="K51" i="5"/>
  <c r="AF122" i="42" s="1"/>
  <c r="K47" i="5"/>
  <c r="AF118" i="42" s="1"/>
  <c r="K43" i="5"/>
  <c r="AF114" i="42" s="1"/>
  <c r="H51" i="5"/>
  <c r="V122" i="42" s="1"/>
  <c r="H47" i="5"/>
  <c r="V118" i="42" s="1"/>
  <c r="H43" i="5"/>
  <c r="V114" i="42" s="1"/>
  <c r="K49" i="5"/>
  <c r="AF120" i="42" s="1"/>
  <c r="K45" i="5"/>
  <c r="AF116" i="42" s="1"/>
  <c r="K46" i="5"/>
  <c r="AF117" i="42" s="1"/>
  <c r="H49" i="5"/>
  <c r="V120" i="42" s="1"/>
  <c r="H45" i="5"/>
  <c r="V116" i="42" s="1"/>
  <c r="H50" i="5"/>
  <c r="V121" i="42" s="1"/>
  <c r="B56" i="5"/>
  <c r="D129" i="42" s="1"/>
  <c r="E9" i="5"/>
  <c r="E10" i="5"/>
  <c r="B10" i="5"/>
  <c r="A6" i="2"/>
  <c r="C2" i="2"/>
  <c r="L2" i="2" s="1"/>
  <c r="J6" i="2"/>
  <c r="H108" i="2"/>
  <c r="G3" i="38" s="1"/>
  <c r="S12" i="7"/>
  <c r="S14" i="7"/>
  <c r="S16" i="7"/>
  <c r="S18" i="7"/>
  <c r="S20" i="7"/>
  <c r="S22" i="7"/>
  <c r="S24" i="7"/>
  <c r="S26" i="7"/>
  <c r="S28" i="7"/>
  <c r="S30" i="7"/>
  <c r="S32" i="7"/>
  <c r="S34" i="7"/>
  <c r="S36" i="7"/>
  <c r="J12" i="7"/>
  <c r="J14" i="7"/>
  <c r="J16" i="7"/>
  <c r="J18" i="7"/>
  <c r="J20" i="7"/>
  <c r="J22" i="7"/>
  <c r="J24" i="7"/>
  <c r="J26" i="7"/>
  <c r="J28" i="7"/>
  <c r="J30" i="7"/>
  <c r="J32" i="7"/>
  <c r="J34" i="7"/>
  <c r="J36" i="7"/>
  <c r="A12" i="7"/>
  <c r="A14" i="7"/>
  <c r="A16" i="7"/>
  <c r="A18" i="7"/>
  <c r="A20" i="7"/>
  <c r="A22" i="7"/>
  <c r="A24" i="7"/>
  <c r="A26" i="7"/>
  <c r="A28" i="7"/>
  <c r="A30" i="7"/>
  <c r="A32" i="7"/>
  <c r="A34" i="7"/>
  <c r="A36" i="7"/>
  <c r="F108" i="2"/>
  <c r="E3" i="38" s="1"/>
  <c r="I108" i="2"/>
  <c r="H3" i="38" s="1"/>
  <c r="Z3" i="38" s="1"/>
  <c r="G108" i="2"/>
  <c r="F3" i="38" s="1"/>
  <c r="F64" i="38" s="1"/>
  <c r="D73" i="38" s="1"/>
  <c r="F5" i="3"/>
  <c r="F6" i="3" s="1"/>
  <c r="F7" i="3" s="1"/>
  <c r="F8" i="3" s="1"/>
  <c r="F9" i="3" s="1"/>
  <c r="F10" i="3" s="1"/>
  <c r="F11" i="3" s="1"/>
  <c r="F12" i="3" s="1"/>
  <c r="F13" i="3" s="1"/>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J83" i="24" l="1"/>
  <c r="C83" i="24"/>
  <c r="J70" i="24"/>
  <c r="C70" i="24"/>
  <c r="J68" i="24"/>
  <c r="C68" i="24"/>
  <c r="J67" i="24"/>
  <c r="C67" i="24"/>
  <c r="J66" i="24"/>
  <c r="C66" i="24"/>
  <c r="J65" i="24"/>
  <c r="J48" i="24"/>
  <c r="C48" i="24"/>
  <c r="AH162" i="42"/>
  <c r="AK162" i="42"/>
  <c r="AQ162" i="42"/>
  <c r="AN162" i="42"/>
  <c r="J75" i="24"/>
  <c r="J74" i="24"/>
  <c r="J72" i="24"/>
  <c r="J81" i="24"/>
  <c r="J69" i="24"/>
  <c r="J87" i="24"/>
  <c r="J78" i="24"/>
  <c r="J71" i="24"/>
  <c r="J73" i="24"/>
  <c r="J79" i="24"/>
  <c r="J84" i="24"/>
  <c r="J80" i="24"/>
  <c r="J89" i="24"/>
  <c r="J88" i="24"/>
  <c r="J64" i="24"/>
  <c r="I63" i="24"/>
  <c r="D63" i="23"/>
  <c r="I52" i="24"/>
  <c r="C52" i="24" s="1"/>
  <c r="D52" i="23"/>
  <c r="I59" i="24"/>
  <c r="C59" i="24" s="1"/>
  <c r="D59" i="23"/>
  <c r="I46" i="24"/>
  <c r="C46" i="24" s="1"/>
  <c r="D46" i="23"/>
  <c r="I60" i="24"/>
  <c r="C60" i="24" s="1"/>
  <c r="D60" i="23"/>
  <c r="I61" i="24"/>
  <c r="C61" i="24" s="1"/>
  <c r="D61" i="23"/>
  <c r="I50" i="24"/>
  <c r="C50" i="24" s="1"/>
  <c r="D50" i="23"/>
  <c r="I62" i="24"/>
  <c r="C62" i="24" s="1"/>
  <c r="D62" i="23"/>
  <c r="I51" i="24"/>
  <c r="C51" i="24" s="1"/>
  <c r="D51" i="23"/>
  <c r="I58" i="24"/>
  <c r="C58" i="24" s="1"/>
  <c r="D58" i="23"/>
  <c r="I53" i="24"/>
  <c r="C53" i="24" s="1"/>
  <c r="D53" i="23"/>
  <c r="I49" i="24"/>
  <c r="C49" i="24" s="1"/>
  <c r="D49" i="23"/>
  <c r="I54" i="24"/>
  <c r="C54" i="24" s="1"/>
  <c r="D54" i="23"/>
  <c r="I47" i="24"/>
  <c r="C47" i="24" s="1"/>
  <c r="D47" i="23"/>
  <c r="I57" i="24"/>
  <c r="C57" i="24" s="1"/>
  <c r="D57" i="23"/>
  <c r="I55" i="24"/>
  <c r="C55" i="24" s="1"/>
  <c r="D55" i="23"/>
  <c r="I56" i="24"/>
  <c r="C56" i="24" s="1"/>
  <c r="D56" i="23"/>
  <c r="I35" i="24"/>
  <c r="C35" i="24" s="1"/>
  <c r="D35" i="23"/>
  <c r="I37" i="24"/>
  <c r="C37" i="24" s="1"/>
  <c r="D37" i="23"/>
  <c r="I38" i="24"/>
  <c r="D38" i="23"/>
  <c r="I39" i="24"/>
  <c r="C39" i="24" s="1"/>
  <c r="D39" i="23"/>
  <c r="I45" i="24"/>
  <c r="D45" i="23"/>
  <c r="I44" i="24"/>
  <c r="D44" i="23"/>
  <c r="I40" i="24"/>
  <c r="D40" i="23"/>
  <c r="I42" i="24"/>
  <c r="D42" i="23"/>
  <c r="I43" i="24"/>
  <c r="D43" i="23"/>
  <c r="I36" i="24"/>
  <c r="D36" i="23"/>
  <c r="I41" i="24"/>
  <c r="D41" i="23"/>
  <c r="E6" i="36" a="1"/>
  <c r="B79" i="5" s="1"/>
  <c r="V145" i="42" s="1"/>
  <c r="Y3" i="38"/>
  <c r="G64" i="38"/>
  <c r="E73" i="38" s="1"/>
  <c r="K63" i="24"/>
  <c r="X3" i="38"/>
  <c r="K62" i="24"/>
  <c r="K59" i="24"/>
  <c r="Q64" i="5"/>
  <c r="AX137" i="42" s="1"/>
  <c r="C8" i="23"/>
  <c r="K37" i="24"/>
  <c r="K38" i="24"/>
  <c r="C10" i="23"/>
  <c r="H64" i="38"/>
  <c r="F73" i="38" s="1"/>
  <c r="K39" i="24"/>
  <c r="E64" i="38"/>
  <c r="C73" i="38" s="1"/>
  <c r="K35" i="24"/>
  <c r="C9" i="23"/>
  <c r="K45" i="24"/>
  <c r="K44" i="24"/>
  <c r="K40" i="24"/>
  <c r="K42" i="24"/>
  <c r="C7" i="23"/>
  <c r="C15" i="23"/>
  <c r="K43" i="24"/>
  <c r="C16" i="23"/>
  <c r="C14" i="23"/>
  <c r="C13" i="23"/>
  <c r="C11" i="23"/>
  <c r="C6" i="23"/>
  <c r="D6" i="23" s="1"/>
  <c r="C12" i="23"/>
  <c r="K41" i="24"/>
  <c r="K36" i="24"/>
  <c r="Q44" i="5"/>
  <c r="AX115" i="42" s="1"/>
  <c r="Q48" i="5"/>
  <c r="AX119" i="42" s="1"/>
  <c r="Q50" i="5"/>
  <c r="AX121" i="42" s="1"/>
  <c r="N50" i="5"/>
  <c r="AN121" i="42" s="1"/>
  <c r="N43" i="5"/>
  <c r="AN114" i="42" s="1"/>
  <c r="Q51" i="5"/>
  <c r="AX122" i="42" s="1"/>
  <c r="Q42" i="5"/>
  <c r="AX113" i="42" s="1"/>
  <c r="N44" i="5"/>
  <c r="AN115" i="42" s="1"/>
  <c r="N47" i="5"/>
  <c r="AN118" i="42" s="1"/>
  <c r="Q43" i="5"/>
  <c r="AX114" i="42" s="1"/>
  <c r="Q47" i="5"/>
  <c r="AX118" i="42" s="1"/>
  <c r="N45" i="5"/>
  <c r="AN116" i="42" s="1"/>
  <c r="Q46" i="5"/>
  <c r="AX117" i="42" s="1"/>
  <c r="N46" i="5"/>
  <c r="AN117" i="42" s="1"/>
  <c r="N48" i="5"/>
  <c r="AN119" i="42" s="1"/>
  <c r="N51" i="5"/>
  <c r="AN122" i="42" s="1"/>
  <c r="N49" i="5"/>
  <c r="AN120" i="42" s="1"/>
  <c r="Q45" i="5"/>
  <c r="AX116" i="42" s="1"/>
  <c r="Q49" i="5"/>
  <c r="AX120" i="42" s="1"/>
  <c r="N61" i="5"/>
  <c r="AN134" i="42" s="1"/>
  <c r="N65" i="5"/>
  <c r="AN138" i="42" s="1"/>
  <c r="Q60" i="5"/>
  <c r="AX133" i="42" s="1"/>
  <c r="N57" i="5"/>
  <c r="AN130" i="42" s="1"/>
  <c r="N63" i="5"/>
  <c r="AN136" i="42" s="1"/>
  <c r="Q63" i="5"/>
  <c r="AX136" i="42" s="1"/>
  <c r="Q57" i="5"/>
  <c r="AX130" i="42" s="1"/>
  <c r="Q61" i="5"/>
  <c r="AX134" i="42" s="1"/>
  <c r="Q59" i="5"/>
  <c r="AX132" i="42" s="1"/>
  <c r="Q58" i="5"/>
  <c r="AX131" i="42" s="1"/>
  <c r="N62" i="5"/>
  <c r="AN135" i="42" s="1"/>
  <c r="Q56" i="5"/>
  <c r="AX129" i="42" s="1"/>
  <c r="N59" i="5"/>
  <c r="AN132" i="42" s="1"/>
  <c r="Q65" i="5"/>
  <c r="AX138" i="42" s="1"/>
  <c r="Q62" i="5"/>
  <c r="AX135" i="42" s="1"/>
  <c r="N58" i="5"/>
  <c r="AN131" i="42" s="1"/>
  <c r="N64" i="5"/>
  <c r="AN137" i="42" s="1"/>
  <c r="N60" i="5"/>
  <c r="AN133" i="42" s="1"/>
  <c r="N9" i="5"/>
  <c r="B9" i="5"/>
  <c r="H86" i="5"/>
  <c r="BF152" i="42" s="1"/>
  <c r="K85" i="5"/>
  <c r="BP151" i="42" s="1"/>
  <c r="H81" i="5"/>
  <c r="BF147" i="42" s="1"/>
  <c r="K88" i="5"/>
  <c r="BP154" i="42" s="1"/>
  <c r="K83" i="5"/>
  <c r="BP149" i="42" s="1"/>
  <c r="K84" i="5"/>
  <c r="BP150" i="42" s="1"/>
  <c r="K86" i="5"/>
  <c r="BP152" i="42" s="1"/>
  <c r="K80" i="5"/>
  <c r="BP146" i="42" s="1"/>
  <c r="H87" i="5"/>
  <c r="BF153" i="42" s="1"/>
  <c r="H82" i="5"/>
  <c r="BF148" i="42" s="1"/>
  <c r="H84" i="5"/>
  <c r="BF150" i="42" s="1"/>
  <c r="K87" i="5"/>
  <c r="BP153" i="42" s="1"/>
  <c r="K81" i="5"/>
  <c r="BP147" i="42" s="1"/>
  <c r="H80" i="5"/>
  <c r="BF146" i="42" s="1"/>
  <c r="K79" i="5"/>
  <c r="BP145" i="42" s="1"/>
  <c r="K82" i="5"/>
  <c r="BP148" i="42" s="1"/>
  <c r="H85" i="5"/>
  <c r="BF151" i="42" s="1"/>
  <c r="H83" i="5"/>
  <c r="BF149" i="42" s="1"/>
  <c r="H88" i="5"/>
  <c r="BF154" i="42" s="1"/>
  <c r="H42" i="5"/>
  <c r="V113" i="42" s="1"/>
  <c r="B42" i="5"/>
  <c r="D113" i="42" s="1"/>
  <c r="D32" i="35"/>
  <c r="C32" i="35" s="1"/>
  <c r="D21" i="35"/>
  <c r="C21" i="35" s="1"/>
  <c r="D25" i="35"/>
  <c r="C25" i="35" s="1"/>
  <c r="D29" i="35"/>
  <c r="C29" i="35" s="1"/>
  <c r="D33" i="35"/>
  <c r="C33" i="35" s="1"/>
  <c r="D24" i="35"/>
  <c r="C24" i="35" s="1"/>
  <c r="D18" i="35"/>
  <c r="C18" i="35" s="1"/>
  <c r="D22" i="35"/>
  <c r="C22" i="35" s="1"/>
  <c r="D26" i="35"/>
  <c r="C26" i="35" s="1"/>
  <c r="D30" i="35"/>
  <c r="C30" i="35" s="1"/>
  <c r="D34" i="35"/>
  <c r="C34" i="35" s="1"/>
  <c r="D20" i="35"/>
  <c r="C20" i="35" s="1"/>
  <c r="D28" i="35"/>
  <c r="C28" i="35" s="1"/>
  <c r="D19" i="35"/>
  <c r="C19" i="35" s="1"/>
  <c r="D23" i="35"/>
  <c r="C23" i="35" s="1"/>
  <c r="D27" i="35"/>
  <c r="C27" i="35" s="1"/>
  <c r="D31" i="35"/>
  <c r="C31" i="35" s="1"/>
  <c r="C6" i="19"/>
  <c r="E6" i="19" s="1" a="1"/>
  <c r="QT108" i="2"/>
  <c r="QV108" i="2"/>
  <c r="QW108" i="2"/>
  <c r="D3" i="38"/>
  <c r="D64" i="38" s="1"/>
  <c r="QU108" i="2"/>
  <c r="C65" i="24" l="1"/>
  <c r="J63" i="24"/>
  <c r="C63" i="24"/>
  <c r="J38" i="24"/>
  <c r="C38" i="24"/>
  <c r="J44" i="24"/>
  <c r="C44" i="24"/>
  <c r="J40" i="24"/>
  <c r="C40" i="24"/>
  <c r="J42" i="24"/>
  <c r="C42" i="24"/>
  <c r="J43" i="24"/>
  <c r="C43" i="24"/>
  <c r="J36" i="24"/>
  <c r="C36" i="24"/>
  <c r="J41" i="24"/>
  <c r="C41" i="24"/>
  <c r="J49" i="24"/>
  <c r="J53" i="24"/>
  <c r="J51" i="24"/>
  <c r="J58" i="24"/>
  <c r="J54" i="24"/>
  <c r="J56" i="24"/>
  <c r="J55" i="24"/>
  <c r="J35" i="24"/>
  <c r="J39" i="24"/>
  <c r="J47" i="24"/>
  <c r="J57" i="24"/>
  <c r="J45" i="24"/>
  <c r="J37" i="24"/>
  <c r="J52" i="24"/>
  <c r="J59" i="24"/>
  <c r="J46" i="24"/>
  <c r="J60" i="24"/>
  <c r="J61" i="24"/>
  <c r="J50" i="24"/>
  <c r="J62" i="24"/>
  <c r="I8" i="24"/>
  <c r="D8" i="23"/>
  <c r="I10" i="24"/>
  <c r="C10" i="24" s="1"/>
  <c r="D10" i="23"/>
  <c r="I9" i="24"/>
  <c r="C9" i="24" s="1"/>
  <c r="D9" i="23"/>
  <c r="I7" i="24"/>
  <c r="D7" i="23"/>
  <c r="I15" i="24"/>
  <c r="D15" i="23"/>
  <c r="I16" i="24"/>
  <c r="D16" i="23"/>
  <c r="I14" i="24"/>
  <c r="D14" i="23"/>
  <c r="I13" i="24"/>
  <c r="D13" i="23"/>
  <c r="I11" i="24"/>
  <c r="D11" i="23"/>
  <c r="I12" i="24"/>
  <c r="D12" i="23"/>
  <c r="W59" i="42" s="1"/>
  <c r="AE87" i="42"/>
  <c r="W73" i="42"/>
  <c r="W75" i="42"/>
  <c r="AE61" i="42"/>
  <c r="W77" i="42"/>
  <c r="AE63" i="42"/>
  <c r="W79" i="42"/>
  <c r="W61" i="42"/>
  <c r="AE59" i="42"/>
  <c r="W63" i="42"/>
  <c r="W71" i="42"/>
  <c r="W65" i="42"/>
  <c r="W67" i="42"/>
  <c r="W69" i="42"/>
  <c r="AE65" i="42"/>
  <c r="W81" i="42"/>
  <c r="AE67" i="42"/>
  <c r="W83" i="42"/>
  <c r="AE69" i="42"/>
  <c r="W85" i="42"/>
  <c r="AE71" i="42"/>
  <c r="W87" i="42"/>
  <c r="AE83" i="42"/>
  <c r="AE85" i="42"/>
  <c r="AE73" i="42"/>
  <c r="AE75" i="42"/>
  <c r="AE79" i="42"/>
  <c r="AE81" i="42"/>
  <c r="AE77" i="42"/>
  <c r="W3" i="38"/>
  <c r="F6" i="35" a="1"/>
  <c r="S3" i="38"/>
  <c r="R3" i="38"/>
  <c r="Q3" i="38"/>
  <c r="P3" i="38"/>
  <c r="K8" i="24"/>
  <c r="C25" i="23"/>
  <c r="C25" i="33"/>
  <c r="C21" i="33"/>
  <c r="C32" i="33"/>
  <c r="C34" i="33"/>
  <c r="C34" i="23"/>
  <c r="C33" i="23"/>
  <c r="C33" i="33"/>
  <c r="K10" i="24"/>
  <c r="C26" i="33"/>
  <c r="C24" i="33"/>
  <c r="C31" i="33"/>
  <c r="C26" i="23"/>
  <c r="C31" i="23"/>
  <c r="K9" i="24"/>
  <c r="C23" i="33"/>
  <c r="C19" i="33"/>
  <c r="C28" i="33"/>
  <c r="C30" i="33"/>
  <c r="C30" i="23"/>
  <c r="C32" i="23"/>
  <c r="E82" i="5"/>
  <c r="AF148" i="42" s="1"/>
  <c r="E86" i="5"/>
  <c r="AF152" i="42" s="1"/>
  <c r="B81" i="5"/>
  <c r="V147" i="42" s="1"/>
  <c r="E84" i="5"/>
  <c r="AF150" i="42" s="1"/>
  <c r="B88" i="5"/>
  <c r="V154" i="42" s="1"/>
  <c r="E79" i="5"/>
  <c r="AF145" i="42" s="1"/>
  <c r="B87" i="5"/>
  <c r="V153" i="42" s="1"/>
  <c r="E80" i="5"/>
  <c r="AF146" i="42" s="1"/>
  <c r="E88" i="5"/>
  <c r="AF154" i="42" s="1"/>
  <c r="B85" i="5"/>
  <c r="V151" i="42" s="1"/>
  <c r="B83" i="5"/>
  <c r="V149" i="42" s="1"/>
  <c r="E81" i="5"/>
  <c r="AF147" i="42" s="1"/>
  <c r="E87" i="5"/>
  <c r="AF153" i="42" s="1"/>
  <c r="B86" i="5"/>
  <c r="V152" i="42" s="1"/>
  <c r="E83" i="5"/>
  <c r="AF149" i="42" s="1"/>
  <c r="B84" i="5"/>
  <c r="V150" i="42" s="1"/>
  <c r="B82" i="5"/>
  <c r="V148" i="42" s="1"/>
  <c r="B80" i="5"/>
  <c r="V146" i="42" s="1"/>
  <c r="E85" i="5"/>
  <c r="AF151" i="42" s="1"/>
  <c r="C19" i="23"/>
  <c r="C17" i="23"/>
  <c r="C21" i="23"/>
  <c r="C27" i="23"/>
  <c r="C27" i="33"/>
  <c r="C18" i="23"/>
  <c r="C18" i="33"/>
  <c r="C20" i="33"/>
  <c r="C29" i="23"/>
  <c r="C29" i="33"/>
  <c r="C22" i="33"/>
  <c r="C22" i="23"/>
  <c r="C20" i="23"/>
  <c r="K13" i="24"/>
  <c r="C28" i="23"/>
  <c r="C23" i="23"/>
  <c r="K11" i="24"/>
  <c r="C24" i="23"/>
  <c r="K12" i="24"/>
  <c r="K15" i="24"/>
  <c r="K14" i="24"/>
  <c r="N56" i="5"/>
  <c r="AN129" i="42" s="1"/>
  <c r="N42" i="5"/>
  <c r="AN113" i="42" s="1"/>
  <c r="K6" i="24"/>
  <c r="K7" i="24"/>
  <c r="K16" i="24"/>
  <c r="K10" i="5"/>
  <c r="K14" i="5"/>
  <c r="K18" i="5"/>
  <c r="H12" i="5"/>
  <c r="H16" i="5"/>
  <c r="K16" i="5"/>
  <c r="H10" i="5"/>
  <c r="H18" i="5"/>
  <c r="K13" i="5"/>
  <c r="K17" i="5"/>
  <c r="H15" i="5"/>
  <c r="K11" i="5"/>
  <c r="K15" i="5"/>
  <c r="K9" i="5"/>
  <c r="H13" i="5"/>
  <c r="H17" i="5"/>
  <c r="K12" i="5"/>
  <c r="H14" i="5"/>
  <c r="H11" i="5"/>
  <c r="I6" i="24"/>
  <c r="C6" i="24" s="1"/>
  <c r="QY108" i="2"/>
  <c r="J108" i="2"/>
  <c r="I3" i="38" s="1"/>
  <c r="C45" i="24" l="1"/>
  <c r="J8" i="24"/>
  <c r="C8" i="24"/>
  <c r="J7" i="24"/>
  <c r="C7" i="24"/>
  <c r="J15" i="24"/>
  <c r="C15" i="24"/>
  <c r="J16" i="24"/>
  <c r="C16" i="24"/>
  <c r="J14" i="24"/>
  <c r="C14" i="24"/>
  <c r="J13" i="24"/>
  <c r="C13" i="24"/>
  <c r="J11" i="24"/>
  <c r="C11" i="24"/>
  <c r="J12" i="24"/>
  <c r="C12" i="24"/>
  <c r="J10" i="24"/>
  <c r="J9" i="24"/>
  <c r="I25" i="24"/>
  <c r="C25" i="24" s="1"/>
  <c r="D25" i="23"/>
  <c r="I34" i="24"/>
  <c r="C34" i="24" s="1"/>
  <c r="D34" i="23"/>
  <c r="I33" i="24"/>
  <c r="C33" i="24" s="1"/>
  <c r="D33" i="23"/>
  <c r="I26" i="24"/>
  <c r="D26" i="23"/>
  <c r="I31" i="24"/>
  <c r="D31" i="23"/>
  <c r="I30" i="24"/>
  <c r="D30" i="23"/>
  <c r="I32" i="24"/>
  <c r="D32" i="23"/>
  <c r="I19" i="24"/>
  <c r="D19" i="23"/>
  <c r="I17" i="24"/>
  <c r="C17" i="24" s="1"/>
  <c r="D17" i="23"/>
  <c r="I21" i="24"/>
  <c r="D21" i="23"/>
  <c r="I27" i="24"/>
  <c r="C27" i="24" s="1"/>
  <c r="D27" i="23"/>
  <c r="I18" i="24"/>
  <c r="D18" i="23"/>
  <c r="I29" i="24"/>
  <c r="D29" i="23"/>
  <c r="I22" i="24"/>
  <c r="D22" i="23"/>
  <c r="I20" i="24"/>
  <c r="D20" i="23"/>
  <c r="I28" i="24"/>
  <c r="D28" i="23"/>
  <c r="I23" i="24"/>
  <c r="D23" i="23"/>
  <c r="I24" i="24"/>
  <c r="D24" i="23"/>
  <c r="T62" i="5"/>
  <c r="AN151" i="42" s="1"/>
  <c r="E6" i="33" a="1"/>
  <c r="K26" i="24"/>
  <c r="K33" i="24"/>
  <c r="K34" i="24"/>
  <c r="K25" i="24"/>
  <c r="K31" i="24"/>
  <c r="K3" i="38"/>
  <c r="K64" i="38" s="1"/>
  <c r="J4" i="42" s="1"/>
  <c r="I64" i="38"/>
  <c r="K30" i="24"/>
  <c r="K32" i="24"/>
  <c r="K19" i="24"/>
  <c r="K17" i="24"/>
  <c r="K21" i="24"/>
  <c r="K27" i="24"/>
  <c r="K22" i="24"/>
  <c r="K20" i="24"/>
  <c r="K28" i="24"/>
  <c r="K23" i="24"/>
  <c r="K24" i="24"/>
  <c r="K18" i="24"/>
  <c r="K29" i="24"/>
  <c r="H9" i="5"/>
  <c r="T61" i="5"/>
  <c r="AN150" i="42" s="1"/>
  <c r="W56" i="5"/>
  <c r="AX145" i="42" s="1"/>
  <c r="W60" i="5"/>
  <c r="AX149" i="42" s="1"/>
  <c r="T65" i="5"/>
  <c r="AN154" i="42" s="1"/>
  <c r="W64" i="5"/>
  <c r="AX153" i="42" s="1"/>
  <c r="W59" i="5"/>
  <c r="AX148" i="42" s="1"/>
  <c r="T60" i="5"/>
  <c r="AN149" i="42" s="1"/>
  <c r="T56" i="5"/>
  <c r="AN145" i="42" s="1"/>
  <c r="W63" i="5"/>
  <c r="AX152" i="42" s="1"/>
  <c r="T57" i="5"/>
  <c r="AN146" i="42" s="1"/>
  <c r="W58" i="5"/>
  <c r="AX147" i="42" s="1"/>
  <c r="T58" i="5"/>
  <c r="AN147" i="42" s="1"/>
  <c r="W61" i="5"/>
  <c r="AX150" i="42" s="1"/>
  <c r="W65" i="5"/>
  <c r="AX154" i="42" s="1"/>
  <c r="W57" i="5"/>
  <c r="AX146" i="42" s="1"/>
  <c r="T63" i="5"/>
  <c r="AN152" i="42" s="1"/>
  <c r="T59" i="5"/>
  <c r="AN148" i="42" s="1"/>
  <c r="T64" i="5"/>
  <c r="AN153" i="42" s="1"/>
  <c r="W62" i="5"/>
  <c r="AX151" i="42" s="1"/>
  <c r="J6" i="24"/>
  <c r="J26" i="24" l="1"/>
  <c r="C26" i="24"/>
  <c r="J31" i="24"/>
  <c r="C31" i="24"/>
  <c r="J30" i="24"/>
  <c r="C30" i="24"/>
  <c r="J32" i="24"/>
  <c r="C32" i="24"/>
  <c r="J19" i="24"/>
  <c r="C19" i="24"/>
  <c r="J21" i="24"/>
  <c r="C21" i="24"/>
  <c r="J18" i="24"/>
  <c r="C18" i="24"/>
  <c r="J29" i="24"/>
  <c r="C29" i="24"/>
  <c r="J22" i="24"/>
  <c r="C22" i="24"/>
  <c r="J20" i="24"/>
  <c r="C20" i="24"/>
  <c r="J28" i="24"/>
  <c r="C28" i="24"/>
  <c r="J23" i="24"/>
  <c r="C23" i="24"/>
  <c r="J24" i="24"/>
  <c r="J17" i="24"/>
  <c r="F6" i="23" a="1"/>
  <c r="J25" i="24"/>
  <c r="J34" i="24"/>
  <c r="J33" i="24"/>
  <c r="J27" i="24"/>
  <c r="W43" i="5"/>
  <c r="N146" i="42" s="1"/>
  <c r="W44" i="5"/>
  <c r="N147" i="42" s="1"/>
  <c r="W51" i="5"/>
  <c r="N154" i="42" s="1"/>
  <c r="T45" i="5"/>
  <c r="D148" i="42" s="1"/>
  <c r="W47" i="5"/>
  <c r="N150" i="42" s="1"/>
  <c r="W42" i="5"/>
  <c r="N145" i="42" s="1"/>
  <c r="T48" i="5"/>
  <c r="D151" i="42" s="1"/>
  <c r="T44" i="5"/>
  <c r="D147" i="42" s="1"/>
  <c r="T46" i="5"/>
  <c r="D149" i="42" s="1"/>
  <c r="T49" i="5"/>
  <c r="D152" i="42" s="1"/>
  <c r="T47" i="5"/>
  <c r="D150" i="42" s="1"/>
  <c r="W45" i="5"/>
  <c r="N148" i="42" s="1"/>
  <c r="T42" i="5"/>
  <c r="D145" i="42" s="1"/>
  <c r="T50" i="5"/>
  <c r="D153" i="42" s="1"/>
  <c r="W48" i="5"/>
  <c r="N151" i="42" s="1"/>
  <c r="W46" i="5"/>
  <c r="N149" i="42" s="1"/>
  <c r="T51" i="5"/>
  <c r="D154" i="42" s="1"/>
  <c r="W49" i="5"/>
  <c r="N152" i="42" s="1"/>
  <c r="T43" i="5"/>
  <c r="D146" i="42" s="1"/>
  <c r="W50" i="5"/>
  <c r="N153" i="42" s="1"/>
  <c r="C24" i="24" l="1"/>
  <c r="J81" i="23"/>
  <c r="J75" i="23"/>
  <c r="J92" i="23"/>
  <c r="J100" i="23"/>
  <c r="J101" i="23"/>
  <c r="J84" i="23"/>
  <c r="J82" i="23"/>
  <c r="J94" i="23"/>
  <c r="J93" i="23"/>
  <c r="J87" i="23"/>
  <c r="J88" i="23"/>
  <c r="J95" i="23"/>
  <c r="J86" i="23"/>
  <c r="J17" i="23"/>
  <c r="J43" i="23"/>
  <c r="J55" i="23"/>
  <c r="J67" i="23"/>
  <c r="J32" i="23"/>
  <c r="J44" i="23"/>
  <c r="J56" i="23"/>
  <c r="J68" i="23"/>
  <c r="J45" i="23"/>
  <c r="J57" i="23"/>
  <c r="J69" i="23"/>
  <c r="J70" i="23"/>
  <c r="J34" i="23"/>
  <c r="J35" i="23"/>
  <c r="J47" i="23"/>
  <c r="J59" i="23"/>
  <c r="J63" i="23"/>
  <c r="J36" i="23"/>
  <c r="J48" i="23"/>
  <c r="J60" i="23"/>
  <c r="J51" i="23"/>
  <c r="J37" i="23"/>
  <c r="J49" i="23"/>
  <c r="J73" i="23"/>
  <c r="J39" i="23"/>
  <c r="J50" i="23"/>
  <c r="J62" i="23"/>
  <c r="J74" i="23"/>
  <c r="J52" i="23"/>
  <c r="J64" i="23"/>
  <c r="J89" i="23"/>
  <c r="J105" i="23"/>
  <c r="J91" i="23"/>
  <c r="J85" i="23"/>
  <c r="J78" i="23"/>
  <c r="J96" i="23"/>
  <c r="J76" i="23"/>
  <c r="J80" i="23"/>
  <c r="J79" i="23"/>
  <c r="J83" i="23"/>
  <c r="J103" i="23"/>
  <c r="J31" i="23"/>
  <c r="J33" i="23"/>
  <c r="J46" i="23"/>
  <c r="J71" i="23"/>
  <c r="J72" i="23"/>
  <c r="J61" i="23"/>
  <c r="J38" i="23"/>
  <c r="J40" i="23"/>
  <c r="J53" i="23"/>
  <c r="J102" i="23"/>
  <c r="J77" i="23"/>
  <c r="J104" i="23"/>
  <c r="J90" i="23"/>
  <c r="J97" i="23"/>
  <c r="J99" i="23"/>
  <c r="J98" i="23"/>
  <c r="J65" i="23"/>
  <c r="J41" i="23"/>
  <c r="J42" i="23"/>
  <c r="J54" i="23"/>
  <c r="J66" i="23"/>
  <c r="J58" i="23"/>
  <c r="J7" i="23"/>
  <c r="J18" i="23"/>
  <c r="J30" i="23"/>
  <c r="J23" i="23"/>
  <c r="J24" i="23"/>
  <c r="J20" i="23"/>
  <c r="J12" i="23"/>
  <c r="J27" i="23"/>
  <c r="J15" i="23"/>
  <c r="J8" i="23"/>
  <c r="J9" i="23"/>
  <c r="J29" i="23"/>
  <c r="J10" i="23"/>
  <c r="J26" i="23"/>
  <c r="J25" i="23"/>
  <c r="J14" i="23"/>
  <c r="J21" i="23"/>
  <c r="J19" i="23"/>
  <c r="J22" i="23"/>
  <c r="J11" i="23"/>
  <c r="J16" i="23"/>
  <c r="J6" i="23"/>
  <c r="J28" i="23"/>
  <c r="J13" i="23"/>
  <c r="M6" i="24" l="1" a="1"/>
  <c r="J108" i="23"/>
  <c r="E12" i="42" l="1"/>
  <c r="M12" i="42"/>
  <c r="M10" i="42"/>
  <c r="M11" i="42"/>
  <c r="E11" i="42"/>
  <c r="B24" i="5"/>
  <c r="E30" i="5"/>
  <c r="E32" i="5"/>
  <c r="B30" i="5"/>
  <c r="B26" i="5"/>
  <c r="E31" i="5"/>
  <c r="E28" i="5"/>
  <c r="E10" i="42" s="1"/>
  <c r="B27" i="5"/>
  <c r="E23" i="5"/>
  <c r="E26" i="5"/>
  <c r="B32" i="5"/>
  <c r="E27" i="5"/>
  <c r="B31" i="5"/>
  <c r="B28" i="5"/>
  <c r="E29" i="5"/>
  <c r="E25" i="5"/>
  <c r="B29" i="5"/>
  <c r="B25" i="5"/>
  <c r="E24" i="5"/>
  <c r="B2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tc={589E5858-C2C3-434D-A6C1-8A222BA6291A}</author>
  </authors>
  <commentList>
    <comment ref="JV4" authorId="0" shapeId="0" xr:uid="{589E5858-C2C3-434D-A6C1-8A222BA6291A}">
      <text>
        <t>[Threaded comment]
Your version of Excel allows you to read this threaded comment; however, any edits to it will get removed if the file is opened in a newer version of Excel. Learn more: https://go.microsoft.com/fwlink/?linkid=870924
Comment:
    Centenary Cup - normal swindle can be played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<sst xmlns="http://schemas.openxmlformats.org/spreadsheetml/2006/main" count="1338" uniqueCount="316">
  <si>
    <t>Saturday Xmas Challenge Cup</t>
  </si>
  <si>
    <t>The Cherry Lodge Trophy</t>
  </si>
  <si>
    <t>The Morrow Masters</t>
  </si>
  <si>
    <t>Kevin Fletcher</t>
  </si>
  <si>
    <t>Graham Mitchell</t>
  </si>
  <si>
    <t>Ian Roy</t>
  </si>
  <si>
    <t>Michael Folb</t>
  </si>
  <si>
    <t>Alan Dossett</t>
  </si>
  <si>
    <t>Paul Mason</t>
  </si>
  <si>
    <t>Chris Bowden</t>
  </si>
  <si>
    <t>Jeffery Millins</t>
  </si>
  <si>
    <t>Ray Hasler</t>
  </si>
  <si>
    <t>Ivan Hook</t>
  </si>
  <si>
    <t>Rick Morrison</t>
  </si>
  <si>
    <t>Peter Bucknell</t>
  </si>
  <si>
    <t>Terry Walker</t>
  </si>
  <si>
    <t>Phil Cook</t>
  </si>
  <si>
    <t>Norman Rose</t>
  </si>
  <si>
    <t>Andy Thompson</t>
  </si>
  <si>
    <t>Scott Lineard</t>
  </si>
  <si>
    <t>Pat Coleman</t>
  </si>
  <si>
    <t>No contest due to fog</t>
  </si>
  <si>
    <t>Graham Cole</t>
  </si>
  <si>
    <t>Andy Thompson &amp; Rob Harley</t>
  </si>
  <si>
    <t>Richard Minnis</t>
  </si>
  <si>
    <t>Dan Hunt</t>
  </si>
  <si>
    <t>No contest due to waterlogged course</t>
  </si>
  <si>
    <t>No contest due to Covid</t>
  </si>
  <si>
    <t>Phil Cook, Dickie Moxon, Dan Callingham &amp; Steve Wheeler</t>
  </si>
  <si>
    <t>No contested</t>
  </si>
  <si>
    <t>Date</t>
  </si>
  <si>
    <t>Pars</t>
  </si>
  <si>
    <t>Entry fee</t>
  </si>
  <si>
    <t>Eagles</t>
  </si>
  <si>
    <t>Birdies</t>
  </si>
  <si>
    <t>Blobs</t>
  </si>
  <si>
    <t>Best Swindle Stableford Front 9</t>
  </si>
  <si>
    <t>Best Swindle Stableford Back 9</t>
  </si>
  <si>
    <t>Best Swindle stableford score</t>
  </si>
  <si>
    <t>Worst Swindle Stableford Front 9</t>
  </si>
  <si>
    <t>Worst Swindle Stableford Back 9</t>
  </si>
  <si>
    <t>Worst Swindle stableford score</t>
  </si>
  <si>
    <t>Best Monthly stableford score</t>
  </si>
  <si>
    <t>Worst Monthly stableford score</t>
  </si>
  <si>
    <t>Average stableford score</t>
  </si>
  <si>
    <t>Best Medal score</t>
  </si>
  <si>
    <t>Worst Medal score</t>
  </si>
  <si>
    <t>Format</t>
  </si>
  <si>
    <t>Scoring</t>
  </si>
  <si>
    <t>Name</t>
  </si>
  <si>
    <t xml:space="preserve">Front </t>
  </si>
  <si>
    <t>Back</t>
  </si>
  <si>
    <t>Score</t>
  </si>
  <si>
    <t>Total Players</t>
  </si>
  <si>
    <t>Swindle</t>
  </si>
  <si>
    <t>average</t>
  </si>
  <si>
    <t>Entry</t>
  </si>
  <si>
    <t>Monthly Stableford</t>
  </si>
  <si>
    <t>2 from 3</t>
  </si>
  <si>
    <t>Monthly Medal</t>
  </si>
  <si>
    <t>individual</t>
  </si>
  <si>
    <t>Stuart Gay, Andy Thompson</t>
  </si>
  <si>
    <t>Steve Wheeler</t>
  </si>
  <si>
    <t>Club Competition</t>
  </si>
  <si>
    <t>None</t>
  </si>
  <si>
    <t>Comp</t>
  </si>
  <si>
    <t>Total Score</t>
  </si>
  <si>
    <t>Cash Paid</t>
  </si>
  <si>
    <t>Total Cash Received</t>
  </si>
  <si>
    <t>Individual Competition</t>
  </si>
  <si>
    <t>Total Cash Prizes</t>
  </si>
  <si>
    <t>More sheets overleaf</t>
  </si>
  <si>
    <t>Balance to funds</t>
  </si>
  <si>
    <t>Team Competition</t>
  </si>
  <si>
    <t>Front Nine</t>
  </si>
  <si>
    <t>Back Nine</t>
  </si>
  <si>
    <t>Team Average</t>
  </si>
  <si>
    <t>Team Average/All scores Count</t>
  </si>
  <si>
    <t>Balance to Funds</t>
  </si>
  <si>
    <t>1st</t>
  </si>
  <si>
    <t>2nd</t>
  </si>
  <si>
    <t>3rd</t>
  </si>
  <si>
    <t>4th</t>
  </si>
  <si>
    <t>5th</t>
  </si>
  <si>
    <t>Total Points</t>
  </si>
  <si>
    <t>Total Cash in funds</t>
  </si>
  <si>
    <t>all scores count</t>
  </si>
  <si>
    <t>Average</t>
  </si>
  <si>
    <t>Ross Fraser</t>
  </si>
  <si>
    <t>Mike Forrest</t>
  </si>
  <si>
    <t>Paul Fitzgerald</t>
  </si>
  <si>
    <t>Paul Martin</t>
  </si>
  <si>
    <t>Max Ball</t>
  </si>
  <si>
    <t>Neil Hart</t>
  </si>
  <si>
    <t>6th</t>
  </si>
  <si>
    <t>7th</t>
  </si>
  <si>
    <t>8th</t>
  </si>
  <si>
    <t>9th</t>
  </si>
  <si>
    <t>10th</t>
  </si>
  <si>
    <t>Birdie Leaderboard</t>
  </si>
  <si>
    <t>Par Leaderboard</t>
  </si>
  <si>
    <t>Jake Sprosen</t>
  </si>
  <si>
    <t>Mike Forrest (Based on Order of Merit)</t>
  </si>
  <si>
    <t>Paul Clarke</t>
  </si>
  <si>
    <t>Mike Chubb</t>
  </si>
  <si>
    <t>Gareth Davies</t>
  </si>
  <si>
    <t>Nick Garner</t>
  </si>
  <si>
    <t>Stuart Gay</t>
  </si>
  <si>
    <t>Tony Hearson</t>
  </si>
  <si>
    <t>Martin Holder</t>
  </si>
  <si>
    <t>Ryan King</t>
  </si>
  <si>
    <t>Dave Randall</t>
  </si>
  <si>
    <t>Arron Rutherford</t>
  </si>
  <si>
    <t>Terry Shoker</t>
  </si>
  <si>
    <t>Justin Spencer</t>
  </si>
  <si>
    <t>Bill Sutton</t>
  </si>
  <si>
    <t>Rory Thompson</t>
  </si>
  <si>
    <t>Ryan Vaughan</t>
  </si>
  <si>
    <t>Finn Wheeler</t>
  </si>
  <si>
    <t>George Clarke</t>
  </si>
  <si>
    <t>Archie Fraser</t>
  </si>
  <si>
    <t>Anthony Harris</t>
  </si>
  <si>
    <t>Peter Donovan</t>
  </si>
  <si>
    <t>Total birdies</t>
  </si>
  <si>
    <t>Total Pars</t>
  </si>
  <si>
    <t>Stablefords played</t>
  </si>
  <si>
    <t>Total Eagles</t>
  </si>
  <si>
    <t>Total Blobs</t>
  </si>
  <si>
    <t>Mr Blobby 2024</t>
  </si>
  <si>
    <t>Par Leader 2024</t>
  </si>
  <si>
    <t>Birdie Leader 2024</t>
  </si>
  <si>
    <t>Eagle Leader 2024</t>
  </si>
  <si>
    <t>Total Played</t>
  </si>
  <si>
    <t>Medals played</t>
  </si>
  <si>
    <t>Amount Due</t>
  </si>
  <si>
    <t>Eagle points</t>
  </si>
  <si>
    <t>Birdie Points</t>
  </si>
  <si>
    <t>Par Points</t>
  </si>
  <si>
    <t>Appearances</t>
  </si>
  <si>
    <t>Ave Stableford score</t>
  </si>
  <si>
    <t>Order of Merit points</t>
  </si>
  <si>
    <t>Order of Merit 2024</t>
  </si>
  <si>
    <t>Saturday Swindle 2024 Records</t>
  </si>
  <si>
    <t>Eagle Leaderboard</t>
  </si>
  <si>
    <t>Justin Hunt</t>
  </si>
  <si>
    <t>Martin Coomber</t>
  </si>
  <si>
    <t>Chris Smith</t>
  </si>
  <si>
    <t>Best Front 9</t>
  </si>
  <si>
    <t>Best Back 9</t>
  </si>
  <si>
    <t>Highest Swindle SS</t>
  </si>
  <si>
    <t>Worst Front 9</t>
  </si>
  <si>
    <t>Worst Back 9</t>
  </si>
  <si>
    <t>Tom Burton</t>
  </si>
  <si>
    <t>Andy Lucey</t>
  </si>
  <si>
    <t>Kevin Tribley</t>
  </si>
  <si>
    <t>Number played</t>
  </si>
  <si>
    <t>Dan Thomas</t>
  </si>
  <si>
    <t>Swindle Stableford - Best Front Nine</t>
  </si>
  <si>
    <t>Swindle Stableford - Best back Nine</t>
  </si>
  <si>
    <t>Swindle Stableford - Best Overall</t>
  </si>
  <si>
    <t>Swindle Stableford - Worst Front Nine</t>
  </si>
  <si>
    <t>Swindle Stableford - Worst back Nine</t>
  </si>
  <si>
    <t>Swindle Stableford - Worst Overall</t>
  </si>
  <si>
    <t>Worst Overall</t>
  </si>
  <si>
    <t>Highest Competition SS</t>
  </si>
  <si>
    <t>Competition Stableford  - Best Score</t>
  </si>
  <si>
    <t>Competition Stableford  - Worst Score</t>
  </si>
  <si>
    <t>Stablefords</t>
  </si>
  <si>
    <t>Year long Competitions</t>
  </si>
  <si>
    <t>Monthly Medal Best Score</t>
  </si>
  <si>
    <t>Highest Competition Medal</t>
  </si>
  <si>
    <t>Monthly Medal Worst Score</t>
  </si>
  <si>
    <t>Competition Medal</t>
  </si>
  <si>
    <t>Rank</t>
  </si>
  <si>
    <t>Tosh Sprosen</t>
  </si>
  <si>
    <t>Harley Bishop</t>
  </si>
  <si>
    <t>Gary Hall</t>
  </si>
  <si>
    <t>Dominic Coughlin</t>
  </si>
  <si>
    <t>Eoghan Hilton</t>
  </si>
  <si>
    <t>Players</t>
  </si>
  <si>
    <t>Pot</t>
  </si>
  <si>
    <t>Banked</t>
  </si>
  <si>
    <t>Averages per player</t>
  </si>
  <si>
    <t>Hole in 1</t>
  </si>
  <si>
    <t>Prizes Paid</t>
  </si>
  <si>
    <t>Comments</t>
  </si>
  <si>
    <t>Peter Vallely</t>
  </si>
  <si>
    <t>Totals</t>
  </si>
  <si>
    <t>Christmas Faye</t>
  </si>
  <si>
    <t>Captain &amp; Pro</t>
  </si>
  <si>
    <t>Spring Meeting</t>
  </si>
  <si>
    <t>Seniors Champ</t>
  </si>
  <si>
    <t>Club Champs</t>
  </si>
  <si>
    <t>Avg. Players</t>
  </si>
  <si>
    <t>Sonny Thompson</t>
  </si>
  <si>
    <t>David Hilton</t>
  </si>
  <si>
    <t>Row Labels</t>
  </si>
  <si>
    <t>Grand Total</t>
  </si>
  <si>
    <t>Pos.</t>
  </si>
  <si>
    <t>Worst Stableford Score</t>
  </si>
  <si>
    <t>Avg. Stableford Score</t>
  </si>
  <si>
    <t>Best Monthly Stableford Score</t>
  </si>
  <si>
    <t>Best Montly Medal Score</t>
  </si>
  <si>
    <t>Medals</t>
  </si>
  <si>
    <t>Total</t>
  </si>
  <si>
    <t>Aces</t>
  </si>
  <si>
    <t>KPIs</t>
  </si>
  <si>
    <t>Average Per Round</t>
  </si>
  <si>
    <t>Best Stableford Score</t>
  </si>
  <si>
    <t xml:space="preserve">Swindle - Best Overall </t>
  </si>
  <si>
    <t xml:space="preserve">Swindle - Worst Overall </t>
  </si>
  <si>
    <t>M. Stableford - Best Score</t>
  </si>
  <si>
    <t>M. Medal - Best Score</t>
  </si>
  <si>
    <t>M. Medal - Worst Score</t>
  </si>
  <si>
    <t>11th</t>
  </si>
  <si>
    <t>12th</t>
  </si>
  <si>
    <t>13th</t>
  </si>
  <si>
    <t>14th</t>
  </si>
  <si>
    <t>15th</t>
  </si>
  <si>
    <t>16th</t>
  </si>
  <si>
    <t>17th</t>
  </si>
  <si>
    <t>18th</t>
  </si>
  <si>
    <t>19th</t>
  </si>
  <si>
    <t>20th</t>
  </si>
  <si>
    <t>Best / Worse Scores</t>
  </si>
  <si>
    <t>M. Stableford - Low Score</t>
  </si>
  <si>
    <t>Swindle - Best Front 9</t>
  </si>
  <si>
    <t>Swindle - Best Back 9</t>
  </si>
  <si>
    <t>Swindle - Worst Front 9</t>
  </si>
  <si>
    <t>Swindle - Worst Back 9</t>
  </si>
  <si>
    <t>Swindlers</t>
  </si>
  <si>
    <t>Best worse score with no blob</t>
  </si>
  <si>
    <t>Brad Whitehead</t>
  </si>
  <si>
    <t>George Burton</t>
  </si>
  <si>
    <t>Jason Wale</t>
  </si>
  <si>
    <t>Cpt Vs President</t>
  </si>
  <si>
    <t>Centenary Cup</t>
  </si>
  <si>
    <t>Dedrick Bowl</t>
  </si>
  <si>
    <t>Xmas Do!</t>
  </si>
  <si>
    <t>Across All Play Types</t>
  </si>
  <si>
    <t>Norm + Monthlys</t>
  </si>
  <si>
    <t>Jordan Hall</t>
  </si>
  <si>
    <t>Russell Turner</t>
  </si>
  <si>
    <t>Dave Woodget</t>
  </si>
  <si>
    <t>2024 Season</t>
  </si>
  <si>
    <t>2025 Season</t>
  </si>
  <si>
    <t>James Dunn</t>
  </si>
  <si>
    <t>2023 Season</t>
  </si>
  <si>
    <t>Sum of Prize Money</t>
  </si>
  <si>
    <t>Oli Lloyd</t>
  </si>
  <si>
    <t>On Card</t>
  </si>
  <si>
    <t>Taken From Swindles</t>
  </si>
  <si>
    <t>Difference</t>
  </si>
  <si>
    <t>A/c Interest</t>
  </si>
  <si>
    <t>Adj</t>
  </si>
  <si>
    <t>Xmas Pot</t>
  </si>
  <si>
    <t>SoY Balance</t>
  </si>
  <si>
    <t>Swindle funds In Account</t>
  </si>
  <si>
    <t>row 60</t>
  </si>
  <si>
    <t>weeks takings</t>
  </si>
  <si>
    <t>Edward Money</t>
  </si>
  <si>
    <t>Tony Forsyth-James</t>
  </si>
  <si>
    <t>Mark Hutchinson</t>
  </si>
  <si>
    <t>U18s</t>
  </si>
  <si>
    <t>Stuart Anderson</t>
  </si>
  <si>
    <t>Chris Burroughs</t>
  </si>
  <si>
    <t>Andy Johnson</t>
  </si>
  <si>
    <t>Ben Fleet</t>
  </si>
  <si>
    <t>Gordon Fielding</t>
  </si>
  <si>
    <t>Generation Trophy</t>
  </si>
  <si>
    <t>Closed</t>
  </si>
  <si>
    <t>Order of Merrit 2026</t>
  </si>
  <si>
    <t>Top Earners 2026</t>
  </si>
  <si>
    <t>Jonathan Kanareck</t>
  </si>
  <si>
    <t>Oliver Proud</t>
  </si>
  <si>
    <t>Rounds Played:</t>
  </si>
  <si>
    <t>Total Xmas Swindle Pot:</t>
  </si>
  <si>
    <t>Total Prize Money Paid:</t>
  </si>
  <si>
    <t>8.15 AM SATURDAY SWINDLE - STATS SHEET</t>
  </si>
  <si>
    <t>Joe Hooper</t>
  </si>
  <si>
    <t>Stableford Apps</t>
  </si>
  <si>
    <t>BPR</t>
  </si>
  <si>
    <t>EAGLE LEADERBOARD</t>
  </si>
  <si>
    <t>BIRDIE LEADERBOARD</t>
  </si>
  <si>
    <t>PAR LEADERBOARD</t>
  </si>
  <si>
    <t>MR BLOBBY 2026</t>
  </si>
  <si>
    <t>8.15 AM SATURDAY SWINDLE  - HALL OF FAME</t>
  </si>
  <si>
    <t>Ross Fraser (Was DQ'd from the day)</t>
  </si>
  <si>
    <t>Chris Smith (Based on Arm Wrestle decider)</t>
  </si>
  <si>
    <t>2026 Season</t>
  </si>
  <si>
    <t>2027 Season</t>
  </si>
  <si>
    <t>2028 Season</t>
  </si>
  <si>
    <t>EAGLES</t>
  </si>
  <si>
    <t>BIRDIES</t>
  </si>
  <si>
    <t>PARS</t>
  </si>
  <si>
    <t>BLOBS</t>
  </si>
  <si>
    <t>2026 Appearances</t>
  </si>
  <si>
    <t>Danny Jones</t>
  </si>
  <si>
    <t>Dickie Moxham</t>
  </si>
  <si>
    <t>Everyone Else</t>
  </si>
  <si>
    <t>Scramble 21/2</t>
  </si>
  <si>
    <t>Paul C</t>
  </si>
  <si>
    <t>Stu Anderson</t>
  </si>
  <si>
    <t>Tony FJ</t>
  </si>
  <si>
    <t>Fin Wheeler</t>
  </si>
  <si>
    <t>Stuart Gaye</t>
  </si>
  <si>
    <t>Liam Anderson</t>
  </si>
  <si>
    <t>Adjusted Played</t>
  </si>
  <si>
    <t>NAME</t>
  </si>
  <si>
    <t>Apps</t>
  </si>
  <si>
    <t>Apps-Adj</t>
  </si>
  <si>
    <t>Sam Cochrane</t>
  </si>
  <si>
    <t>Rounds</t>
  </si>
  <si>
    <t>Shaun Alexander</t>
  </si>
  <si>
    <t>Kyle Deane</t>
  </si>
  <si>
    <t>Ed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</si>
</sst>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quot;£&quot;#,##0.00"/>
    <numFmt numFmtId="44" formatCode="_-&quot;£&quot;* #,##0.00_-;\-&quot;£&quot;* #,##0.00_-;_-&quot;£&quot;* &quot;-&quot;??_-;_-@_-"/>
    <numFmt numFmtId="43" formatCode="_-* #,##0.00_-;\-* #,##0.00_-;_-* &quot;-&quot;??_-;_-@_-"/>
    <numFmt numFmtId="164" formatCode="[$-F800]dddd\,\ mmmm\ dd\,\ yyyy"/>
    <numFmt numFmtId="165" formatCode="_-[$£-809]* #,##0.00_-;\-[$£-809]* #,##0.00_-;_-[$£-809]* &quot;-&quot;??_-;_-@_-"/>
    <numFmt numFmtId="166" formatCode="0.0"/>
    <numFmt numFmtId="167" formatCode="&quot;£&quot;#,##0.00"/>
    <numFmt numFmtId="168" formatCode="0_ ;\-0\ "/>
    <numFmt numFmtId="169" formatCode="_-* #,##0_-;\-* #,##0_-;_-* &quot;-&quot;??_-;_-@_-"/>
    <numFmt numFmtId="170" formatCode="0.0000"/>
  </numFmts>
  <fonts count="37" x14ac:knownFonts="1">
    <font>
      <sz val="8"/>
      <color theme="1"/>
      <name val="Calibri"/>
      <family val="2"/>
    </font>
    <font>
      <sz val="8"/>
      <color theme="1"/>
      <name val="Bahnschrift"/>
      <family val="2"/>
    </font>
    <font>
      <sz val="8"/>
      <color theme="1"/>
      <name val="Bahnschrift"/>
      <family val="2"/>
    </font>
    <font>
      <b/>
      <sz val="8"/>
      <color theme="1"/>
      <name val="Calibri"/>
      <family val="2"/>
    </font>
    <font>
      <sz val="8"/>
      <name val="Calibri"/>
      <family val="2"/>
    </font>
    <font>
      <b/>
      <sz val="16"/>
      <color rgb="FF305496"/>
      <name val="Calibri"/>
      <family val="2"/>
    </font>
    <font>
      <b/>
      <sz val="12"/>
      <color rgb="FF548235"/>
      <name val="Calibri"/>
      <family val="2"/>
    </font>
    <font>
      <b/>
      <sz val="11"/>
      <color theme="1"/>
      <name val="Calibri"/>
      <family val="2"/>
    </font>
    <font>
      <b/>
      <sz val="11"/>
      <color rgb="FF548235"/>
      <name val="Calibri"/>
      <family val="2"/>
    </font>
    <font>
      <b/>
      <sz val="10"/>
      <color rgb="FF305496"/>
      <name val="Calibri"/>
      <family val="2"/>
    </font>
    <font>
      <sz val="10"/>
      <color theme="1"/>
      <name val="Calibri"/>
      <family val="2"/>
    </font>
    <font>
      <b/>
      <sz val="10"/>
      <color theme="1"/>
      <name val="Calibri"/>
      <family val="2"/>
    </font>
    <font>
      <b/>
      <sz val="10"/>
      <color rgb="FF000000"/>
      <name val="Calibri"/>
      <family val="2"/>
    </font>
    <font>
      <sz val="10"/>
      <color rgb="FF222222"/>
      <name val="Calibri"/>
      <family val="2"/>
    </font>
    <font>
      <b/>
      <u/>
      <sz val="10"/>
      <color theme="1"/>
      <name val="Calibri"/>
      <family val="2"/>
    </font>
    <font>
      <sz val="10"/>
      <name val="Calibri"/>
      <family val="2"/>
    </font>
    <font>
      <b/>
      <sz val="12"/>
      <color rgb="FF0070C0"/>
      <name val="Calibri"/>
      <family val="2"/>
    </font>
    <font>
      <b/>
      <sz val="10"/>
      <name val="Calibri"/>
      <family val="2"/>
    </font>
    <font>
      <b/>
      <sz val="8"/>
      <color theme="1"/>
      <name val="Bahnschrift"/>
      <family val="2"/>
    </font>
    <font>
      <sz val="9"/>
      <color theme="1"/>
      <name val="Bahnschrift"/>
      <family val="2"/>
    </font>
    <font>
      <b/>
      <sz val="9"/>
      <color theme="1"/>
      <name val="Bahnschrift"/>
      <family val="2"/>
    </font>
    <font>
      <b/>
      <sz val="8"/>
      <name val="Bahnschrift"/>
      <family val="2"/>
    </font>
    <font>
      <b/>
      <u/>
      <sz val="8"/>
      <name val="Bahnschrift"/>
      <family val="2"/>
    </font>
    <font>
      <sz val="8"/>
      <color theme="0" tint="-0.249977111117893"/>
      <name val="Bahnschrift"/>
      <family val="2"/>
    </font>
    <font>
      <sz val="10"/>
      <color theme="7" tint="-0.249977111117893"/>
      <name val="Calibri"/>
      <family val="2"/>
    </font>
    <font>
      <b/>
      <sz val="10"/>
      <color rgb="FF0070C0"/>
      <name val="Calibri"/>
      <family val="2"/>
    </font>
    <font>
      <sz val="8"/>
      <color theme="0"/>
      <name val="Calibri"/>
      <family val="2"/>
    </font>
    <font>
      <b/>
      <sz val="8"/>
      <color theme="0"/>
      <name val="Calibri"/>
      <family val="2"/>
    </font>
    <font>
      <i/>
      <sz val="8"/>
      <color theme="1"/>
      <name val="Calibri"/>
      <family val="2"/>
    </font>
    <font>
      <b/>
      <sz val="10"/>
      <color theme="0"/>
      <name val="Calibri"/>
      <family val="2"/>
    </font>
    <font>
      <sz val="8"/>
      <color theme="0" tint="-0.249977111117893"/>
      <name val="Calibri"/>
      <family val="2"/>
    </font>
    <font>
      <sz val="8"/>
      <color theme="1"/>
      <name val="Calibri"/>
      <family val="2"/>
    </font>
    <font>
      <b/>
      <sz val="11"/>
      <color theme="1"/>
      <name val="Calibri"/>
      <family val="2"/>
      <scheme val="minor"/>
    </font>
    <font>
      <b/>
      <sz val="9"/>
      <color theme="0"/>
      <name val="Calibri"/>
      <family val="2"/>
    </font>
    <font>
      <sz val="9"/>
      <color theme="1"/>
      <name val="Calibri"/>
      <family val="2"/>
    </font>
    <font>
      <b/>
      <sz val="12"/>
      <color theme="0"/>
      <name val="Calibri"/>
      <family val="2"/>
    </font>
    <font>
      <sz val="12"/>
      <color theme="1"/>
      <name val="Calibri"/>
      <family val="2"/>
    </font>
  </fonts>
  <fills count="35">
    <fill>
      <patternFill patternType="none"/>
    </fill>
    <fill>
      <patternFill patternType="gray125"/>
    </fill>
    <fill>
      <patternFill patternType="solid">
        <fgColor theme="9" tint="0.59999389629810485"/>
        <bgColor indexed="64"/>
      </patternFill>
    </fill>
    <fill>
      <patternFill patternType="solid">
        <fgColor theme="7" tint="0.39997558519241921"/>
        <bgColor indexed="64"/>
      </patternFill>
    </fill>
    <fill>
      <patternFill patternType="solid">
        <fgColor rgb="FFD9E1F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0070C0"/>
        <bgColor indexed="64"/>
      </patternFill>
    </fill>
    <fill>
      <patternFill patternType="solid">
        <fgColor rgb="FFFF66CC"/>
        <bgColor indexed="64"/>
      </patternFill>
    </fill>
    <fill>
      <patternFill patternType="solid">
        <fgColor theme="7" tint="0.59999389629810485"/>
        <bgColor indexed="64"/>
      </patternFill>
    </fill>
    <fill>
      <patternFill patternType="solid">
        <fgColor rgb="FF92D050"/>
        <bgColor indexed="64"/>
      </patternFill>
    </fill>
    <fill>
      <patternFill patternType="solid">
        <fgColor theme="7" tint="-0.249977111117893"/>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8" tint="0.79998168889431442"/>
        <bgColor rgb="FF000000"/>
      </patternFill>
    </fill>
    <fill>
      <patternFill patternType="solid">
        <fgColor rgb="FF00B0F0"/>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rgb="FFFFFF00"/>
        <bgColor indexed="64"/>
      </patternFill>
    </fill>
    <fill>
      <gradientFill degree="315">
        <stop position="0">
          <color theme="0"/>
        </stop>
        <stop position="1">
          <color rgb="FF00B050"/>
        </stop>
      </gradientFill>
    </fill>
    <fill>
      <gradientFill degree="315">
        <stop position="0">
          <color theme="0"/>
        </stop>
        <stop position="1">
          <color rgb="FF00B0F0"/>
        </stop>
      </gradientFill>
    </fill>
    <fill>
      <gradientFill degree="315">
        <stop position="0">
          <color theme="0"/>
        </stop>
        <stop position="1">
          <color rgb="FFFF66CC"/>
        </stop>
      </gradientFill>
    </fill>
    <fill>
      <gradientFill degree="270">
        <stop position="0">
          <color theme="0"/>
        </stop>
        <stop position="1">
          <color theme="0" tint="-0.34900967436750391"/>
        </stop>
      </gradientFill>
    </fill>
    <fill>
      <gradientFill degree="90">
        <stop position="0">
          <color theme="0"/>
        </stop>
        <stop position="0.5">
          <color rgb="FF00B0F0"/>
        </stop>
        <stop position="1">
          <color theme="0"/>
        </stop>
      </gradientFill>
    </fill>
    <fill>
      <gradientFill degree="270">
        <stop position="0">
          <color theme="0"/>
        </stop>
        <stop position="1">
          <color rgb="FF00B050"/>
        </stop>
      </gradientFill>
    </fill>
    <fill>
      <gradientFill degree="270">
        <stop position="0">
          <color theme="0"/>
        </stop>
        <stop position="1">
          <color rgb="FF00B0F0"/>
        </stop>
      </gradientFill>
    </fill>
    <fill>
      <gradientFill degree="270">
        <stop position="0">
          <color theme="0"/>
        </stop>
        <stop position="1">
          <color rgb="FFFF66CC"/>
        </stop>
      </gradientFill>
    </fill>
  </fills>
  <borders count="9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dotted">
        <color rgb="FF000000"/>
      </left>
      <right style="dotted">
        <color rgb="FF000000"/>
      </right>
      <top style="dotted">
        <color rgb="FF000000"/>
      </top>
      <bottom style="dotted">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dotted">
        <color rgb="FF000000"/>
      </left>
      <right style="medium">
        <color indexed="64"/>
      </right>
      <top/>
      <bottom style="dotted">
        <color rgb="FF000000"/>
      </bottom>
      <diagonal/>
    </border>
    <border>
      <left style="medium">
        <color indexed="64"/>
      </left>
      <right style="dotted">
        <color rgb="FF000000"/>
      </right>
      <top style="dotted">
        <color rgb="FF000000"/>
      </top>
      <bottom style="dotted">
        <color rgb="FF000000"/>
      </bottom>
      <diagonal/>
    </border>
    <border>
      <left style="dotted">
        <color rgb="FF000000"/>
      </left>
      <right style="medium">
        <color indexed="64"/>
      </right>
      <top style="dotted">
        <color rgb="FF000000"/>
      </top>
      <bottom style="dotted">
        <color rgb="FF000000"/>
      </bottom>
      <diagonal/>
    </border>
    <border>
      <left style="medium">
        <color indexed="64"/>
      </left>
      <right style="dotted">
        <color rgb="FF000000"/>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otted">
        <color rgb="FF000000"/>
      </right>
      <top style="medium">
        <color indexed="64"/>
      </top>
      <bottom style="dotted">
        <color rgb="FF000000"/>
      </bottom>
      <diagonal/>
    </border>
    <border>
      <left style="dotted">
        <color rgb="FF000000"/>
      </left>
      <right style="dotted">
        <color rgb="FF000000"/>
      </right>
      <top style="medium">
        <color indexed="64"/>
      </top>
      <bottom style="dotted">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dotted">
        <color rgb="FF000000"/>
      </left>
      <right style="medium">
        <color indexed="64"/>
      </right>
      <top style="medium">
        <color indexed="64"/>
      </top>
      <bottom style="dotted">
        <color rgb="FF000000"/>
      </bottom>
      <diagonal/>
    </border>
    <border>
      <left style="dotted">
        <color rgb="FF000000"/>
      </left>
      <right style="medium">
        <color indexed="64"/>
      </right>
      <top/>
      <bottom style="medium">
        <color indexed="64"/>
      </bottom>
      <diagonal/>
    </border>
    <border>
      <left style="medium">
        <color indexed="64"/>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indexed="64"/>
      </right>
      <top style="dotted">
        <color rgb="FF000000"/>
      </top>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style="dotted">
        <color rgb="FF000000"/>
      </left>
      <right style="medium">
        <color indexed="64"/>
      </right>
      <top/>
      <bottom/>
      <diagonal/>
    </border>
    <border>
      <left/>
      <right/>
      <top/>
      <bottom style="thin">
        <color theme="4" tint="0.39997558519241921"/>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00B050"/>
      </left>
      <right/>
      <top style="thin">
        <color rgb="FF00B050"/>
      </top>
      <bottom style="thin">
        <color rgb="FF00B050"/>
      </bottom>
      <diagonal/>
    </border>
    <border>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FF66CC"/>
      </left>
      <right/>
      <top style="thin">
        <color rgb="FFFF66CC"/>
      </top>
      <bottom style="thin">
        <color rgb="FFFF66CC"/>
      </bottom>
      <diagonal/>
    </border>
    <border>
      <left/>
      <right/>
      <top style="thin">
        <color rgb="FFFF66CC"/>
      </top>
      <bottom style="thin">
        <color rgb="FFFF66CC"/>
      </bottom>
      <diagonal/>
    </border>
    <border>
      <left/>
      <right style="thin">
        <color rgb="FFFF66CC"/>
      </right>
      <top style="thin">
        <color rgb="FFFF66CC"/>
      </top>
      <bottom style="thin">
        <color rgb="FFFF66CC"/>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medium">
        <color indexed="64"/>
      </right>
      <top style="thin">
        <color indexed="64"/>
      </top>
      <bottom style="thin">
        <color rgb="FF000000"/>
      </bottom>
      <diagonal/>
    </border>
    <border>
      <left style="medium">
        <color indexed="64"/>
      </left>
      <right/>
      <top style="thin">
        <color indexed="64"/>
      </top>
      <bottom/>
      <diagonal/>
    </border>
    <border>
      <left style="thin">
        <color indexed="64"/>
      </left>
      <right/>
      <top style="thin">
        <color rgb="FF000000"/>
      </top>
      <bottom/>
      <diagonal/>
    </border>
    <border>
      <left style="thin">
        <color indexed="64"/>
      </left>
      <right style="dotted">
        <color rgb="FF000000"/>
      </right>
      <top style="medium">
        <color indexed="64"/>
      </top>
      <bottom style="dotted">
        <color rgb="FF000000"/>
      </bottom>
      <diagonal/>
    </border>
    <border>
      <left style="thin">
        <color indexed="64"/>
      </left>
      <right style="dotted">
        <color rgb="FF000000"/>
      </right>
      <top style="dotted">
        <color rgb="FF000000"/>
      </top>
      <bottom style="dotted">
        <color rgb="FF000000"/>
      </bottom>
      <diagonal/>
    </border>
    <border>
      <left style="thin">
        <color indexed="64"/>
      </left>
      <right style="dotted">
        <color rgb="FF000000"/>
      </right>
      <top style="dotted">
        <color rgb="FF000000"/>
      </top>
      <bottom/>
      <diagonal/>
    </border>
    <border>
      <left style="thin">
        <color indexed="64"/>
      </left>
      <right style="dotted">
        <color rgb="FF000000"/>
      </right>
      <top style="dotted">
        <color rgb="FF000000"/>
      </top>
      <bottom style="thin">
        <color indexed="64"/>
      </bottom>
      <diagonal/>
    </border>
    <border>
      <left style="dotted">
        <color rgb="FF000000"/>
      </left>
      <right style="dotted">
        <color rgb="FF000000"/>
      </right>
      <top style="dotted">
        <color rgb="FF000000"/>
      </top>
      <bottom style="thin">
        <color indexed="64"/>
      </bottom>
      <diagonal/>
    </border>
    <border>
      <left style="dotted">
        <color rgb="FF000000"/>
      </left>
      <right style="medium">
        <color indexed="64"/>
      </right>
      <top/>
      <bottom style="thin">
        <color indexed="64"/>
      </bottom>
      <diagonal/>
    </border>
    <border>
      <left style="medium">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right/>
      <top style="thin">
        <color theme="4" tint="0.39997558519241921"/>
      </top>
      <bottom/>
      <diagonal/>
    </border>
  </borders>
  <cellStyleXfs count="3">
    <xf numFmtId="0" fontId="0" fillId="0" borderId="0"/>
    <xf numFmtId="43" fontId="31" fillId="0" borderId="0" applyFont="0" applyFill="0" applyBorder="0" applyAlignment="0" applyProtection="0"/>
    <xf numFmtId="9" fontId="31" fillId="0" borderId="0" applyFont="0" applyFill="0" applyBorder="0" applyAlignment="0" applyProtection="0"/>
  </cellStyleXfs>
  <cellXfs count="751">
    <xf numFmtId="0" fontId="0" fillId="0" borderId="0" xfId="0"/>
    <xf numFmtId="0" fontId="0" fillId="0" borderId="0" xfId="0" applyAlignment="1">
      <alignment horizontal="center"/>
    </xf>
    <xf numFmtId="164" fontId="0" fillId="0" borderId="0" xfId="0" applyNumberFormat="1"/>
    <xf numFmtId="165" fontId="0" fillId="0" borderId="0" xfId="0" applyNumberFormat="1"/>
    <xf numFmtId="0" fontId="5" fillId="0" borderId="0" xfId="0" applyFont="1"/>
    <xf numFmtId="0" fontId="0" fillId="0" borderId="14" xfId="0" applyBorder="1"/>
    <xf numFmtId="0" fontId="0" fillId="0" borderId="0" xfId="0" applyAlignment="1">
      <alignment horizontal="left" vertical="center"/>
    </xf>
    <xf numFmtId="0" fontId="7" fillId="0" borderId="14" xfId="0" applyFont="1" applyBorder="1"/>
    <xf numFmtId="0" fontId="3" fillId="0" borderId="0" xfId="0" applyFont="1"/>
    <xf numFmtId="0" fontId="7" fillId="0" borderId="13" xfId="0" applyFont="1" applyBorder="1" applyAlignment="1">
      <alignment horizontal="left" vertical="center"/>
    </xf>
    <xf numFmtId="0" fontId="3" fillId="0" borderId="14" xfId="0" applyFont="1" applyBorder="1"/>
    <xf numFmtId="0" fontId="7" fillId="0" borderId="0" xfId="0" applyFont="1"/>
    <xf numFmtId="0" fontId="6" fillId="0" borderId="0" xfId="0" applyFont="1"/>
    <xf numFmtId="0" fontId="0" fillId="4" borderId="12" xfId="0" applyFill="1" applyBorder="1"/>
    <xf numFmtId="0" fontId="7" fillId="0" borderId="0" xfId="0" applyFont="1" applyAlignment="1">
      <alignment horizontal="center" vertical="center"/>
    </xf>
    <xf numFmtId="0" fontId="7" fillId="4" borderId="12" xfId="0" applyFont="1" applyFill="1" applyBorder="1" applyAlignment="1">
      <alignment horizontal="center" vertical="center"/>
    </xf>
    <xf numFmtId="0" fontId="8" fillId="0" borderId="0" xfId="0" applyFont="1" applyAlignment="1">
      <alignment horizontal="center" vertical="center"/>
    </xf>
    <xf numFmtId="0" fontId="7" fillId="0" borderId="0" xfId="0" applyFont="1" applyAlignment="1">
      <alignment vertical="center"/>
    </xf>
    <xf numFmtId="0" fontId="0" fillId="0" borderId="38" xfId="0" applyBorder="1"/>
    <xf numFmtId="0" fontId="0" fillId="0" borderId="39" xfId="0" applyBorder="1"/>
    <xf numFmtId="0" fontId="0" fillId="0" borderId="30" xfId="0" applyBorder="1"/>
    <xf numFmtId="0" fontId="7" fillId="0" borderId="0" xfId="0" applyFont="1" applyAlignment="1">
      <alignment horizontal="right" vertical="center"/>
    </xf>
    <xf numFmtId="0" fontId="0" fillId="0" borderId="40" xfId="0" applyBorder="1"/>
    <xf numFmtId="0" fontId="0" fillId="0" borderId="41" xfId="0" applyBorder="1"/>
    <xf numFmtId="0" fontId="0" fillId="0" borderId="42" xfId="0" applyBorder="1"/>
    <xf numFmtId="0" fontId="7" fillId="0" borderId="30" xfId="0" applyFont="1" applyBorder="1" applyAlignment="1">
      <alignment vertical="center"/>
    </xf>
    <xf numFmtId="0" fontId="9" fillId="0" borderId="0" xfId="0" applyFont="1"/>
    <xf numFmtId="0" fontId="10" fillId="0" borderId="0" xfId="0" applyFont="1"/>
    <xf numFmtId="0" fontId="10" fillId="0" borderId="0" xfId="0" applyFont="1" applyAlignment="1">
      <alignment horizontal="left" vertical="center"/>
    </xf>
    <xf numFmtId="0" fontId="11" fillId="0" borderId="0" xfId="0" applyFont="1" applyAlignment="1">
      <alignment horizontal="left" vertical="center"/>
    </xf>
    <xf numFmtId="0" fontId="10" fillId="0" borderId="0" xfId="0" applyFont="1" applyAlignment="1">
      <alignment wrapText="1"/>
    </xf>
    <xf numFmtId="0" fontId="13" fillId="0" borderId="0" xfId="0" applyFont="1" applyAlignment="1">
      <alignment wrapText="1"/>
    </xf>
    <xf numFmtId="0" fontId="14" fillId="0" borderId="0" xfId="0" applyFont="1"/>
    <xf numFmtId="0" fontId="10" fillId="9" borderId="9" xfId="0" applyFont="1" applyFill="1" applyBorder="1"/>
    <xf numFmtId="0" fontId="11" fillId="11" borderId="8" xfId="0" applyFont="1" applyFill="1" applyBorder="1" applyAlignment="1">
      <alignment horizontal="left" vertical="center"/>
    </xf>
    <xf numFmtId="0" fontId="10" fillId="11" borderId="9" xfId="0" applyFont="1" applyFill="1" applyBorder="1"/>
    <xf numFmtId="0" fontId="10" fillId="11" borderId="10" xfId="0" applyFont="1" applyFill="1" applyBorder="1"/>
    <xf numFmtId="0" fontId="10" fillId="11" borderId="1" xfId="0" applyFont="1" applyFill="1" applyBorder="1" applyAlignment="1">
      <alignment horizontal="left" vertical="center"/>
    </xf>
    <xf numFmtId="0" fontId="10" fillId="11" borderId="0" xfId="0" applyFont="1" applyFill="1"/>
    <xf numFmtId="0" fontId="10" fillId="11" borderId="2" xfId="0" applyFont="1" applyFill="1" applyBorder="1"/>
    <xf numFmtId="0" fontId="11" fillId="11" borderId="1" xfId="0" applyFont="1" applyFill="1" applyBorder="1" applyAlignment="1">
      <alignment horizontal="left" vertical="center"/>
    </xf>
    <xf numFmtId="0" fontId="11" fillId="11" borderId="3" xfId="0" applyFont="1" applyFill="1" applyBorder="1" applyAlignment="1">
      <alignment horizontal="left" vertical="center"/>
    </xf>
    <xf numFmtId="0" fontId="10" fillId="11" borderId="4" xfId="0" applyFont="1" applyFill="1" applyBorder="1"/>
    <xf numFmtId="0" fontId="16" fillId="0" borderId="43" xfId="0" applyFont="1" applyBorder="1"/>
    <xf numFmtId="0" fontId="16" fillId="0" borderId="44" xfId="0" applyFont="1" applyBorder="1"/>
    <xf numFmtId="0" fontId="15" fillId="0" borderId="0" xfId="0" applyFont="1"/>
    <xf numFmtId="0" fontId="11" fillId="10" borderId="8" xfId="0" applyFont="1" applyFill="1" applyBorder="1" applyAlignment="1">
      <alignment horizontal="left" vertical="center"/>
    </xf>
    <xf numFmtId="0" fontId="10" fillId="10" borderId="9" xfId="0" applyFont="1" applyFill="1" applyBorder="1"/>
    <xf numFmtId="0" fontId="10" fillId="10" borderId="10" xfId="0" applyFont="1" applyFill="1" applyBorder="1"/>
    <xf numFmtId="0" fontId="10" fillId="10" borderId="1" xfId="0" applyFont="1" applyFill="1" applyBorder="1" applyAlignment="1">
      <alignment horizontal="left" vertical="center"/>
    </xf>
    <xf numFmtId="0" fontId="10" fillId="10" borderId="0" xfId="0" applyFont="1" applyFill="1"/>
    <xf numFmtId="0" fontId="10" fillId="10" borderId="2" xfId="0" applyFont="1" applyFill="1" applyBorder="1"/>
    <xf numFmtId="0" fontId="11" fillId="10" borderId="1" xfId="0" applyFont="1" applyFill="1" applyBorder="1" applyAlignment="1">
      <alignment horizontal="left" vertical="center"/>
    </xf>
    <xf numFmtId="0" fontId="11" fillId="10" borderId="3" xfId="0" applyFont="1" applyFill="1" applyBorder="1" applyAlignment="1">
      <alignment horizontal="left" vertical="center"/>
    </xf>
    <xf numFmtId="0" fontId="10" fillId="10" borderId="4" xfId="0" applyFont="1" applyFill="1" applyBorder="1"/>
    <xf numFmtId="2" fontId="10" fillId="10" borderId="5" xfId="0" applyNumberFormat="1" applyFont="1" applyFill="1" applyBorder="1"/>
    <xf numFmtId="0" fontId="2" fillId="0" borderId="0" xfId="0" applyFont="1"/>
    <xf numFmtId="0" fontId="19" fillId="0" borderId="0" xfId="0" applyFont="1"/>
    <xf numFmtId="0" fontId="19" fillId="0" borderId="0" xfId="0" applyFont="1" applyAlignment="1">
      <alignment horizontal="center"/>
    </xf>
    <xf numFmtId="0" fontId="20" fillId="0" borderId="0" xfId="0" applyFont="1"/>
    <xf numFmtId="2" fontId="19" fillId="0" borderId="0" xfId="0" applyNumberFormat="1" applyFont="1" applyAlignment="1">
      <alignment horizontal="center"/>
    </xf>
    <xf numFmtId="2" fontId="19" fillId="0" borderId="0" xfId="0" applyNumberFormat="1" applyFont="1"/>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vertical="center" wrapText="1"/>
    </xf>
    <xf numFmtId="0" fontId="18" fillId="7" borderId="21" xfId="0" applyFont="1" applyFill="1" applyBorder="1" applyAlignment="1">
      <alignment horizontal="center" vertical="center"/>
    </xf>
    <xf numFmtId="0" fontId="18" fillId="7" borderId="11" xfId="0" applyFont="1" applyFill="1" applyBorder="1" applyAlignment="1">
      <alignment horizontal="center" vertical="center"/>
    </xf>
    <xf numFmtId="44" fontId="2" fillId="2" borderId="2" xfId="0" applyNumberFormat="1" applyFont="1" applyFill="1" applyBorder="1" applyAlignment="1">
      <alignment horizontal="center" vertical="center"/>
    </xf>
    <xf numFmtId="2" fontId="2" fillId="6" borderId="25" xfId="0" applyNumberFormat="1" applyFont="1" applyFill="1" applyBorder="1"/>
    <xf numFmtId="2" fontId="2" fillId="6" borderId="17" xfId="0" applyNumberFormat="1" applyFont="1" applyFill="1" applyBorder="1"/>
    <xf numFmtId="2" fontId="2" fillId="6" borderId="26" xfId="0" applyNumberFormat="1" applyFont="1" applyFill="1" applyBorder="1" applyAlignment="1">
      <alignment horizontal="center"/>
    </xf>
    <xf numFmtId="2" fontId="2" fillId="7" borderId="25" xfId="0" applyNumberFormat="1" applyFont="1" applyFill="1" applyBorder="1"/>
    <xf numFmtId="2" fontId="2" fillId="7" borderId="17" xfId="0" applyNumberFormat="1" applyFont="1" applyFill="1" applyBorder="1"/>
    <xf numFmtId="2" fontId="2" fillId="7" borderId="26" xfId="0" applyNumberFormat="1" applyFont="1" applyFill="1" applyBorder="1" applyAlignment="1">
      <alignment horizontal="center"/>
    </xf>
    <xf numFmtId="0" fontId="2" fillId="5" borderId="53"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23" xfId="0" applyFont="1" applyFill="1" applyBorder="1" applyAlignment="1">
      <alignment horizontal="center" vertical="center"/>
    </xf>
    <xf numFmtId="0" fontId="2" fillId="5" borderId="53" xfId="0" applyFont="1" applyFill="1" applyBorder="1" applyAlignment="1">
      <alignment horizontal="center"/>
    </xf>
    <xf numFmtId="0" fontId="2" fillId="5" borderId="12" xfId="0" applyFont="1" applyFill="1" applyBorder="1" applyAlignment="1">
      <alignment horizontal="center"/>
    </xf>
    <xf numFmtId="0" fontId="2" fillId="5" borderId="23" xfId="0" applyFont="1" applyFill="1" applyBorder="1" applyAlignment="1">
      <alignment horizontal="center"/>
    </xf>
    <xf numFmtId="2" fontId="2" fillId="7" borderId="27" xfId="0" applyNumberFormat="1" applyFont="1" applyFill="1" applyBorder="1"/>
    <xf numFmtId="2" fontId="2" fillId="7" borderId="28" xfId="0" applyNumberFormat="1" applyFont="1" applyFill="1" applyBorder="1"/>
    <xf numFmtId="2" fontId="2" fillId="7" borderId="29" xfId="0" applyNumberFormat="1" applyFont="1" applyFill="1" applyBorder="1" applyAlignment="1">
      <alignment horizontal="center"/>
    </xf>
    <xf numFmtId="0" fontId="2" fillId="5" borderId="54" xfId="0" applyFont="1" applyFill="1" applyBorder="1" applyAlignment="1">
      <alignment horizontal="center"/>
    </xf>
    <xf numFmtId="0" fontId="2" fillId="5" borderId="50" xfId="0" applyFont="1" applyFill="1" applyBorder="1" applyAlignment="1">
      <alignment horizontal="center"/>
    </xf>
    <xf numFmtId="0" fontId="2" fillId="5" borderId="51" xfId="0" applyFont="1" applyFill="1" applyBorder="1" applyAlignment="1">
      <alignment horizontal="center"/>
    </xf>
    <xf numFmtId="2" fontId="2" fillId="6" borderId="27" xfId="0" applyNumberFormat="1" applyFont="1" applyFill="1" applyBorder="1"/>
    <xf numFmtId="2" fontId="2" fillId="6" borderId="28" xfId="0" applyNumberFormat="1" applyFont="1" applyFill="1" applyBorder="1"/>
    <xf numFmtId="2" fontId="2" fillId="6" borderId="29" xfId="0" applyNumberFormat="1" applyFont="1" applyFill="1" applyBorder="1" applyAlignment="1">
      <alignment horizontal="center"/>
    </xf>
    <xf numFmtId="0" fontId="21" fillId="0" borderId="0" xfId="0" applyFont="1"/>
    <xf numFmtId="0" fontId="22" fillId="0" borderId="0" xfId="0" applyFont="1"/>
    <xf numFmtId="44" fontId="2" fillId="0" borderId="0" xfId="0" applyNumberFormat="1" applyFont="1" applyAlignment="1">
      <alignment horizontal="center" vertical="center"/>
    </xf>
    <xf numFmtId="2" fontId="2" fillId="0" borderId="0" xfId="0" applyNumberFormat="1" applyFont="1"/>
    <xf numFmtId="44" fontId="2" fillId="0" borderId="0" xfId="0" applyNumberFormat="1" applyFont="1"/>
    <xf numFmtId="0" fontId="18" fillId="7" borderId="51" xfId="0" applyFont="1" applyFill="1" applyBorder="1" applyAlignment="1">
      <alignment horizontal="center"/>
    </xf>
    <xf numFmtId="0" fontId="18" fillId="0" borderId="21" xfId="0" applyFont="1" applyBorder="1" applyAlignment="1">
      <alignment horizontal="center" vertical="center"/>
    </xf>
    <xf numFmtId="0" fontId="18" fillId="0" borderId="11" xfId="0" applyFont="1" applyBorder="1" applyAlignment="1">
      <alignment horizontal="center" vertical="center"/>
    </xf>
    <xf numFmtId="0" fontId="18" fillId="0" borderId="51" xfId="0" applyFont="1" applyBorder="1" applyAlignment="1">
      <alignment horizontal="center"/>
    </xf>
    <xf numFmtId="2" fontId="2" fillId="0" borderId="25" xfId="0" applyNumberFormat="1" applyFont="1" applyBorder="1"/>
    <xf numFmtId="2" fontId="2" fillId="0" borderId="17" xfId="0" applyNumberFormat="1" applyFont="1" applyBorder="1"/>
    <xf numFmtId="2" fontId="2" fillId="0" borderId="26" xfId="0" applyNumberFormat="1" applyFont="1" applyBorder="1" applyAlignment="1">
      <alignment horizontal="center"/>
    </xf>
    <xf numFmtId="2" fontId="2" fillId="0" borderId="27" xfId="0" applyNumberFormat="1" applyFont="1" applyBorder="1"/>
    <xf numFmtId="2" fontId="2" fillId="0" borderId="28" xfId="0" applyNumberFormat="1" applyFont="1" applyBorder="1"/>
    <xf numFmtId="2" fontId="2" fillId="0" borderId="29" xfId="0" applyNumberFormat="1" applyFont="1" applyBorder="1" applyAlignment="1">
      <alignment horizontal="center"/>
    </xf>
    <xf numFmtId="0" fontId="2" fillId="0" borderId="0" xfId="0" applyFont="1" applyAlignment="1">
      <alignment horizontal="center" vertical="center" textRotation="180"/>
    </xf>
    <xf numFmtId="0" fontId="2" fillId="0" borderId="0" xfId="0" applyFont="1" applyAlignment="1">
      <alignment horizontal="center" vertical="center" wrapText="1"/>
    </xf>
    <xf numFmtId="2" fontId="2" fillId="0" borderId="0" xfId="0" applyNumberFormat="1" applyFont="1" applyAlignment="1">
      <alignment horizontal="center"/>
    </xf>
    <xf numFmtId="2" fontId="2" fillId="3" borderId="1" xfId="0" applyNumberFormat="1" applyFont="1" applyFill="1" applyBorder="1" applyAlignment="1">
      <alignment horizontal="center" vertical="center"/>
    </xf>
    <xf numFmtId="2" fontId="2" fillId="3" borderId="2" xfId="0" applyNumberFormat="1" applyFont="1" applyFill="1" applyBorder="1" applyAlignment="1">
      <alignment horizontal="center" vertical="center"/>
    </xf>
    <xf numFmtId="0" fontId="18" fillId="6" borderId="21" xfId="0" applyFont="1" applyFill="1" applyBorder="1" applyAlignment="1">
      <alignment horizontal="center" vertical="center"/>
    </xf>
    <xf numFmtId="0" fontId="18" fillId="6" borderId="11" xfId="0" applyFont="1" applyFill="1" applyBorder="1" applyAlignment="1">
      <alignment horizontal="center" vertical="center"/>
    </xf>
    <xf numFmtId="0" fontId="18" fillId="6" borderId="51" xfId="0" applyFont="1" applyFill="1" applyBorder="1" applyAlignment="1">
      <alignment horizontal="center"/>
    </xf>
    <xf numFmtId="0" fontId="18" fillId="12" borderId="21" xfId="0" applyFont="1" applyFill="1" applyBorder="1" applyAlignment="1">
      <alignment horizontal="center" vertical="center"/>
    </xf>
    <xf numFmtId="0" fontId="18" fillId="12" borderId="11" xfId="0" applyFont="1" applyFill="1" applyBorder="1" applyAlignment="1">
      <alignment horizontal="center" vertical="center"/>
    </xf>
    <xf numFmtId="0" fontId="18" fillId="12" borderId="51" xfId="0" applyFont="1" applyFill="1" applyBorder="1" applyAlignment="1">
      <alignment horizontal="center"/>
    </xf>
    <xf numFmtId="2" fontId="2" fillId="12" borderId="25" xfId="0" applyNumberFormat="1" applyFont="1" applyFill="1" applyBorder="1"/>
    <xf numFmtId="2" fontId="2" fillId="12" borderId="17" xfId="0" applyNumberFormat="1" applyFont="1" applyFill="1" applyBorder="1"/>
    <xf numFmtId="2" fontId="2" fillId="12" borderId="26" xfId="0" applyNumberFormat="1" applyFont="1" applyFill="1" applyBorder="1" applyAlignment="1">
      <alignment horizontal="center"/>
    </xf>
    <xf numFmtId="2" fontId="2" fillId="12" borderId="27" xfId="0" applyNumberFormat="1" applyFont="1" applyFill="1" applyBorder="1"/>
    <xf numFmtId="2" fontId="2" fillId="12" borderId="28" xfId="0" applyNumberFormat="1" applyFont="1" applyFill="1" applyBorder="1"/>
    <xf numFmtId="2" fontId="2" fillId="12" borderId="29" xfId="0" applyNumberFormat="1" applyFont="1" applyFill="1" applyBorder="1" applyAlignment="1">
      <alignment horizontal="center"/>
    </xf>
    <xf numFmtId="0" fontId="18" fillId="13" borderId="21" xfId="0" applyFont="1" applyFill="1" applyBorder="1" applyAlignment="1">
      <alignment horizontal="center" vertical="center"/>
    </xf>
    <xf numFmtId="0" fontId="18" fillId="13" borderId="11" xfId="0" applyFont="1" applyFill="1" applyBorder="1" applyAlignment="1">
      <alignment horizontal="center" vertical="center"/>
    </xf>
    <xf numFmtId="0" fontId="18" fillId="13" borderId="51" xfId="0" applyFont="1" applyFill="1" applyBorder="1" applyAlignment="1">
      <alignment horizontal="center"/>
    </xf>
    <xf numFmtId="0" fontId="23" fillId="0" borderId="0" xfId="0" applyFont="1"/>
    <xf numFmtId="0" fontId="23" fillId="5" borderId="53" xfId="0" applyFont="1" applyFill="1" applyBorder="1" applyAlignment="1">
      <alignment horizontal="center"/>
    </xf>
    <xf numFmtId="0" fontId="23" fillId="5" borderId="12" xfId="0" applyFont="1" applyFill="1" applyBorder="1" applyAlignment="1">
      <alignment horizontal="center"/>
    </xf>
    <xf numFmtId="0" fontId="23" fillId="5" borderId="23" xfId="0" applyFont="1" applyFill="1" applyBorder="1" applyAlignment="1">
      <alignment horizontal="center"/>
    </xf>
    <xf numFmtId="44" fontId="23" fillId="2" borderId="2" xfId="0" applyNumberFormat="1" applyFont="1" applyFill="1" applyBorder="1" applyAlignment="1">
      <alignment horizontal="center" vertical="center"/>
    </xf>
    <xf numFmtId="44" fontId="23" fillId="0" borderId="0" xfId="0" applyNumberFormat="1" applyFont="1" applyAlignment="1">
      <alignment horizontal="center" vertical="center"/>
    </xf>
    <xf numFmtId="2" fontId="2" fillId="3" borderId="0" xfId="0" applyNumberFormat="1" applyFont="1" applyFill="1" applyAlignment="1">
      <alignment horizontal="center" vertical="center"/>
    </xf>
    <xf numFmtId="44" fontId="19" fillId="0" borderId="0" xfId="0" applyNumberFormat="1" applyFont="1"/>
    <xf numFmtId="0" fontId="1" fillId="0" borderId="0" xfId="0" applyFont="1"/>
    <xf numFmtId="0" fontId="1" fillId="0" borderId="0" xfId="0" applyFont="1" applyAlignment="1">
      <alignment horizontal="center"/>
    </xf>
    <xf numFmtId="2" fontId="1" fillId="0" borderId="0" xfId="0" applyNumberFormat="1" applyFont="1" applyAlignment="1">
      <alignment horizontal="center"/>
    </xf>
    <xf numFmtId="2" fontId="1" fillId="0" borderId="0" xfId="0" applyNumberFormat="1" applyFont="1"/>
    <xf numFmtId="2" fontId="2" fillId="8" borderId="55" xfId="0" applyNumberFormat="1" applyFont="1" applyFill="1" applyBorder="1" applyAlignment="1">
      <alignment horizontal="center"/>
    </xf>
    <xf numFmtId="2" fontId="2" fillId="12" borderId="1" xfId="0" applyNumberFormat="1" applyFont="1" applyFill="1" applyBorder="1" applyAlignment="1">
      <alignment horizontal="center"/>
    </xf>
    <xf numFmtId="2" fontId="2" fillId="12" borderId="2" xfId="0" applyNumberFormat="1" applyFont="1" applyFill="1" applyBorder="1" applyAlignment="1">
      <alignment horizontal="center"/>
    </xf>
    <xf numFmtId="2" fontId="2" fillId="15" borderId="1" xfId="0" applyNumberFormat="1" applyFont="1" applyFill="1" applyBorder="1" applyAlignment="1">
      <alignment horizontal="center"/>
    </xf>
    <xf numFmtId="2" fontId="2" fillId="15" borderId="2" xfId="0" applyNumberFormat="1" applyFont="1" applyFill="1" applyBorder="1" applyAlignment="1">
      <alignment horizontal="center"/>
    </xf>
    <xf numFmtId="2" fontId="2" fillId="0" borderId="1" xfId="0" applyNumberFormat="1" applyFont="1" applyBorder="1" applyAlignment="1">
      <alignment horizontal="center"/>
    </xf>
    <xf numFmtId="2" fontId="2" fillId="0" borderId="2" xfId="0" applyNumberFormat="1" applyFont="1" applyBorder="1" applyAlignment="1">
      <alignment horizontal="center"/>
    </xf>
    <xf numFmtId="2" fontId="20" fillId="0" borderId="0" xfId="0" applyNumberFormat="1" applyFont="1"/>
    <xf numFmtId="0" fontId="11" fillId="9" borderId="8" xfId="0" applyFont="1" applyFill="1" applyBorder="1" applyAlignment="1">
      <alignment horizontal="left" vertical="center"/>
    </xf>
    <xf numFmtId="0" fontId="10" fillId="9" borderId="10" xfId="0" applyFont="1" applyFill="1" applyBorder="1"/>
    <xf numFmtId="0" fontId="10" fillId="9" borderId="1" xfId="0" applyFont="1" applyFill="1" applyBorder="1" applyAlignment="1">
      <alignment horizontal="left" vertical="center"/>
    </xf>
    <xf numFmtId="0" fontId="10" fillId="9" borderId="2" xfId="0" applyFont="1" applyFill="1" applyBorder="1"/>
    <xf numFmtId="0" fontId="10" fillId="16" borderId="9" xfId="0" applyFont="1" applyFill="1" applyBorder="1" applyAlignment="1">
      <alignment vertical="center"/>
    </xf>
    <xf numFmtId="0" fontId="10" fillId="16" borderId="10" xfId="0" applyFont="1" applyFill="1" applyBorder="1" applyAlignment="1">
      <alignment vertical="center"/>
    </xf>
    <xf numFmtId="0" fontId="10" fillId="16" borderId="1" xfId="0" applyFont="1" applyFill="1" applyBorder="1" applyAlignment="1">
      <alignment vertical="center"/>
    </xf>
    <xf numFmtId="0" fontId="10" fillId="16" borderId="0" xfId="0" applyFont="1" applyFill="1" applyAlignment="1">
      <alignment vertical="center"/>
    </xf>
    <xf numFmtId="0" fontId="10" fillId="16" borderId="2" xfId="0" applyFont="1" applyFill="1" applyBorder="1" applyAlignment="1">
      <alignment vertical="center"/>
    </xf>
    <xf numFmtId="0" fontId="10" fillId="16" borderId="3" xfId="0" applyFont="1" applyFill="1" applyBorder="1" applyAlignment="1">
      <alignment vertical="center"/>
    </xf>
    <xf numFmtId="0" fontId="10" fillId="16" borderId="4" xfId="0" applyFont="1" applyFill="1" applyBorder="1" applyAlignment="1">
      <alignment vertical="center"/>
    </xf>
    <xf numFmtId="0" fontId="10" fillId="16" borderId="5" xfId="0" applyFont="1" applyFill="1" applyBorder="1" applyAlignment="1">
      <alignment vertical="center"/>
    </xf>
    <xf numFmtId="0" fontId="11" fillId="16" borderId="8" xfId="0" applyFont="1" applyFill="1" applyBorder="1" applyAlignment="1">
      <alignment vertical="center"/>
    </xf>
    <xf numFmtId="0" fontId="11" fillId="10" borderId="2" xfId="0" applyFont="1" applyFill="1" applyBorder="1" applyAlignment="1">
      <alignment horizontal="left"/>
    </xf>
    <xf numFmtId="0" fontId="11" fillId="11" borderId="2" xfId="0" applyFont="1" applyFill="1" applyBorder="1" applyAlignment="1">
      <alignment horizontal="left"/>
    </xf>
    <xf numFmtId="0" fontId="11" fillId="13" borderId="8" xfId="0" applyFont="1" applyFill="1" applyBorder="1" applyAlignment="1">
      <alignment horizontal="left" vertical="center"/>
    </xf>
    <xf numFmtId="0" fontId="10" fillId="13" borderId="9" xfId="0" applyFont="1" applyFill="1" applyBorder="1"/>
    <xf numFmtId="0" fontId="10" fillId="13" borderId="10" xfId="0" applyFont="1" applyFill="1" applyBorder="1"/>
    <xf numFmtId="0" fontId="10" fillId="13" borderId="1" xfId="0" applyFont="1" applyFill="1" applyBorder="1" applyAlignment="1">
      <alignment horizontal="left" vertical="center"/>
    </xf>
    <xf numFmtId="0" fontId="10" fillId="13" borderId="0" xfId="0" applyFont="1" applyFill="1"/>
    <xf numFmtId="0" fontId="10" fillId="13" borderId="2" xfId="0" applyFont="1" applyFill="1" applyBorder="1"/>
    <xf numFmtId="0" fontId="11" fillId="13" borderId="1" xfId="0" applyFont="1" applyFill="1" applyBorder="1" applyAlignment="1">
      <alignment horizontal="left" vertical="center"/>
    </xf>
    <xf numFmtId="0" fontId="11" fillId="13" borderId="2" xfId="0" applyFont="1" applyFill="1" applyBorder="1" applyAlignment="1">
      <alignment horizontal="left"/>
    </xf>
    <xf numFmtId="0" fontId="11" fillId="13" borderId="3" xfId="0" applyFont="1" applyFill="1" applyBorder="1" applyAlignment="1">
      <alignment horizontal="left" vertical="center"/>
    </xf>
    <xf numFmtId="0" fontId="10" fillId="13" borderId="4" xfId="0" applyFont="1" applyFill="1" applyBorder="1"/>
    <xf numFmtId="0" fontId="10" fillId="13" borderId="5" xfId="0" applyFont="1" applyFill="1" applyBorder="1"/>
    <xf numFmtId="0" fontId="24" fillId="16" borderId="0" xfId="0" applyFont="1" applyFill="1" applyAlignment="1">
      <alignment vertical="center"/>
    </xf>
    <xf numFmtId="0" fontId="17" fillId="9" borderId="1" xfId="0" applyFont="1" applyFill="1" applyBorder="1" applyAlignment="1">
      <alignment horizontal="left" vertical="center"/>
    </xf>
    <xf numFmtId="0" fontId="17" fillId="9" borderId="2" xfId="0" applyFont="1" applyFill="1" applyBorder="1" applyAlignment="1">
      <alignment horizontal="left"/>
    </xf>
    <xf numFmtId="0" fontId="25" fillId="0" borderId="0" xfId="0" applyFont="1"/>
    <xf numFmtId="0" fontId="17" fillId="16" borderId="1" xfId="0" applyFont="1" applyFill="1" applyBorder="1" applyAlignment="1">
      <alignment vertical="center"/>
    </xf>
    <xf numFmtId="2" fontId="17" fillId="16" borderId="2" xfId="0" applyNumberFormat="1" applyFont="1" applyFill="1" applyBorder="1" applyAlignment="1">
      <alignment horizontal="left" vertical="center"/>
    </xf>
    <xf numFmtId="0" fontId="20" fillId="16" borderId="56" xfId="0" applyFont="1" applyFill="1" applyBorder="1"/>
    <xf numFmtId="2" fontId="20" fillId="16" borderId="57" xfId="0" applyNumberFormat="1" applyFont="1" applyFill="1" applyBorder="1"/>
    <xf numFmtId="0" fontId="20" fillId="16" borderId="36" xfId="0" applyFont="1" applyFill="1" applyBorder="1"/>
    <xf numFmtId="2" fontId="20" fillId="16" borderId="37" xfId="0" applyNumberFormat="1" applyFont="1" applyFill="1" applyBorder="1"/>
    <xf numFmtId="0" fontId="20" fillId="2" borderId="56" xfId="0" applyFont="1" applyFill="1" applyBorder="1"/>
    <xf numFmtId="0" fontId="20" fillId="2" borderId="57" xfId="0" applyFont="1" applyFill="1" applyBorder="1"/>
    <xf numFmtId="0" fontId="20" fillId="9" borderId="56" xfId="0" applyFont="1" applyFill="1" applyBorder="1"/>
    <xf numFmtId="0" fontId="20" fillId="9" borderId="57" xfId="0" applyFont="1" applyFill="1" applyBorder="1"/>
    <xf numFmtId="0" fontId="17" fillId="9" borderId="3" xfId="0" applyFont="1" applyFill="1" applyBorder="1" applyAlignment="1">
      <alignment horizontal="left" vertical="center"/>
    </xf>
    <xf numFmtId="0" fontId="15" fillId="9" borderId="4" xfId="0" applyFont="1" applyFill="1" applyBorder="1"/>
    <xf numFmtId="2" fontId="15" fillId="9" borderId="5" xfId="0" applyNumberFormat="1" applyFont="1" applyFill="1" applyBorder="1"/>
    <xf numFmtId="0" fontId="15" fillId="0" borderId="0" xfId="0" applyFont="1" applyAlignment="1">
      <alignment horizontal="left" vertical="center"/>
    </xf>
    <xf numFmtId="0" fontId="20" fillId="10" borderId="56" xfId="0" applyFont="1" applyFill="1" applyBorder="1"/>
    <xf numFmtId="0" fontId="20" fillId="10" borderId="57" xfId="0" applyFont="1" applyFill="1" applyBorder="1"/>
    <xf numFmtId="0" fontId="20" fillId="10" borderId="36" xfId="0" applyFont="1" applyFill="1" applyBorder="1"/>
    <xf numFmtId="0" fontId="20" fillId="10" borderId="37" xfId="0" applyFont="1" applyFill="1" applyBorder="1"/>
    <xf numFmtId="0" fontId="20" fillId="17" borderId="56" xfId="0" applyFont="1" applyFill="1" applyBorder="1"/>
    <xf numFmtId="0" fontId="20" fillId="17" borderId="57" xfId="0" applyFont="1" applyFill="1" applyBorder="1"/>
    <xf numFmtId="0" fontId="20" fillId="17" borderId="36" xfId="0" applyFont="1" applyFill="1" applyBorder="1"/>
    <xf numFmtId="0" fontId="20" fillId="17" borderId="37" xfId="0" applyFont="1" applyFill="1" applyBorder="1"/>
    <xf numFmtId="0" fontId="20" fillId="2" borderId="36" xfId="0" applyFont="1" applyFill="1" applyBorder="1"/>
    <xf numFmtId="0" fontId="20" fillId="2" borderId="37" xfId="0" applyFont="1" applyFill="1" applyBorder="1"/>
    <xf numFmtId="0" fontId="26" fillId="0" borderId="0" xfId="0" applyFont="1"/>
    <xf numFmtId="0" fontId="20" fillId="18" borderId="56" xfId="0" applyFont="1" applyFill="1" applyBorder="1"/>
    <xf numFmtId="0" fontId="20" fillId="18" borderId="57" xfId="0" applyFont="1" applyFill="1" applyBorder="1"/>
    <xf numFmtId="0" fontId="20" fillId="18" borderId="36" xfId="0" applyFont="1" applyFill="1" applyBorder="1"/>
    <xf numFmtId="0" fontId="20" fillId="18" borderId="37" xfId="0" applyFont="1" applyFill="1" applyBorder="1"/>
    <xf numFmtId="0" fontId="0" fillId="0" borderId="4" xfId="0" applyBorder="1"/>
    <xf numFmtId="44" fontId="2" fillId="2" borderId="5" xfId="0" applyNumberFormat="1" applyFont="1" applyFill="1" applyBorder="1" applyAlignment="1">
      <alignment horizontal="center" vertical="center"/>
    </xf>
    <xf numFmtId="2" fontId="10" fillId="11" borderId="5" xfId="0" applyNumberFormat="1" applyFont="1" applyFill="1" applyBorder="1"/>
    <xf numFmtId="0" fontId="10" fillId="9" borderId="0" xfId="0" applyFont="1" applyFill="1"/>
    <xf numFmtId="0" fontId="15" fillId="9" borderId="0" xfId="0" applyFont="1" applyFill="1"/>
    <xf numFmtId="0" fontId="11" fillId="19" borderId="8" xfId="0" applyFont="1" applyFill="1" applyBorder="1" applyAlignment="1">
      <alignment horizontal="left" vertical="center"/>
    </xf>
    <xf numFmtId="0" fontId="10" fillId="19" borderId="9" xfId="0" applyFont="1" applyFill="1" applyBorder="1"/>
    <xf numFmtId="0" fontId="10" fillId="19" borderId="10" xfId="0" applyFont="1" applyFill="1" applyBorder="1"/>
    <xf numFmtId="0" fontId="10" fillId="19" borderId="1" xfId="0" applyFont="1" applyFill="1" applyBorder="1" applyAlignment="1">
      <alignment horizontal="left" vertical="center"/>
    </xf>
    <xf numFmtId="0" fontId="10" fillId="19" borderId="0" xfId="0" applyFont="1" applyFill="1"/>
    <xf numFmtId="0" fontId="10" fillId="19" borderId="2" xfId="0" applyFont="1" applyFill="1" applyBorder="1"/>
    <xf numFmtId="0" fontId="17" fillId="19" borderId="1" xfId="0" applyFont="1" applyFill="1" applyBorder="1" applyAlignment="1">
      <alignment horizontal="left" vertical="center"/>
    </xf>
    <xf numFmtId="0" fontId="15" fillId="19" borderId="0" xfId="0" applyFont="1" applyFill="1"/>
    <xf numFmtId="0" fontId="17" fillId="19" borderId="2" xfId="0" applyFont="1" applyFill="1" applyBorder="1" applyAlignment="1">
      <alignment horizontal="left"/>
    </xf>
    <xf numFmtId="0" fontId="17" fillId="19" borderId="3" xfId="0" applyFont="1" applyFill="1" applyBorder="1" applyAlignment="1">
      <alignment horizontal="left" vertical="center"/>
    </xf>
    <xf numFmtId="0" fontId="15" fillId="19" borderId="4" xfId="0" applyFont="1" applyFill="1" applyBorder="1"/>
    <xf numFmtId="2" fontId="15" fillId="19" borderId="5" xfId="0" applyNumberFormat="1" applyFont="1" applyFill="1" applyBorder="1"/>
    <xf numFmtId="0" fontId="11" fillId="19" borderId="1" xfId="0" applyFont="1" applyFill="1" applyBorder="1" applyAlignment="1">
      <alignment horizontal="left" vertical="center"/>
    </xf>
    <xf numFmtId="0" fontId="11" fillId="19" borderId="2" xfId="0" applyFont="1" applyFill="1" applyBorder="1" applyAlignment="1">
      <alignment horizontal="left"/>
    </xf>
    <xf numFmtId="0" fontId="11" fillId="19" borderId="3" xfId="0" applyFont="1" applyFill="1" applyBorder="1" applyAlignment="1">
      <alignment horizontal="left" vertical="center"/>
    </xf>
    <xf numFmtId="0" fontId="10" fillId="19" borderId="4" xfId="0" applyFont="1" applyFill="1" applyBorder="1"/>
    <xf numFmtId="2" fontId="10" fillId="19" borderId="5" xfId="0" applyNumberFormat="1" applyFont="1" applyFill="1" applyBorder="1"/>
    <xf numFmtId="0" fontId="12" fillId="20" borderId="8" xfId="0" applyFont="1" applyFill="1" applyBorder="1" applyAlignment="1">
      <alignment horizontal="left" vertical="center"/>
    </xf>
    <xf numFmtId="0" fontId="11" fillId="0" borderId="0" xfId="0" applyFont="1" applyAlignment="1">
      <alignment horizontal="left"/>
    </xf>
    <xf numFmtId="0" fontId="11" fillId="14" borderId="8" xfId="0" applyFont="1" applyFill="1" applyBorder="1" applyAlignment="1">
      <alignment vertical="center"/>
    </xf>
    <xf numFmtId="0" fontId="10" fillId="14" borderId="9" xfId="0" applyFont="1" applyFill="1" applyBorder="1" applyAlignment="1">
      <alignment vertical="center"/>
    </xf>
    <xf numFmtId="0" fontId="10" fillId="14" borderId="10" xfId="0" applyFont="1" applyFill="1" applyBorder="1" applyAlignment="1">
      <alignment vertical="center"/>
    </xf>
    <xf numFmtId="0" fontId="10" fillId="14" borderId="1" xfId="0" applyFont="1" applyFill="1" applyBorder="1" applyAlignment="1">
      <alignment vertical="center"/>
    </xf>
    <xf numFmtId="0" fontId="10" fillId="14" borderId="0" xfId="0" applyFont="1" applyFill="1" applyAlignment="1">
      <alignment vertical="center"/>
    </xf>
    <xf numFmtId="0" fontId="10" fillId="14" borderId="2" xfId="0" applyFont="1" applyFill="1" applyBorder="1" applyAlignment="1">
      <alignment vertical="center"/>
    </xf>
    <xf numFmtId="0" fontId="17" fillId="14" borderId="1" xfId="0" applyFont="1" applyFill="1" applyBorder="1" applyAlignment="1">
      <alignment vertical="center"/>
    </xf>
    <xf numFmtId="0" fontId="24" fillId="14" borderId="0" xfId="0" applyFont="1" applyFill="1" applyAlignment="1">
      <alignment vertical="center"/>
    </xf>
    <xf numFmtId="0" fontId="10" fillId="14" borderId="3" xfId="0" applyFont="1" applyFill="1" applyBorder="1" applyAlignment="1">
      <alignment vertical="center"/>
    </xf>
    <xf numFmtId="0" fontId="10" fillId="14" borderId="4" xfId="0" applyFont="1" applyFill="1" applyBorder="1" applyAlignment="1">
      <alignment vertical="center"/>
    </xf>
    <xf numFmtId="0" fontId="10" fillId="14" borderId="5" xfId="0" applyFont="1" applyFill="1" applyBorder="1" applyAlignment="1">
      <alignment vertical="center"/>
    </xf>
    <xf numFmtId="0" fontId="12" fillId="0" borderId="0" xfId="0" applyFont="1" applyAlignment="1">
      <alignment horizontal="left" vertical="center"/>
    </xf>
    <xf numFmtId="2" fontId="10" fillId="0" borderId="0" xfId="0" applyNumberFormat="1" applyFont="1"/>
    <xf numFmtId="1"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167" fontId="0" fillId="0" borderId="0" xfId="0" applyNumberFormat="1"/>
    <xf numFmtId="164" fontId="28" fillId="0" borderId="0" xfId="0" applyNumberFormat="1" applyFont="1" applyAlignment="1">
      <alignment horizontal="center"/>
    </xf>
    <xf numFmtId="0" fontId="28" fillId="0" borderId="0" xfId="0" applyFont="1" applyAlignment="1">
      <alignment horizontal="center"/>
    </xf>
    <xf numFmtId="0" fontId="28" fillId="0" borderId="0" xfId="0" applyFont="1"/>
    <xf numFmtId="0" fontId="27" fillId="21" borderId="43" xfId="0" applyFont="1" applyFill="1" applyBorder="1" applyAlignment="1">
      <alignment horizontal="center"/>
    </xf>
    <xf numFmtId="0" fontId="27" fillId="21" borderId="44" xfId="0" applyFont="1" applyFill="1" applyBorder="1" applyAlignment="1">
      <alignment horizontal="center"/>
    </xf>
    <xf numFmtId="0" fontId="27" fillId="21" borderId="45" xfId="0" applyFont="1" applyFill="1" applyBorder="1" applyAlignment="1">
      <alignment horizontal="center"/>
    </xf>
    <xf numFmtId="0" fontId="27" fillId="21" borderId="58" xfId="0" applyFont="1" applyFill="1" applyBorder="1" applyAlignment="1">
      <alignment horizontal="center"/>
    </xf>
    <xf numFmtId="0" fontId="27" fillId="21" borderId="3" xfId="0" applyFont="1" applyFill="1" applyBorder="1" applyAlignment="1">
      <alignment horizontal="center"/>
    </xf>
    <xf numFmtId="0" fontId="27" fillId="21" borderId="4" xfId="0" applyFont="1" applyFill="1" applyBorder="1" applyAlignment="1">
      <alignment horizontal="center"/>
    </xf>
    <xf numFmtId="0" fontId="27" fillId="21" borderId="5" xfId="0" applyFont="1" applyFill="1"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1" fontId="0" fillId="0" borderId="44" xfId="0" applyNumberFormat="1" applyBorder="1" applyAlignment="1">
      <alignment horizontal="center"/>
    </xf>
    <xf numFmtId="167" fontId="0" fillId="0" borderId="44" xfId="0" applyNumberFormat="1" applyBorder="1" applyAlignment="1">
      <alignment horizontal="center"/>
    </xf>
    <xf numFmtId="167" fontId="0" fillId="0" borderId="45" xfId="0" applyNumberFormat="1" applyBorder="1" applyAlignment="1">
      <alignment horizontal="center"/>
    </xf>
    <xf numFmtId="168" fontId="2" fillId="8" borderId="55" xfId="0" applyNumberFormat="1" applyFont="1" applyFill="1" applyBorder="1" applyAlignment="1">
      <alignment horizontal="center"/>
    </xf>
    <xf numFmtId="1" fontId="2" fillId="3" borderId="55" xfId="0" applyNumberFormat="1" applyFont="1" applyFill="1" applyBorder="1" applyAlignment="1">
      <alignment horizontal="center" vertical="center"/>
    </xf>
    <xf numFmtId="0" fontId="0" fillId="0" borderId="0" xfId="0" applyAlignment="1">
      <alignment horizontal="left"/>
    </xf>
    <xf numFmtId="1" fontId="0" fillId="0" borderId="0" xfId="0" applyNumberFormat="1"/>
    <xf numFmtId="16" fontId="0" fillId="0" borderId="0" xfId="0" applyNumberFormat="1"/>
    <xf numFmtId="0" fontId="17" fillId="9" borderId="0" xfId="0" applyFont="1" applyFill="1"/>
    <xf numFmtId="0" fontId="11" fillId="10" borderId="0" xfId="0" applyFont="1" applyFill="1"/>
    <xf numFmtId="2" fontId="11" fillId="11" borderId="0" xfId="0" applyNumberFormat="1" applyFont="1" applyFill="1"/>
    <xf numFmtId="2" fontId="11" fillId="13" borderId="0" xfId="0" applyNumberFormat="1" applyFont="1" applyFill="1"/>
    <xf numFmtId="2" fontId="17" fillId="19" borderId="0" xfId="0" applyNumberFormat="1" applyFont="1" applyFill="1"/>
    <xf numFmtId="0" fontId="17" fillId="19" borderId="0" xfId="0" applyFont="1" applyFill="1"/>
    <xf numFmtId="0" fontId="11" fillId="19" borderId="0" xfId="0" applyFont="1" applyFill="1"/>
    <xf numFmtId="2" fontId="11" fillId="19" borderId="0" xfId="0" applyNumberFormat="1" applyFont="1" applyFill="1"/>
    <xf numFmtId="0" fontId="17" fillId="14" borderId="0" xfId="0" applyFont="1" applyFill="1" applyAlignment="1">
      <alignment vertical="center"/>
    </xf>
    <xf numFmtId="1" fontId="17" fillId="14" borderId="2" xfId="0" applyNumberFormat="1" applyFont="1" applyFill="1" applyBorder="1" applyAlignment="1">
      <alignment horizontal="left" vertical="center"/>
    </xf>
    <xf numFmtId="16" fontId="11" fillId="0" borderId="0" xfId="0" applyNumberFormat="1" applyFont="1" applyAlignment="1">
      <alignment horizontal="left"/>
    </xf>
    <xf numFmtId="2" fontId="2" fillId="0" borderId="24" xfId="0" applyNumberFormat="1" applyFont="1" applyBorder="1" applyAlignment="1">
      <alignment horizontal="center"/>
    </xf>
    <xf numFmtId="2" fontId="2" fillId="0" borderId="60" xfId="0" applyNumberFormat="1" applyFont="1" applyBorder="1" applyAlignment="1">
      <alignment horizontal="center"/>
    </xf>
    <xf numFmtId="2" fontId="23" fillId="6" borderId="25" xfId="0" applyNumberFormat="1" applyFont="1" applyFill="1" applyBorder="1"/>
    <xf numFmtId="2" fontId="23" fillId="6" borderId="17" xfId="0" applyNumberFormat="1" applyFont="1" applyFill="1" applyBorder="1"/>
    <xf numFmtId="2" fontId="23" fillId="6" borderId="26" xfId="0" applyNumberFormat="1" applyFont="1" applyFill="1" applyBorder="1" applyAlignment="1">
      <alignment horizontal="center"/>
    </xf>
    <xf numFmtId="2" fontId="1" fillId="6" borderId="46" xfId="0" applyNumberFormat="1" applyFont="1" applyFill="1" applyBorder="1"/>
    <xf numFmtId="2" fontId="1" fillId="6" borderId="47" xfId="0" applyNumberFormat="1" applyFont="1" applyFill="1" applyBorder="1"/>
    <xf numFmtId="2" fontId="1" fillId="6" borderId="24" xfId="0" applyNumberFormat="1" applyFont="1" applyFill="1" applyBorder="1" applyAlignment="1">
      <alignment horizontal="center"/>
    </xf>
    <xf numFmtId="2" fontId="1" fillId="6" borderId="25" xfId="0" applyNumberFormat="1" applyFont="1" applyFill="1" applyBorder="1"/>
    <xf numFmtId="2" fontId="1" fillId="6" borderId="17" xfId="0" applyNumberFormat="1" applyFont="1" applyFill="1" applyBorder="1"/>
    <xf numFmtId="2" fontId="1" fillId="6" borderId="26" xfId="0" applyNumberFormat="1" applyFont="1" applyFill="1" applyBorder="1" applyAlignment="1">
      <alignment horizontal="center"/>
    </xf>
    <xf numFmtId="2" fontId="1" fillId="6" borderId="27" xfId="0" applyNumberFormat="1" applyFont="1" applyFill="1" applyBorder="1"/>
    <xf numFmtId="2" fontId="1" fillId="6" borderId="28" xfId="0" applyNumberFormat="1" applyFont="1" applyFill="1" applyBorder="1"/>
    <xf numFmtId="2" fontId="1" fillId="6" borderId="29" xfId="0" applyNumberFormat="1" applyFont="1" applyFill="1" applyBorder="1" applyAlignment="1">
      <alignment horizontal="center"/>
    </xf>
    <xf numFmtId="44" fontId="1" fillId="0" borderId="0" xfId="0" applyNumberFormat="1" applyFont="1"/>
    <xf numFmtId="2" fontId="2" fillId="7" borderId="61" xfId="0" applyNumberFormat="1" applyFont="1" applyFill="1" applyBorder="1"/>
    <xf numFmtId="2" fontId="2" fillId="7" borderId="62" xfId="0" applyNumberFormat="1" applyFont="1" applyFill="1" applyBorder="1"/>
    <xf numFmtId="2" fontId="2" fillId="7" borderId="63" xfId="0" applyNumberFormat="1" applyFont="1" applyFill="1" applyBorder="1" applyAlignment="1">
      <alignment horizontal="center"/>
    </xf>
    <xf numFmtId="0" fontId="2" fillId="5" borderId="64" xfId="0" applyFont="1" applyFill="1" applyBorder="1" applyAlignment="1">
      <alignment horizontal="center"/>
    </xf>
    <xf numFmtId="0" fontId="2" fillId="5" borderId="65" xfId="0" applyFont="1" applyFill="1" applyBorder="1" applyAlignment="1">
      <alignment horizontal="center"/>
    </xf>
    <xf numFmtId="0" fontId="2" fillId="5" borderId="66" xfId="0" applyFont="1" applyFill="1" applyBorder="1" applyAlignment="1">
      <alignment horizontal="center"/>
    </xf>
    <xf numFmtId="2" fontId="2" fillId="0" borderId="61" xfId="0" applyNumberFormat="1" applyFont="1" applyBorder="1"/>
    <xf numFmtId="2" fontId="2" fillId="0" borderId="62" xfId="0" applyNumberFormat="1" applyFont="1" applyBorder="1"/>
    <xf numFmtId="2" fontId="2" fillId="0" borderId="63" xfId="0" applyNumberFormat="1" applyFont="1" applyBorder="1" applyAlignment="1">
      <alignment horizontal="center"/>
    </xf>
    <xf numFmtId="2" fontId="2" fillId="0" borderId="67" xfId="0" applyNumberFormat="1" applyFont="1" applyBorder="1" applyAlignment="1">
      <alignment horizontal="center"/>
    </xf>
    <xf numFmtId="2" fontId="2" fillId="12" borderId="61" xfId="0" applyNumberFormat="1" applyFont="1" applyFill="1" applyBorder="1"/>
    <xf numFmtId="2" fontId="2" fillId="12" borderId="62" xfId="0" applyNumberFormat="1" applyFont="1" applyFill="1" applyBorder="1"/>
    <xf numFmtId="2" fontId="2" fillId="12" borderId="63" xfId="0" applyNumberFormat="1" applyFont="1" applyFill="1" applyBorder="1" applyAlignment="1">
      <alignment horizontal="center"/>
    </xf>
    <xf numFmtId="2" fontId="2" fillId="6" borderId="61" xfId="0" applyNumberFormat="1" applyFont="1" applyFill="1" applyBorder="1"/>
    <xf numFmtId="2" fontId="2" fillId="6" borderId="62" xfId="0" applyNumberFormat="1" applyFont="1" applyFill="1" applyBorder="1"/>
    <xf numFmtId="2" fontId="2" fillId="6" borderId="63" xfId="0" applyNumberFormat="1" applyFont="1" applyFill="1" applyBorder="1" applyAlignment="1">
      <alignment horizontal="center"/>
    </xf>
    <xf numFmtId="2" fontId="1" fillId="6" borderId="61" xfId="0" applyNumberFormat="1" applyFont="1" applyFill="1" applyBorder="1"/>
    <xf numFmtId="2" fontId="1" fillId="6" borderId="62" xfId="0" applyNumberFormat="1" applyFont="1" applyFill="1" applyBorder="1"/>
    <xf numFmtId="2" fontId="1" fillId="6" borderId="63" xfId="0" applyNumberFormat="1" applyFont="1" applyFill="1" applyBorder="1" applyAlignment="1">
      <alignment horizontal="center"/>
    </xf>
    <xf numFmtId="2" fontId="2" fillId="0" borderId="0" xfId="0" applyNumberFormat="1" applyFont="1" applyAlignment="1">
      <alignment horizontal="center" vertical="center"/>
    </xf>
    <xf numFmtId="1" fontId="2" fillId="0" borderId="0" xfId="0" applyNumberFormat="1" applyFont="1"/>
    <xf numFmtId="1" fontId="2" fillId="0" borderId="0" xfId="0" applyNumberFormat="1" applyFont="1" applyAlignment="1">
      <alignment horizontal="center"/>
    </xf>
    <xf numFmtId="0" fontId="20" fillId="16" borderId="34" xfId="0" applyFont="1" applyFill="1" applyBorder="1"/>
    <xf numFmtId="2" fontId="20" fillId="16" borderId="35" xfId="0" applyNumberFormat="1" applyFont="1" applyFill="1" applyBorder="1"/>
    <xf numFmtId="0" fontId="20" fillId="10" borderId="34" xfId="0" applyFont="1" applyFill="1" applyBorder="1"/>
    <xf numFmtId="0" fontId="20" fillId="10" borderId="35" xfId="0" applyFont="1" applyFill="1" applyBorder="1"/>
    <xf numFmtId="0" fontId="20" fillId="13" borderId="56" xfId="0" applyFont="1" applyFill="1" applyBorder="1"/>
    <xf numFmtId="0" fontId="20" fillId="13" borderId="57" xfId="0" applyFont="1" applyFill="1" applyBorder="1"/>
    <xf numFmtId="0" fontId="20" fillId="13" borderId="36" xfId="0" applyFont="1" applyFill="1" applyBorder="1"/>
    <xf numFmtId="0" fontId="20" fillId="13" borderId="37" xfId="0" applyFont="1" applyFill="1" applyBorder="1"/>
    <xf numFmtId="0" fontId="20" fillId="13" borderId="0" xfId="0" applyFont="1" applyFill="1"/>
    <xf numFmtId="0" fontId="18" fillId="2" borderId="56" xfId="0" applyFont="1" applyFill="1" applyBorder="1"/>
    <xf numFmtId="0" fontId="18" fillId="2" borderId="36" xfId="0" applyFont="1" applyFill="1" applyBorder="1"/>
    <xf numFmtId="0" fontId="18" fillId="2" borderId="57" xfId="0" applyFont="1" applyFill="1" applyBorder="1"/>
    <xf numFmtId="0" fontId="18" fillId="2" borderId="37" xfId="0" applyFont="1" applyFill="1" applyBorder="1"/>
    <xf numFmtId="0" fontId="20" fillId="9" borderId="36" xfId="0" applyFont="1" applyFill="1" applyBorder="1"/>
    <xf numFmtId="0" fontId="20" fillId="9" borderId="37" xfId="0" applyFont="1" applyFill="1" applyBorder="1"/>
    <xf numFmtId="2" fontId="1" fillId="0" borderId="46" xfId="0" applyNumberFormat="1" applyFont="1" applyBorder="1"/>
    <xf numFmtId="2" fontId="1" fillId="0" borderId="47" xfId="0" applyNumberFormat="1" applyFont="1" applyBorder="1"/>
    <xf numFmtId="2" fontId="1" fillId="0" borderId="24" xfId="0" applyNumberFormat="1" applyFont="1" applyBorder="1" applyAlignment="1">
      <alignment horizontal="center"/>
    </xf>
    <xf numFmtId="0" fontId="1" fillId="5" borderId="53" xfId="0" applyFont="1" applyFill="1" applyBorder="1" applyAlignment="1">
      <alignment horizontal="center"/>
    </xf>
    <xf numFmtId="0" fontId="1" fillId="5" borderId="12" xfId="0" applyFont="1" applyFill="1" applyBorder="1" applyAlignment="1">
      <alignment horizontal="center"/>
    </xf>
    <xf numFmtId="0" fontId="1" fillId="5" borderId="23" xfId="0" applyFont="1" applyFill="1" applyBorder="1" applyAlignment="1">
      <alignment horizontal="center"/>
    </xf>
    <xf numFmtId="44" fontId="1" fillId="2" borderId="2" xfId="0" applyNumberFormat="1" applyFont="1" applyFill="1" applyBorder="1" applyAlignment="1">
      <alignment horizontal="center" vertical="center"/>
    </xf>
    <xf numFmtId="0" fontId="1" fillId="5" borderId="64" xfId="0" applyFont="1" applyFill="1" applyBorder="1" applyAlignment="1">
      <alignment horizontal="center"/>
    </xf>
    <xf numFmtId="0" fontId="1" fillId="5" borderId="65" xfId="0" applyFont="1" applyFill="1" applyBorder="1" applyAlignment="1">
      <alignment horizontal="center"/>
    </xf>
    <xf numFmtId="0" fontId="1" fillId="5" borderId="66" xfId="0" applyFont="1" applyFill="1" applyBorder="1" applyAlignment="1">
      <alignment horizontal="center"/>
    </xf>
    <xf numFmtId="0" fontId="1" fillId="5" borderId="54" xfId="0" applyFont="1" applyFill="1" applyBorder="1" applyAlignment="1">
      <alignment horizontal="center"/>
    </xf>
    <xf numFmtId="0" fontId="1" fillId="5" borderId="50" xfId="0" applyFont="1" applyFill="1" applyBorder="1" applyAlignment="1">
      <alignment horizontal="center"/>
    </xf>
    <xf numFmtId="0" fontId="1" fillId="5" borderId="51" xfId="0" applyFont="1" applyFill="1" applyBorder="1" applyAlignment="1">
      <alignment horizontal="center"/>
    </xf>
    <xf numFmtId="44" fontId="1" fillId="2" borderId="5" xfId="0" applyNumberFormat="1" applyFont="1" applyFill="1" applyBorder="1" applyAlignment="1">
      <alignment horizontal="center" vertical="center"/>
    </xf>
    <xf numFmtId="44" fontId="0" fillId="0" borderId="0" xfId="0" applyNumberFormat="1" applyAlignment="1">
      <alignment horizontal="center"/>
    </xf>
    <xf numFmtId="1" fontId="30" fillId="24" borderId="0" xfId="0" applyNumberFormat="1" applyFont="1" applyFill="1" applyAlignment="1">
      <alignment horizontal="center"/>
    </xf>
    <xf numFmtId="44" fontId="30" fillId="24" borderId="0" xfId="0" applyNumberFormat="1" applyFont="1" applyFill="1" applyAlignment="1">
      <alignment horizontal="center"/>
    </xf>
    <xf numFmtId="167" fontId="30" fillId="24" borderId="0" xfId="0" applyNumberFormat="1" applyFont="1" applyFill="1"/>
    <xf numFmtId="44" fontId="30" fillId="24" borderId="0" xfId="0" applyNumberFormat="1" applyFont="1" applyFill="1"/>
    <xf numFmtId="0" fontId="30" fillId="24" borderId="0" xfId="0" applyFont="1" applyFill="1"/>
    <xf numFmtId="164" fontId="4" fillId="24" borderId="0" xfId="0" applyNumberFormat="1" applyFont="1" applyFill="1"/>
    <xf numFmtId="0" fontId="4" fillId="24" borderId="0" xfId="0" applyFont="1" applyFill="1" applyAlignment="1">
      <alignment horizontal="center"/>
    </xf>
    <xf numFmtId="164" fontId="4" fillId="0" borderId="0" xfId="0" applyNumberFormat="1" applyFont="1"/>
    <xf numFmtId="0" fontId="4" fillId="0" borderId="0" xfId="0" applyFont="1" applyAlignment="1">
      <alignment horizontal="center"/>
    </xf>
    <xf numFmtId="164" fontId="4" fillId="13" borderId="0" xfId="0" applyNumberFormat="1" applyFont="1" applyFill="1"/>
    <xf numFmtId="0" fontId="4" fillId="13" borderId="0" xfId="0" applyFont="1" applyFill="1" applyAlignment="1">
      <alignment horizontal="center"/>
    </xf>
    <xf numFmtId="1" fontId="0" fillId="13" borderId="0" xfId="0" applyNumberFormat="1" applyFill="1" applyAlignment="1">
      <alignment horizontal="center"/>
    </xf>
    <xf numFmtId="44" fontId="0" fillId="13" borderId="0" xfId="0" applyNumberFormat="1" applyFill="1"/>
    <xf numFmtId="0" fontId="0" fillId="13" borderId="0" xfId="0" applyFill="1"/>
    <xf numFmtId="167" fontId="0" fillId="13" borderId="0" xfId="0" applyNumberFormat="1" applyFill="1"/>
    <xf numFmtId="1" fontId="4" fillId="0" borderId="0" xfId="0" applyNumberFormat="1" applyFont="1" applyAlignment="1">
      <alignment horizontal="center"/>
    </xf>
    <xf numFmtId="44" fontId="4" fillId="0" borderId="0" xfId="0" applyNumberFormat="1" applyFont="1" applyAlignment="1">
      <alignment horizontal="center"/>
    </xf>
    <xf numFmtId="167" fontId="4" fillId="0" borderId="0" xfId="0" applyNumberFormat="1" applyFont="1"/>
    <xf numFmtId="169" fontId="0" fillId="0" borderId="0" xfId="1" applyNumberFormat="1" applyFont="1" applyAlignment="1">
      <alignment horizontal="center"/>
    </xf>
    <xf numFmtId="166" fontId="20" fillId="2" borderId="57" xfId="0" applyNumberFormat="1" applyFont="1" applyFill="1" applyBorder="1"/>
    <xf numFmtId="166" fontId="19" fillId="0" borderId="0" xfId="0" applyNumberFormat="1" applyFont="1" applyAlignment="1">
      <alignment horizontal="center"/>
    </xf>
    <xf numFmtId="1" fontId="20" fillId="2" borderId="57" xfId="0" applyNumberFormat="1" applyFont="1" applyFill="1" applyBorder="1"/>
    <xf numFmtId="1" fontId="11" fillId="19" borderId="2" xfId="0" applyNumberFormat="1" applyFont="1" applyFill="1" applyBorder="1" applyAlignment="1">
      <alignment horizontal="left"/>
    </xf>
    <xf numFmtId="0" fontId="32" fillId="25" borderId="68" xfId="0" applyFont="1" applyFill="1" applyBorder="1"/>
    <xf numFmtId="2" fontId="2" fillId="3" borderId="3" xfId="0" applyNumberFormat="1" applyFont="1" applyFill="1" applyBorder="1" applyAlignment="1">
      <alignment horizontal="center" vertical="center"/>
    </xf>
    <xf numFmtId="2" fontId="2" fillId="3" borderId="4" xfId="0" applyNumberFormat="1" applyFont="1" applyFill="1" applyBorder="1" applyAlignment="1">
      <alignment horizontal="center" vertical="center"/>
    </xf>
    <xf numFmtId="2" fontId="2" fillId="3" borderId="5" xfId="0" applyNumberFormat="1" applyFont="1" applyFill="1" applyBorder="1" applyAlignment="1">
      <alignment horizontal="center" vertical="center"/>
    </xf>
    <xf numFmtId="1" fontId="2" fillId="3" borderId="42" xfId="0" applyNumberFormat="1" applyFont="1" applyFill="1" applyBorder="1" applyAlignment="1">
      <alignment horizontal="center" vertical="center"/>
    </xf>
    <xf numFmtId="2" fontId="2" fillId="0" borderId="3" xfId="0" applyNumberFormat="1" applyFont="1" applyBorder="1" applyAlignment="1">
      <alignment horizontal="center"/>
    </xf>
    <xf numFmtId="2" fontId="2" fillId="0" borderId="4" xfId="0" applyNumberFormat="1" applyFont="1" applyBorder="1" applyAlignment="1">
      <alignment horizontal="center"/>
    </xf>
    <xf numFmtId="2" fontId="2" fillId="0" borderId="5" xfId="0" applyNumberFormat="1" applyFont="1" applyBorder="1" applyAlignment="1">
      <alignment horizontal="center"/>
    </xf>
    <xf numFmtId="2" fontId="2" fillId="8" borderId="42" xfId="0" applyNumberFormat="1" applyFont="1" applyFill="1" applyBorder="1" applyAlignment="1">
      <alignment horizontal="center"/>
    </xf>
    <xf numFmtId="167" fontId="28" fillId="0" borderId="0" xfId="0" applyNumberFormat="1" applyFont="1"/>
    <xf numFmtId="1" fontId="2" fillId="3" borderId="41" xfId="0" applyNumberFormat="1" applyFont="1" applyFill="1" applyBorder="1" applyAlignment="1">
      <alignment horizontal="center" vertical="center"/>
    </xf>
    <xf numFmtId="2" fontId="2" fillId="0" borderId="8" xfId="0" applyNumberFormat="1" applyFont="1" applyBorder="1" applyAlignment="1">
      <alignment horizontal="center"/>
    </xf>
    <xf numFmtId="2" fontId="2" fillId="0" borderId="9" xfId="0" applyNumberFormat="1" applyFont="1" applyBorder="1" applyAlignment="1">
      <alignment horizontal="center"/>
    </xf>
    <xf numFmtId="2" fontId="2" fillId="0" borderId="10" xfId="0" applyNumberFormat="1" applyFont="1" applyBorder="1" applyAlignment="1">
      <alignment horizontal="center"/>
    </xf>
    <xf numFmtId="167" fontId="0" fillId="26" borderId="0" xfId="0" applyNumberFormat="1" applyFill="1"/>
    <xf numFmtId="0" fontId="0" fillId="26" borderId="0" xfId="0" applyFill="1"/>
    <xf numFmtId="2" fontId="1" fillId="7" borderId="46" xfId="0" applyNumberFormat="1" applyFont="1" applyFill="1" applyBorder="1"/>
    <xf numFmtId="2" fontId="1" fillId="7" borderId="47" xfId="0" applyNumberFormat="1" applyFont="1" applyFill="1" applyBorder="1"/>
    <xf numFmtId="2" fontId="1" fillId="7" borderId="24" xfId="0" applyNumberFormat="1" applyFont="1" applyFill="1" applyBorder="1" applyAlignment="1">
      <alignment horizontal="center"/>
    </xf>
    <xf numFmtId="0" fontId="1" fillId="5" borderId="52" xfId="0" applyFont="1" applyFill="1" applyBorder="1" applyAlignment="1">
      <alignment horizontal="center" vertical="center"/>
    </xf>
    <xf numFmtId="0" fontId="1" fillId="5" borderId="48" xfId="0" applyFont="1" applyFill="1" applyBorder="1" applyAlignment="1">
      <alignment horizontal="center" vertical="center"/>
    </xf>
    <xf numFmtId="0" fontId="1" fillId="5" borderId="49" xfId="0" applyFont="1" applyFill="1" applyBorder="1" applyAlignment="1">
      <alignment horizontal="center" vertical="center"/>
    </xf>
    <xf numFmtId="2" fontId="1" fillId="0" borderId="59" xfId="0" applyNumberFormat="1" applyFont="1" applyBorder="1" applyAlignment="1">
      <alignment horizontal="center"/>
    </xf>
    <xf numFmtId="2" fontId="1" fillId="12" borderId="46" xfId="0" applyNumberFormat="1" applyFont="1" applyFill="1" applyBorder="1"/>
    <xf numFmtId="2" fontId="1" fillId="12" borderId="47" xfId="0" applyNumberFormat="1" applyFont="1" applyFill="1" applyBorder="1"/>
    <xf numFmtId="2" fontId="1" fillId="12" borderId="24" xfId="0" applyNumberFormat="1" applyFont="1" applyFill="1" applyBorder="1" applyAlignment="1">
      <alignment horizontal="center"/>
    </xf>
    <xf numFmtId="2" fontId="1" fillId="13" borderId="46" xfId="0" applyNumberFormat="1" applyFont="1" applyFill="1" applyBorder="1"/>
    <xf numFmtId="2" fontId="1" fillId="13" borderId="47" xfId="0" applyNumberFormat="1" applyFont="1" applyFill="1" applyBorder="1"/>
    <xf numFmtId="2" fontId="1" fillId="13" borderId="24" xfId="0" applyNumberFormat="1" applyFont="1" applyFill="1" applyBorder="1" applyAlignment="1">
      <alignment horizontal="center"/>
    </xf>
    <xf numFmtId="9" fontId="2" fillId="0" borderId="0" xfId="2" applyFont="1"/>
    <xf numFmtId="2" fontId="1" fillId="0" borderId="60" xfId="0" applyNumberFormat="1" applyFont="1" applyBorder="1" applyAlignment="1">
      <alignment horizontal="center"/>
    </xf>
    <xf numFmtId="2" fontId="1" fillId="7" borderId="26" xfId="0" applyNumberFormat="1" applyFont="1" applyFill="1" applyBorder="1" applyAlignment="1">
      <alignment horizontal="center"/>
    </xf>
    <xf numFmtId="0" fontId="18" fillId="22" borderId="11" xfId="0" applyFont="1" applyFill="1" applyBorder="1" applyAlignment="1">
      <alignment horizontal="center" vertical="center"/>
    </xf>
    <xf numFmtId="0" fontId="18" fillId="22" borderId="51" xfId="0" applyFont="1" applyFill="1" applyBorder="1" applyAlignment="1">
      <alignment horizontal="center"/>
    </xf>
    <xf numFmtId="2" fontId="1" fillId="22" borderId="47" xfId="0" applyNumberFormat="1" applyFont="1" applyFill="1" applyBorder="1"/>
    <xf numFmtId="2" fontId="1" fillId="22" borderId="24" xfId="0" applyNumberFormat="1" applyFont="1" applyFill="1" applyBorder="1" applyAlignment="1">
      <alignment horizontal="center"/>
    </xf>
    <xf numFmtId="2" fontId="2" fillId="22" borderId="17" xfId="0" applyNumberFormat="1" applyFont="1" applyFill="1" applyBorder="1"/>
    <xf numFmtId="2" fontId="2" fillId="22" borderId="62" xfId="0" applyNumberFormat="1" applyFont="1" applyFill="1" applyBorder="1"/>
    <xf numFmtId="2" fontId="1" fillId="13" borderId="25" xfId="0" applyNumberFormat="1" applyFont="1" applyFill="1" applyBorder="1"/>
    <xf numFmtId="2" fontId="1" fillId="13" borderId="17" xfId="0" applyNumberFormat="1" applyFont="1" applyFill="1" applyBorder="1"/>
    <xf numFmtId="2" fontId="1" fillId="13" borderId="26" xfId="0" applyNumberFormat="1" applyFont="1" applyFill="1" applyBorder="1" applyAlignment="1">
      <alignment horizontal="center"/>
    </xf>
    <xf numFmtId="2" fontId="1" fillId="13" borderId="61" xfId="0" applyNumberFormat="1" applyFont="1" applyFill="1" applyBorder="1"/>
    <xf numFmtId="2" fontId="1" fillId="13" borderId="62" xfId="0" applyNumberFormat="1" applyFont="1" applyFill="1" applyBorder="1"/>
    <xf numFmtId="2" fontId="1" fillId="13" borderId="63" xfId="0" applyNumberFormat="1" applyFont="1" applyFill="1" applyBorder="1" applyAlignment="1">
      <alignment horizontal="center"/>
    </xf>
    <xf numFmtId="2" fontId="1" fillId="13" borderId="27" xfId="0" applyNumberFormat="1" applyFont="1" applyFill="1" applyBorder="1"/>
    <xf numFmtId="2" fontId="1" fillId="13" borderId="28" xfId="0" applyNumberFormat="1" applyFont="1" applyFill="1" applyBorder="1"/>
    <xf numFmtId="2" fontId="1" fillId="13" borderId="29" xfId="0" applyNumberFormat="1" applyFont="1" applyFill="1" applyBorder="1" applyAlignment="1">
      <alignment horizontal="center"/>
    </xf>
    <xf numFmtId="2" fontId="23" fillId="7" borderId="25" xfId="0" applyNumberFormat="1" applyFont="1" applyFill="1" applyBorder="1"/>
    <xf numFmtId="2" fontId="23" fillId="7" borderId="17" xfId="0" applyNumberFormat="1" applyFont="1" applyFill="1" applyBorder="1"/>
    <xf numFmtId="2" fontId="23" fillId="7" borderId="26" xfId="0" applyNumberFormat="1" applyFont="1" applyFill="1" applyBorder="1" applyAlignment="1">
      <alignment horizontal="center"/>
    </xf>
    <xf numFmtId="44" fontId="0" fillId="0" borderId="0" xfId="0" applyNumberFormat="1"/>
    <xf numFmtId="2" fontId="0" fillId="5" borderId="0" xfId="0" applyNumberFormat="1" applyFill="1" applyAlignment="1">
      <alignment horizontal="center"/>
    </xf>
    <xf numFmtId="166" fontId="0" fillId="5" borderId="0" xfId="0" applyNumberFormat="1" applyFill="1" applyAlignment="1">
      <alignment horizontal="center"/>
    </xf>
    <xf numFmtId="16" fontId="4" fillId="0" borderId="0" xfId="0" applyNumberFormat="1" applyFont="1"/>
    <xf numFmtId="16" fontId="4" fillId="24" borderId="0" xfId="0" applyNumberFormat="1" applyFont="1" applyFill="1"/>
    <xf numFmtId="16" fontId="4" fillId="13" borderId="0" xfId="0" applyNumberFormat="1" applyFont="1" applyFill="1"/>
    <xf numFmtId="2" fontId="2" fillId="15" borderId="8" xfId="0" applyNumberFormat="1" applyFont="1" applyFill="1" applyBorder="1" applyAlignment="1">
      <alignment horizontal="center"/>
    </xf>
    <xf numFmtId="2" fontId="2" fillId="15" borderId="10" xfId="0" applyNumberFormat="1" applyFont="1" applyFill="1" applyBorder="1" applyAlignment="1">
      <alignment horizontal="center"/>
    </xf>
    <xf numFmtId="2" fontId="2" fillId="15" borderId="3" xfId="0" applyNumberFormat="1" applyFont="1" applyFill="1" applyBorder="1" applyAlignment="1">
      <alignment horizontal="center"/>
    </xf>
    <xf numFmtId="2" fontId="2" fillId="15" borderId="5" xfId="0" applyNumberFormat="1" applyFont="1" applyFill="1" applyBorder="1" applyAlignment="1">
      <alignment horizontal="center"/>
    </xf>
    <xf numFmtId="2" fontId="2" fillId="12" borderId="8" xfId="0" applyNumberFormat="1" applyFont="1" applyFill="1" applyBorder="1" applyAlignment="1">
      <alignment horizontal="center"/>
    </xf>
    <xf numFmtId="2" fontId="2" fillId="12" borderId="10" xfId="0" applyNumberFormat="1" applyFont="1" applyFill="1" applyBorder="1" applyAlignment="1">
      <alignment horizontal="center"/>
    </xf>
    <xf numFmtId="2" fontId="2" fillId="12" borderId="3" xfId="0" applyNumberFormat="1" applyFont="1" applyFill="1" applyBorder="1" applyAlignment="1">
      <alignment horizontal="center"/>
    </xf>
    <xf numFmtId="2" fontId="2" fillId="12" borderId="5" xfId="0" applyNumberFormat="1" applyFont="1" applyFill="1" applyBorder="1" applyAlignment="1">
      <alignment horizontal="center"/>
    </xf>
    <xf numFmtId="168" fontId="2" fillId="8" borderId="41" xfId="0" applyNumberFormat="1" applyFont="1" applyFill="1" applyBorder="1" applyAlignment="1">
      <alignment horizontal="center"/>
    </xf>
    <xf numFmtId="168" fontId="2" fillId="8" borderId="42" xfId="0" applyNumberFormat="1" applyFont="1" applyFill="1" applyBorder="1" applyAlignment="1">
      <alignment horizontal="center"/>
    </xf>
    <xf numFmtId="2" fontId="2" fillId="8" borderId="41" xfId="0" applyNumberFormat="1" applyFont="1" applyFill="1" applyBorder="1" applyAlignment="1">
      <alignment horizontal="center"/>
    </xf>
    <xf numFmtId="2" fontId="1" fillId="7" borderId="29" xfId="0" applyNumberFormat="1" applyFont="1" applyFill="1" applyBorder="1" applyAlignment="1">
      <alignment horizontal="center"/>
    </xf>
    <xf numFmtId="1" fontId="19" fillId="0" borderId="0" xfId="0" applyNumberFormat="1" applyFont="1"/>
    <xf numFmtId="170" fontId="19" fillId="0" borderId="0" xfId="0" applyNumberFormat="1" applyFont="1"/>
    <xf numFmtId="0" fontId="0" fillId="0" borderId="72" xfId="0" applyBorder="1" applyAlignment="1">
      <alignment horizontal="center"/>
    </xf>
    <xf numFmtId="0" fontId="0" fillId="0" borderId="72" xfId="0" applyBorder="1"/>
    <xf numFmtId="2" fontId="0" fillId="0" borderId="72" xfId="0" applyNumberFormat="1" applyBorder="1" applyAlignment="1">
      <alignment horizontal="center"/>
    </xf>
    <xf numFmtId="0" fontId="0" fillId="0" borderId="75" xfId="0" applyBorder="1" applyAlignment="1">
      <alignment horizontal="center"/>
    </xf>
    <xf numFmtId="0" fontId="0" fillId="0" borderId="75" xfId="0" applyBorder="1"/>
    <xf numFmtId="0" fontId="0" fillId="0" borderId="78" xfId="0" applyBorder="1" applyAlignment="1">
      <alignment horizontal="center"/>
    </xf>
    <xf numFmtId="0" fontId="0" fillId="0" borderId="78" xfId="0" applyBorder="1"/>
    <xf numFmtId="0" fontId="0" fillId="0" borderId="81" xfId="0" applyBorder="1" applyAlignment="1">
      <alignment horizontal="center"/>
    </xf>
    <xf numFmtId="0" fontId="0" fillId="0" borderId="81" xfId="0" applyBorder="1"/>
    <xf numFmtId="0" fontId="3" fillId="0" borderId="0" xfId="0" applyFont="1" applyAlignment="1">
      <alignment vertical="center"/>
    </xf>
    <xf numFmtId="7" fontId="0" fillId="0" borderId="0" xfId="0" applyNumberFormat="1"/>
    <xf numFmtId="0" fontId="3" fillId="30" borderId="75" xfId="0" applyFont="1" applyFill="1" applyBorder="1"/>
    <xf numFmtId="0" fontId="34" fillId="0" borderId="0" xfId="0" applyFont="1"/>
    <xf numFmtId="0" fontId="33" fillId="21" borderId="4" xfId="0" applyFont="1" applyFill="1" applyBorder="1"/>
    <xf numFmtId="0" fontId="3" fillId="0" borderId="0" xfId="0" applyFont="1" applyAlignment="1">
      <alignment horizontal="center"/>
    </xf>
    <xf numFmtId="0" fontId="36" fillId="0" borderId="0" xfId="0" applyFont="1"/>
    <xf numFmtId="0" fontId="26" fillId="0" borderId="75" xfId="0" applyFont="1" applyBorder="1" applyAlignment="1">
      <alignment horizontal="center"/>
    </xf>
    <xf numFmtId="0" fontId="0" fillId="32" borderId="78" xfId="0" applyFill="1" applyBorder="1"/>
    <xf numFmtId="0" fontId="0" fillId="33" borderId="72" xfId="0" applyFill="1" applyBorder="1"/>
    <xf numFmtId="0" fontId="0" fillId="34" borderId="81" xfId="0" applyFill="1" applyBorder="1"/>
    <xf numFmtId="0" fontId="18" fillId="22" borderId="87" xfId="0" applyFont="1" applyFill="1" applyBorder="1" applyAlignment="1">
      <alignment horizontal="center" vertical="center"/>
    </xf>
    <xf numFmtId="2" fontId="1" fillId="22" borderId="88" xfId="0" applyNumberFormat="1" applyFont="1" applyFill="1" applyBorder="1"/>
    <xf numFmtId="44" fontId="1" fillId="2" borderId="57" xfId="0" applyNumberFormat="1" applyFont="1" applyFill="1" applyBorder="1" applyAlignment="1">
      <alignment horizontal="center" vertical="center"/>
    </xf>
    <xf numFmtId="2" fontId="2" fillId="22" borderId="89" xfId="0" applyNumberFormat="1" applyFont="1" applyFill="1" applyBorder="1"/>
    <xf numFmtId="2" fontId="2" fillId="22" borderId="90" xfId="0" applyNumberFormat="1" applyFont="1" applyFill="1" applyBorder="1"/>
    <xf numFmtId="2" fontId="2" fillId="22" borderId="91" xfId="0" applyNumberFormat="1" applyFont="1" applyFill="1" applyBorder="1"/>
    <xf numFmtId="2" fontId="2" fillId="22" borderId="92" xfId="0" applyNumberFormat="1" applyFont="1" applyFill="1" applyBorder="1"/>
    <xf numFmtId="2" fontId="1" fillId="22" borderId="93" xfId="0" applyNumberFormat="1" applyFont="1" applyFill="1" applyBorder="1" applyAlignment="1">
      <alignment horizontal="center"/>
    </xf>
    <xf numFmtId="0" fontId="2" fillId="5" borderId="94" xfId="0" applyFont="1" applyFill="1" applyBorder="1" applyAlignment="1">
      <alignment horizontal="center"/>
    </xf>
    <xf numFmtId="0" fontId="2" fillId="5" borderId="95" xfId="0" applyFont="1" applyFill="1" applyBorder="1" applyAlignment="1">
      <alignment horizontal="center"/>
    </xf>
    <xf numFmtId="0" fontId="2" fillId="5" borderId="96" xfId="0" applyFont="1" applyFill="1" applyBorder="1" applyAlignment="1">
      <alignment horizontal="center"/>
    </xf>
    <xf numFmtId="44" fontId="1" fillId="2" borderId="37" xfId="0" applyNumberFormat="1" applyFont="1" applyFill="1" applyBorder="1" applyAlignment="1">
      <alignment horizontal="center" vertical="center"/>
    </xf>
    <xf numFmtId="0" fontId="4" fillId="0" borderId="0" xfId="0" applyFont="1"/>
    <xf numFmtId="0" fontId="26" fillId="0" borderId="81" xfId="0" applyFont="1" applyBorder="1" applyAlignment="1">
      <alignment horizontal="center"/>
    </xf>
    <xf numFmtId="0" fontId="26" fillId="0" borderId="81" xfId="0" applyFont="1" applyBorder="1"/>
    <xf numFmtId="2" fontId="26" fillId="0" borderId="81" xfId="0" applyNumberFormat="1" applyFont="1" applyBorder="1" applyAlignment="1">
      <alignment horizontal="center"/>
    </xf>
    <xf numFmtId="0" fontId="0" fillId="0" borderId="0" xfId="0" applyAlignment="1">
      <alignment vertical="center"/>
    </xf>
    <xf numFmtId="0" fontId="20" fillId="18" borderId="0" xfId="0" applyFont="1" applyFill="1"/>
    <xf numFmtId="0" fontId="32" fillId="25" borderId="97" xfId="0" applyFont="1" applyFill="1" applyBorder="1" applyAlignment="1">
      <alignment horizontal="left"/>
    </xf>
    <xf numFmtId="7" fontId="32" fillId="25" borderId="97" xfId="0" applyNumberFormat="1" applyFont="1" applyFill="1" applyBorder="1"/>
    <xf numFmtId="0" fontId="19" fillId="26" borderId="0" xfId="0" applyFont="1" applyFill="1"/>
    <xf numFmtId="0" fontId="19" fillId="13" borderId="1" xfId="0" applyFont="1" applyFill="1" applyBorder="1"/>
    <xf numFmtId="0" fontId="19" fillId="13" borderId="0" xfId="0" applyFont="1" applyFill="1"/>
    <xf numFmtId="0" fontId="19" fillId="13" borderId="2" xfId="0" applyFont="1" applyFill="1" applyBorder="1"/>
    <xf numFmtId="2" fontId="19" fillId="13" borderId="2" xfId="0" applyNumberFormat="1" applyFont="1" applyFill="1" applyBorder="1"/>
    <xf numFmtId="0" fontId="19" fillId="13" borderId="3" xfId="0" applyFont="1" applyFill="1" applyBorder="1"/>
    <xf numFmtId="0" fontId="19" fillId="13" borderId="4" xfId="0" applyFont="1" applyFill="1" applyBorder="1"/>
    <xf numFmtId="2" fontId="19" fillId="13" borderId="5" xfId="0" applyNumberFormat="1" applyFont="1" applyFill="1" applyBorder="1"/>
    <xf numFmtId="0" fontId="19" fillId="13" borderId="0" xfId="0" applyFont="1" applyFill="1" applyAlignment="1">
      <alignment horizontal="center"/>
    </xf>
    <xf numFmtId="0" fontId="19" fillId="13" borderId="2" xfId="0" applyFont="1" applyFill="1" applyBorder="1" applyAlignment="1">
      <alignment horizontal="center"/>
    </xf>
    <xf numFmtId="0" fontId="18" fillId="6" borderId="66" xfId="0" applyFont="1" applyFill="1" applyBorder="1" applyAlignment="1">
      <alignment horizontal="center"/>
    </xf>
    <xf numFmtId="2" fontId="1" fillId="6" borderId="59" xfId="0" applyNumberFormat="1" applyFont="1" applyFill="1" applyBorder="1" applyAlignment="1">
      <alignment horizontal="center"/>
    </xf>
    <xf numFmtId="0" fontId="1" fillId="5" borderId="52" xfId="0" applyFont="1" applyFill="1" applyBorder="1" applyAlignment="1">
      <alignment horizontal="center"/>
    </xf>
    <xf numFmtId="0" fontId="1" fillId="5" borderId="48" xfId="0" applyFont="1" applyFill="1" applyBorder="1" applyAlignment="1">
      <alignment horizontal="center"/>
    </xf>
    <xf numFmtId="0" fontId="1" fillId="5" borderId="49" xfId="0" applyFont="1" applyFill="1" applyBorder="1" applyAlignment="1">
      <alignment horizontal="center"/>
    </xf>
    <xf numFmtId="44" fontId="1" fillId="2" borderId="10" xfId="0" applyNumberFormat="1" applyFont="1" applyFill="1" applyBorder="1" applyAlignment="1">
      <alignment horizontal="center" vertical="center"/>
    </xf>
    <xf numFmtId="2" fontId="0" fillId="0" borderId="81" xfId="0" applyNumberFormat="1" applyBorder="1" applyAlignment="1">
      <alignment horizontal="center"/>
    </xf>
    <xf numFmtId="0" fontId="4" fillId="0" borderId="81" xfId="0" applyFont="1" applyBorder="1" applyAlignment="1">
      <alignment horizontal="center"/>
    </xf>
    <xf numFmtId="0" fontId="4" fillId="0" borderId="81" xfId="0" applyFont="1" applyBorder="1"/>
    <xf numFmtId="2" fontId="4" fillId="0" borderId="81" xfId="0" applyNumberFormat="1" applyFont="1" applyBorder="1" applyAlignment="1">
      <alignment horizontal="center"/>
    </xf>
    <xf numFmtId="0" fontId="0" fillId="19" borderId="0" xfId="0" applyFill="1" applyAlignment="1">
      <alignment horizontal="center"/>
    </xf>
    <xf numFmtId="0" fontId="0" fillId="23" borderId="0" xfId="0" applyFill="1" applyAlignment="1">
      <alignment horizontal="center"/>
    </xf>
    <xf numFmtId="0" fontId="3" fillId="31" borderId="72" xfId="0" applyFont="1" applyFill="1" applyBorder="1" applyAlignment="1">
      <alignment horizontal="center"/>
    </xf>
    <xf numFmtId="0" fontId="3" fillId="31" borderId="73" xfId="0" applyFont="1" applyFill="1" applyBorder="1" applyAlignment="1">
      <alignment horizontal="center"/>
    </xf>
    <xf numFmtId="0" fontId="3" fillId="31" borderId="71" xfId="0" applyFont="1" applyFill="1" applyBorder="1" applyAlignment="1">
      <alignment horizontal="center"/>
    </xf>
    <xf numFmtId="0" fontId="35" fillId="21" borderId="71" xfId="0" applyFont="1" applyFill="1" applyBorder="1" applyAlignment="1">
      <alignment horizontal="center"/>
    </xf>
    <xf numFmtId="0" fontId="35" fillId="21" borderId="72" xfId="0" applyFont="1" applyFill="1" applyBorder="1" applyAlignment="1">
      <alignment horizontal="center"/>
    </xf>
    <xf numFmtId="0" fontId="35" fillId="21" borderId="73" xfId="0" applyFont="1" applyFill="1" applyBorder="1" applyAlignment="1">
      <alignment horizontal="center"/>
    </xf>
    <xf numFmtId="0" fontId="33" fillId="21" borderId="3" xfId="0" applyFont="1" applyFill="1" applyBorder="1" applyAlignment="1">
      <alignment horizontal="center"/>
    </xf>
    <xf numFmtId="0" fontId="33" fillId="21" borderId="4" xfId="0" applyFont="1" applyFill="1" applyBorder="1" applyAlignment="1">
      <alignment horizontal="center"/>
    </xf>
    <xf numFmtId="0" fontId="33" fillId="21" borderId="5" xfId="0" applyFont="1" applyFill="1" applyBorder="1" applyAlignment="1">
      <alignment horizontal="center"/>
    </xf>
    <xf numFmtId="0" fontId="33" fillId="21" borderId="8" xfId="0" applyFont="1" applyFill="1" applyBorder="1" applyAlignment="1">
      <alignment horizontal="center"/>
    </xf>
    <xf numFmtId="0" fontId="33" fillId="21" borderId="9" xfId="0" applyFont="1" applyFill="1" applyBorder="1" applyAlignment="1">
      <alignment horizontal="center"/>
    </xf>
    <xf numFmtId="0" fontId="33" fillId="21" borderId="10" xfId="0" applyFont="1" applyFill="1" applyBorder="1" applyAlignment="1">
      <alignment horizontal="center"/>
    </xf>
    <xf numFmtId="0" fontId="33" fillId="21" borderId="8" xfId="0" applyFont="1" applyFill="1" applyBorder="1" applyAlignment="1">
      <alignment horizontal="center" vertical="center"/>
    </xf>
    <xf numFmtId="0" fontId="33" fillId="21" borderId="9" xfId="0" applyFont="1" applyFill="1" applyBorder="1" applyAlignment="1">
      <alignment horizontal="center" vertical="center"/>
    </xf>
    <xf numFmtId="0" fontId="33" fillId="21" borderId="10" xfId="0" applyFont="1" applyFill="1" applyBorder="1" applyAlignment="1">
      <alignment horizontal="center" vertical="center"/>
    </xf>
    <xf numFmtId="0" fontId="33" fillId="21" borderId="3" xfId="0" applyFont="1" applyFill="1" applyBorder="1" applyAlignment="1">
      <alignment horizontal="center" vertical="center"/>
    </xf>
    <xf numFmtId="0" fontId="33" fillId="21" borderId="4" xfId="0" applyFont="1" applyFill="1" applyBorder="1" applyAlignment="1">
      <alignment horizontal="center" vertical="center"/>
    </xf>
    <xf numFmtId="0" fontId="33" fillId="21" borderId="5" xfId="0" applyFont="1" applyFill="1" applyBorder="1" applyAlignment="1">
      <alignment horizontal="center" vertical="center"/>
    </xf>
    <xf numFmtId="0" fontId="33" fillId="21" borderId="0" xfId="0" applyFont="1" applyFill="1" applyAlignment="1">
      <alignment horizontal="center" vertical="center" wrapText="1"/>
    </xf>
    <xf numFmtId="0" fontId="0" fillId="0" borderId="0" xfId="0" applyAlignment="1">
      <alignment horizontal="center"/>
    </xf>
    <xf numFmtId="2" fontId="0" fillId="0" borderId="0" xfId="0" applyNumberFormat="1" applyAlignment="1">
      <alignment horizontal="center"/>
    </xf>
    <xf numFmtId="0" fontId="29" fillId="21" borderId="0" xfId="0" applyFont="1" applyFill="1" applyAlignment="1">
      <alignment horizontal="center" vertical="center" wrapText="1"/>
    </xf>
    <xf numFmtId="0" fontId="3" fillId="30" borderId="74" xfId="0" applyFont="1" applyFill="1" applyBorder="1" applyAlignment="1">
      <alignment horizontal="center" vertical="center"/>
    </xf>
    <xf numFmtId="0" fontId="3" fillId="30" borderId="75" xfId="0" applyFont="1" applyFill="1" applyBorder="1" applyAlignment="1">
      <alignment horizontal="center" vertical="center"/>
    </xf>
    <xf numFmtId="0" fontId="3" fillId="30" borderId="76" xfId="0" applyFont="1" applyFill="1" applyBorder="1" applyAlignment="1">
      <alignment horizontal="center" vertical="center"/>
    </xf>
    <xf numFmtId="0" fontId="3" fillId="27" borderId="77" xfId="0" applyFont="1" applyFill="1" applyBorder="1" applyAlignment="1">
      <alignment horizontal="center" vertical="center"/>
    </xf>
    <xf numFmtId="0" fontId="3" fillId="27" borderId="78" xfId="0" applyFont="1" applyFill="1" applyBorder="1" applyAlignment="1">
      <alignment horizontal="center" vertical="center"/>
    </xf>
    <xf numFmtId="0" fontId="3" fillId="27" borderId="79" xfId="0" applyFont="1" applyFill="1" applyBorder="1" applyAlignment="1">
      <alignment horizontal="center" vertical="center"/>
    </xf>
    <xf numFmtId="0" fontId="0" fillId="0" borderId="74" xfId="0" applyBorder="1" applyAlignment="1">
      <alignment horizontal="center"/>
    </xf>
    <xf numFmtId="0" fontId="0" fillId="0" borderId="75" xfId="0" applyBorder="1" applyAlignment="1">
      <alignment horizontal="center"/>
    </xf>
    <xf numFmtId="0" fontId="4" fillId="0" borderId="75" xfId="0" applyFont="1" applyBorder="1" applyAlignment="1">
      <alignment horizontal="center"/>
    </xf>
    <xf numFmtId="0" fontId="0" fillId="0" borderId="76" xfId="0" applyBorder="1" applyAlignment="1">
      <alignment horizontal="center"/>
    </xf>
    <xf numFmtId="0" fontId="0" fillId="0" borderId="77" xfId="0" applyBorder="1" applyAlignment="1">
      <alignment horizontal="center"/>
    </xf>
    <xf numFmtId="0" fontId="0" fillId="0" borderId="78" xfId="0" applyBorder="1" applyAlignment="1">
      <alignment horizontal="center"/>
    </xf>
    <xf numFmtId="0" fontId="3" fillId="28" borderId="71" xfId="0" applyFont="1" applyFill="1" applyBorder="1" applyAlignment="1">
      <alignment horizontal="center" vertical="center"/>
    </xf>
    <xf numFmtId="0" fontId="3" fillId="28" borderId="72" xfId="0" applyFont="1" applyFill="1" applyBorder="1" applyAlignment="1">
      <alignment horizontal="center" vertical="center"/>
    </xf>
    <xf numFmtId="0" fontId="3" fillId="28" borderId="73" xfId="0" applyFont="1" applyFill="1" applyBorder="1" applyAlignment="1">
      <alignment horizontal="center" vertical="center"/>
    </xf>
    <xf numFmtId="0" fontId="3" fillId="29" borderId="80" xfId="0" applyFont="1" applyFill="1" applyBorder="1" applyAlignment="1">
      <alignment horizontal="center" vertical="center"/>
    </xf>
    <xf numFmtId="0" fontId="3" fillId="29" borderId="81" xfId="0" applyFont="1" applyFill="1" applyBorder="1" applyAlignment="1">
      <alignment horizontal="center" vertical="center"/>
    </xf>
    <xf numFmtId="0" fontId="3" fillId="29" borderId="82" xfId="0" applyFont="1" applyFill="1" applyBorder="1" applyAlignment="1">
      <alignment horizontal="center" vertical="center"/>
    </xf>
    <xf numFmtId="0" fontId="3" fillId="30" borderId="74" xfId="0" applyFont="1" applyFill="1" applyBorder="1" applyAlignment="1">
      <alignment horizontal="center"/>
    </xf>
    <xf numFmtId="0" fontId="3" fillId="30" borderId="75" xfId="0" applyFont="1" applyFill="1" applyBorder="1" applyAlignment="1">
      <alignment horizontal="center"/>
    </xf>
    <xf numFmtId="0" fontId="3" fillId="30" borderId="76" xfId="0" applyFont="1" applyFill="1" applyBorder="1" applyAlignment="1">
      <alignment horizontal="center"/>
    </xf>
    <xf numFmtId="0" fontId="0" fillId="32" borderId="77" xfId="0" applyFill="1" applyBorder="1" applyAlignment="1">
      <alignment horizontal="center"/>
    </xf>
    <xf numFmtId="0" fontId="0" fillId="32" borderId="78" xfId="0" applyFill="1" applyBorder="1" applyAlignment="1">
      <alignment horizontal="center"/>
    </xf>
    <xf numFmtId="0" fontId="0" fillId="32" borderId="79" xfId="0" applyFill="1" applyBorder="1" applyAlignment="1">
      <alignment horizontal="center"/>
    </xf>
    <xf numFmtId="0" fontId="0" fillId="33" borderId="71" xfId="0" applyFill="1" applyBorder="1" applyAlignment="1">
      <alignment horizontal="center"/>
    </xf>
    <xf numFmtId="0" fontId="0" fillId="33" borderId="72" xfId="0" applyFill="1" applyBorder="1" applyAlignment="1">
      <alignment horizontal="center"/>
    </xf>
    <xf numFmtId="0" fontId="0" fillId="33" borderId="73" xfId="0" applyFill="1" applyBorder="1" applyAlignment="1">
      <alignment horizontal="center"/>
    </xf>
    <xf numFmtId="0" fontId="0" fillId="34" borderId="80" xfId="0" applyFill="1" applyBorder="1" applyAlignment="1">
      <alignment horizontal="center"/>
    </xf>
    <xf numFmtId="0" fontId="0" fillId="34" borderId="81" xfId="0" applyFill="1" applyBorder="1" applyAlignment="1">
      <alignment horizontal="center"/>
    </xf>
    <xf numFmtId="0" fontId="0" fillId="34" borderId="82" xfId="0" applyFill="1" applyBorder="1" applyAlignment="1">
      <alignment horizontal="center"/>
    </xf>
    <xf numFmtId="0" fontId="26" fillId="0" borderId="75" xfId="0" applyFont="1" applyBorder="1" applyAlignment="1">
      <alignment horizontal="center"/>
    </xf>
    <xf numFmtId="0" fontId="0" fillId="0" borderId="81" xfId="0" applyBorder="1" applyAlignment="1">
      <alignment horizontal="center"/>
    </xf>
    <xf numFmtId="2" fontId="0" fillId="0" borderId="81" xfId="0" applyNumberFormat="1" applyBorder="1" applyAlignment="1">
      <alignment horizontal="center"/>
    </xf>
    <xf numFmtId="0" fontId="0" fillId="0" borderId="82" xfId="0" applyBorder="1" applyAlignment="1">
      <alignment horizontal="center"/>
    </xf>
    <xf numFmtId="0" fontId="0" fillId="0" borderId="79" xfId="0" applyBorder="1" applyAlignment="1">
      <alignment horizontal="center"/>
    </xf>
    <xf numFmtId="0" fontId="0" fillId="0" borderId="71" xfId="0" applyBorder="1" applyAlignment="1">
      <alignment horizontal="center"/>
    </xf>
    <xf numFmtId="0" fontId="0" fillId="0" borderId="72" xfId="0" applyBorder="1" applyAlignment="1">
      <alignment horizontal="center"/>
    </xf>
    <xf numFmtId="2" fontId="0" fillId="0" borderId="72" xfId="0" applyNumberFormat="1" applyBorder="1" applyAlignment="1">
      <alignment horizontal="center"/>
    </xf>
    <xf numFmtId="0" fontId="0" fillId="0" borderId="73" xfId="0" applyBorder="1" applyAlignment="1">
      <alignment horizontal="center"/>
    </xf>
    <xf numFmtId="0" fontId="0" fillId="0" borderId="80" xfId="0" applyBorder="1" applyAlignment="1">
      <alignment horizontal="center"/>
    </xf>
    <xf numFmtId="0" fontId="4" fillId="0" borderId="81" xfId="0" applyFont="1" applyBorder="1" applyAlignment="1">
      <alignment horizontal="center"/>
    </xf>
    <xf numFmtId="2" fontId="4" fillId="0" borderId="81" xfId="0" applyNumberFormat="1" applyFont="1" applyBorder="1" applyAlignment="1">
      <alignment horizontal="center"/>
    </xf>
    <xf numFmtId="0" fontId="4" fillId="0" borderId="82" xfId="0" applyFont="1" applyBorder="1" applyAlignment="1">
      <alignment horizontal="center"/>
    </xf>
    <xf numFmtId="0" fontId="26" fillId="0" borderId="81" xfId="0" applyFont="1" applyBorder="1" applyAlignment="1">
      <alignment horizontal="center"/>
    </xf>
    <xf numFmtId="7" fontId="0" fillId="0" borderId="0" xfId="0" applyNumberFormat="1" applyAlignment="1">
      <alignment horizontal="center"/>
    </xf>
    <xf numFmtId="0" fontId="33" fillId="21" borderId="43" xfId="0" applyFont="1" applyFill="1" applyBorder="1" applyAlignment="1">
      <alignment horizontal="center" vertical="center"/>
    </xf>
    <xf numFmtId="0" fontId="33" fillId="21" borderId="44" xfId="0" applyFont="1" applyFill="1" applyBorder="1" applyAlignment="1">
      <alignment horizontal="center" vertical="center"/>
    </xf>
    <xf numFmtId="0" fontId="33" fillId="21" borderId="45" xfId="0" applyFont="1" applyFill="1" applyBorder="1" applyAlignment="1">
      <alignment horizontal="center" vertical="center"/>
    </xf>
    <xf numFmtId="0" fontId="33" fillId="21" borderId="8" xfId="0" applyFont="1" applyFill="1" applyBorder="1" applyAlignment="1">
      <alignment horizontal="right"/>
    </xf>
    <xf numFmtId="0" fontId="33" fillId="21" borderId="9" xfId="0" applyFont="1" applyFill="1" applyBorder="1" applyAlignment="1">
      <alignment horizontal="right"/>
    </xf>
    <xf numFmtId="0" fontId="33" fillId="21" borderId="10" xfId="0" applyFont="1" applyFill="1" applyBorder="1" applyAlignment="1">
      <alignment horizontal="right"/>
    </xf>
    <xf numFmtId="0" fontId="33" fillId="21" borderId="1" xfId="0" applyFont="1" applyFill="1" applyBorder="1" applyAlignment="1">
      <alignment horizontal="right"/>
    </xf>
    <xf numFmtId="0" fontId="33" fillId="21" borderId="0" xfId="0" applyFont="1" applyFill="1" applyAlignment="1">
      <alignment horizontal="right"/>
    </xf>
    <xf numFmtId="0" fontId="33" fillId="21" borderId="2" xfId="0" applyFont="1" applyFill="1" applyBorder="1" applyAlignment="1">
      <alignment horizontal="right"/>
    </xf>
    <xf numFmtId="0" fontId="33" fillId="21" borderId="3" xfId="0" applyFont="1" applyFill="1" applyBorder="1" applyAlignment="1">
      <alignment horizontal="right"/>
    </xf>
    <xf numFmtId="0" fontId="33" fillId="21" borderId="4" xfId="0" applyFont="1" applyFill="1" applyBorder="1" applyAlignment="1">
      <alignment horizontal="right"/>
    </xf>
    <xf numFmtId="0" fontId="33" fillId="21" borderId="5" xfId="0" applyFont="1" applyFill="1" applyBorder="1" applyAlignment="1">
      <alignment horizontal="right"/>
    </xf>
    <xf numFmtId="44" fontId="33" fillId="21" borderId="1" xfId="0" applyNumberFormat="1" applyFont="1" applyFill="1" applyBorder="1" applyAlignment="1">
      <alignment horizontal="center"/>
    </xf>
    <xf numFmtId="44" fontId="33" fillId="21" borderId="0" xfId="0" applyNumberFormat="1" applyFont="1" applyFill="1" applyAlignment="1">
      <alignment horizontal="center"/>
    </xf>
    <xf numFmtId="44" fontId="33" fillId="21" borderId="2" xfId="0" applyNumberFormat="1" applyFont="1" applyFill="1" applyBorder="1" applyAlignment="1">
      <alignment horizontal="center"/>
    </xf>
    <xf numFmtId="44" fontId="33" fillId="21" borderId="3" xfId="0" applyNumberFormat="1" applyFont="1" applyFill="1" applyBorder="1" applyAlignment="1">
      <alignment horizontal="center"/>
    </xf>
    <xf numFmtId="44" fontId="33" fillId="21" borderId="4" xfId="0" applyNumberFormat="1" applyFont="1" applyFill="1" applyBorder="1" applyAlignment="1">
      <alignment horizontal="center"/>
    </xf>
    <xf numFmtId="44" fontId="33" fillId="21" borderId="5" xfId="0" applyNumberFormat="1" applyFont="1" applyFill="1" applyBorder="1" applyAlignment="1">
      <alignment horizontal="center"/>
    </xf>
    <xf numFmtId="0" fontId="4" fillId="0" borderId="0" xfId="0" applyFont="1" applyAlignment="1">
      <alignment horizontal="center"/>
    </xf>
    <xf numFmtId="7" fontId="4" fillId="0" borderId="0" xfId="0" applyNumberFormat="1" applyFont="1" applyAlignment="1">
      <alignment horizontal="center"/>
    </xf>
    <xf numFmtId="1" fontId="0" fillId="19" borderId="0" xfId="0" applyNumberFormat="1" applyFill="1" applyAlignment="1">
      <alignment horizontal="center"/>
    </xf>
    <xf numFmtId="2" fontId="0" fillId="19" borderId="0" xfId="0" applyNumberFormat="1" applyFill="1" applyAlignment="1">
      <alignment horizontal="center"/>
    </xf>
    <xf numFmtId="166" fontId="0" fillId="19" borderId="0" xfId="0" applyNumberFormat="1" applyFill="1" applyAlignment="1">
      <alignment horizontal="center"/>
    </xf>
    <xf numFmtId="1" fontId="0" fillId="23" borderId="0" xfId="0" applyNumberFormat="1" applyFill="1" applyAlignment="1">
      <alignment horizontal="center"/>
    </xf>
    <xf numFmtId="166" fontId="0" fillId="23" borderId="0" xfId="0" applyNumberFormat="1" applyFill="1" applyAlignment="1">
      <alignment horizontal="center"/>
    </xf>
    <xf numFmtId="2" fontId="0" fillId="23" borderId="0" xfId="0" applyNumberFormat="1" applyFill="1" applyAlignment="1">
      <alignment horizont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2" fillId="2" borderId="9" xfId="0" applyFont="1" applyFill="1" applyBorder="1" applyAlignment="1">
      <alignment horizontal="center" vertical="center" textRotation="180"/>
    </xf>
    <xf numFmtId="0" fontId="2" fillId="2" borderId="0" xfId="0" applyFont="1" applyFill="1" applyAlignment="1">
      <alignment horizontal="center" vertical="center" textRotation="180"/>
    </xf>
    <xf numFmtId="0" fontId="2" fillId="2" borderId="4" xfId="0" applyFont="1" applyFill="1" applyBorder="1" applyAlignment="1">
      <alignment horizontal="center" vertical="center" textRotation="180"/>
    </xf>
    <xf numFmtId="0" fontId="2" fillId="2" borderId="10" xfId="0" applyFont="1" applyFill="1" applyBorder="1" applyAlignment="1">
      <alignment horizontal="center" vertical="center" textRotation="180"/>
    </xf>
    <xf numFmtId="0" fontId="2" fillId="2" borderId="2" xfId="0" applyFont="1" applyFill="1" applyBorder="1" applyAlignment="1">
      <alignment horizontal="center" vertical="center" textRotation="180"/>
    </xf>
    <xf numFmtId="164" fontId="18" fillId="0" borderId="69" xfId="0" applyNumberFormat="1" applyFont="1" applyBorder="1" applyAlignment="1">
      <alignment horizontal="center" vertical="center"/>
    </xf>
    <xf numFmtId="164" fontId="18" fillId="0" borderId="14" xfId="0" applyNumberFormat="1" applyFont="1" applyBorder="1" applyAlignment="1">
      <alignment horizontal="center" vertical="center"/>
    </xf>
    <xf numFmtId="164" fontId="18" fillId="0" borderId="70" xfId="0" applyNumberFormat="1" applyFont="1" applyBorder="1" applyAlignment="1">
      <alignment horizontal="center" vertical="center"/>
    </xf>
    <xf numFmtId="14" fontId="18" fillId="0" borderId="69" xfId="0" applyNumberFormat="1" applyFont="1" applyBorder="1" applyAlignment="1">
      <alignment horizontal="center" vertical="center"/>
    </xf>
    <xf numFmtId="14" fontId="18" fillId="0" borderId="14" xfId="0" applyNumberFormat="1" applyFont="1" applyBorder="1" applyAlignment="1">
      <alignment horizontal="center" vertical="center"/>
    </xf>
    <xf numFmtId="14" fontId="18" fillId="0" borderId="70" xfId="0" applyNumberFormat="1"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1" fillId="8" borderId="41" xfId="0" applyFont="1" applyFill="1" applyBorder="1" applyAlignment="1">
      <alignment horizontal="center" vertical="center" wrapText="1"/>
    </xf>
    <xf numFmtId="0" fontId="2" fillId="8" borderId="55" xfId="0" applyFont="1" applyFill="1" applyBorder="1" applyAlignment="1">
      <alignment horizontal="center" vertical="center" wrapText="1"/>
    </xf>
    <xf numFmtId="164" fontId="18" fillId="0" borderId="21" xfId="0" applyNumberFormat="1" applyFont="1" applyBorder="1" applyAlignment="1">
      <alignment horizontal="center" vertical="center"/>
    </xf>
    <xf numFmtId="164" fontId="18" fillId="0" borderId="16" xfId="0" applyNumberFormat="1" applyFont="1" applyBorder="1" applyAlignment="1">
      <alignment horizontal="center" vertical="center"/>
    </xf>
    <xf numFmtId="164" fontId="18" fillId="0" borderId="22" xfId="0" applyNumberFormat="1" applyFont="1" applyBorder="1" applyAlignment="1">
      <alignment horizontal="center" vertical="center"/>
    </xf>
    <xf numFmtId="14" fontId="18" fillId="0" borderId="21" xfId="0" applyNumberFormat="1" applyFont="1" applyBorder="1" applyAlignment="1">
      <alignment horizontal="center" vertical="center"/>
    </xf>
    <xf numFmtId="14" fontId="18" fillId="0" borderId="16" xfId="0" applyNumberFormat="1" applyFont="1" applyBorder="1" applyAlignment="1">
      <alignment horizontal="center" vertical="center"/>
    </xf>
    <xf numFmtId="14" fontId="18" fillId="0" borderId="22" xfId="0" applyNumberFormat="1" applyFont="1" applyBorder="1" applyAlignment="1">
      <alignment horizontal="center" vertical="center"/>
    </xf>
    <xf numFmtId="164" fontId="18" fillId="7" borderId="21" xfId="0" applyNumberFormat="1" applyFont="1" applyFill="1" applyBorder="1" applyAlignment="1">
      <alignment horizontal="center" vertical="center"/>
    </xf>
    <xf numFmtId="164" fontId="18" fillId="7" borderId="16" xfId="0" applyNumberFormat="1" applyFont="1" applyFill="1" applyBorder="1" applyAlignment="1">
      <alignment horizontal="center" vertical="center"/>
    </xf>
    <xf numFmtId="164" fontId="18" fillId="7" borderId="22" xfId="0" applyNumberFormat="1" applyFont="1" applyFill="1" applyBorder="1" applyAlignment="1">
      <alignment horizontal="center" vertical="center"/>
    </xf>
    <xf numFmtId="14" fontId="18" fillId="7" borderId="21" xfId="0" applyNumberFormat="1" applyFont="1" applyFill="1" applyBorder="1" applyAlignment="1">
      <alignment horizontal="center" vertical="center"/>
    </xf>
    <xf numFmtId="14" fontId="18" fillId="7" borderId="16" xfId="0" applyNumberFormat="1" applyFont="1" applyFill="1" applyBorder="1" applyAlignment="1">
      <alignment horizontal="center" vertical="center"/>
    </xf>
    <xf numFmtId="14" fontId="18" fillId="7" borderId="22" xfId="0" applyNumberFormat="1" applyFont="1" applyFill="1" applyBorder="1" applyAlignment="1">
      <alignment horizontal="center" vertical="center"/>
    </xf>
    <xf numFmtId="0" fontId="2" fillId="2" borderId="8" xfId="0" applyFont="1" applyFill="1" applyBorder="1" applyAlignment="1">
      <alignment horizontal="center" vertical="center" textRotation="180"/>
    </xf>
    <xf numFmtId="0" fontId="2" fillId="2" borderId="1" xfId="0" applyFont="1" applyFill="1" applyBorder="1" applyAlignment="1">
      <alignment horizontal="center" vertical="center" textRotation="180"/>
    </xf>
    <xf numFmtId="0" fontId="2" fillId="2" borderId="3" xfId="0" applyFont="1" applyFill="1" applyBorder="1" applyAlignment="1">
      <alignment horizontal="center" vertical="center" textRotation="180"/>
    </xf>
    <xf numFmtId="0" fontId="2" fillId="7" borderId="18" xfId="0" applyFont="1" applyFill="1" applyBorder="1" applyAlignment="1">
      <alignment horizontal="center" vertical="center"/>
    </xf>
    <xf numFmtId="0" fontId="2" fillId="7" borderId="19" xfId="0" applyFont="1" applyFill="1" applyBorder="1" applyAlignment="1">
      <alignment horizontal="center" vertical="center"/>
    </xf>
    <xf numFmtId="0" fontId="2" fillId="7" borderId="20" xfId="0" applyFont="1" applyFill="1" applyBorder="1" applyAlignment="1">
      <alignment horizontal="center" vertical="center"/>
    </xf>
    <xf numFmtId="0" fontId="1" fillId="2" borderId="8" xfId="0" applyFont="1" applyFill="1" applyBorder="1" applyAlignment="1">
      <alignment horizontal="center" vertical="center" textRotation="180"/>
    </xf>
    <xf numFmtId="0" fontId="1" fillId="2" borderId="1" xfId="0" applyFont="1" applyFill="1" applyBorder="1" applyAlignment="1">
      <alignment horizontal="center" vertical="center" textRotation="180"/>
    </xf>
    <xf numFmtId="0" fontId="1" fillId="2" borderId="3" xfId="0" applyFont="1" applyFill="1" applyBorder="1" applyAlignment="1">
      <alignment horizontal="center" vertical="center" textRotation="180"/>
    </xf>
    <xf numFmtId="0" fontId="1" fillId="2" borderId="9" xfId="0" applyFont="1" applyFill="1" applyBorder="1" applyAlignment="1">
      <alignment horizontal="center" vertical="center" textRotation="180"/>
    </xf>
    <xf numFmtId="0" fontId="1" fillId="2" borderId="0" xfId="0" applyFont="1" applyFill="1" applyAlignment="1">
      <alignment horizontal="center" vertical="center" textRotation="180"/>
    </xf>
    <xf numFmtId="0" fontId="1" fillId="2" borderId="4" xfId="0" applyFont="1" applyFill="1" applyBorder="1" applyAlignment="1">
      <alignment horizontal="center" vertical="center" textRotation="180"/>
    </xf>
    <xf numFmtId="0" fontId="2" fillId="0" borderId="0" xfId="0" applyFont="1" applyAlignment="1">
      <alignment horizontal="center"/>
    </xf>
    <xf numFmtId="0" fontId="2" fillId="6" borderId="18" xfId="0" applyFont="1" applyFill="1" applyBorder="1" applyAlignment="1">
      <alignment horizontal="center" vertical="center"/>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164" fontId="18" fillId="22" borderId="87" xfId="0" applyNumberFormat="1" applyFont="1" applyFill="1" applyBorder="1" applyAlignment="1">
      <alignment horizontal="center" vertical="center"/>
    </xf>
    <xf numFmtId="164" fontId="18" fillId="22" borderId="16" xfId="0" applyNumberFormat="1" applyFont="1" applyFill="1" applyBorder="1" applyAlignment="1">
      <alignment horizontal="center" vertical="center"/>
    </xf>
    <xf numFmtId="164" fontId="18" fillId="22" borderId="22" xfId="0" applyNumberFormat="1" applyFont="1" applyFill="1" applyBorder="1" applyAlignment="1">
      <alignment horizontal="center" vertical="center"/>
    </xf>
    <xf numFmtId="0" fontId="2" fillId="22" borderId="83" xfId="0" applyFont="1" applyFill="1" applyBorder="1" applyAlignment="1">
      <alignment horizontal="center" vertical="center"/>
    </xf>
    <xf numFmtId="0" fontId="2" fillId="22" borderId="84" xfId="0" applyFont="1" applyFill="1" applyBorder="1" applyAlignment="1">
      <alignment horizontal="center" vertical="center"/>
    </xf>
    <xf numFmtId="0" fontId="2" fillId="22" borderId="85" xfId="0" applyFont="1" applyFill="1" applyBorder="1" applyAlignment="1">
      <alignment horizontal="center" vertical="center"/>
    </xf>
    <xf numFmtId="14" fontId="18" fillId="22" borderId="87" xfId="0" applyNumberFormat="1" applyFont="1" applyFill="1" applyBorder="1" applyAlignment="1">
      <alignment horizontal="center" vertical="center"/>
    </xf>
    <xf numFmtId="14" fontId="18" fillId="22" borderId="16" xfId="0" applyNumberFormat="1" applyFont="1" applyFill="1" applyBorder="1" applyAlignment="1">
      <alignment horizontal="center" vertical="center"/>
    </xf>
    <xf numFmtId="14" fontId="18" fillId="22" borderId="22" xfId="0" applyNumberFormat="1" applyFont="1" applyFill="1" applyBorder="1" applyAlignment="1">
      <alignment horizontal="center" vertical="center"/>
    </xf>
    <xf numFmtId="164" fontId="18" fillId="6" borderId="21" xfId="0" applyNumberFormat="1" applyFont="1" applyFill="1" applyBorder="1" applyAlignment="1">
      <alignment horizontal="center" vertical="center"/>
    </xf>
    <xf numFmtId="164" fontId="18" fillId="6" borderId="16" xfId="0" applyNumberFormat="1" applyFont="1" applyFill="1" applyBorder="1" applyAlignment="1">
      <alignment horizontal="center" vertical="center"/>
    </xf>
    <xf numFmtId="164" fontId="18" fillId="6" borderId="22" xfId="0" applyNumberFormat="1" applyFont="1" applyFill="1" applyBorder="1" applyAlignment="1">
      <alignment horizontal="center" vertical="center"/>
    </xf>
    <xf numFmtId="14" fontId="18" fillId="6" borderId="21" xfId="0" applyNumberFormat="1" applyFont="1" applyFill="1" applyBorder="1" applyAlignment="1">
      <alignment horizontal="center" vertical="center"/>
    </xf>
    <xf numFmtId="14" fontId="18" fillId="6" borderId="16" xfId="0" applyNumberFormat="1" applyFont="1" applyFill="1" applyBorder="1" applyAlignment="1">
      <alignment horizontal="center" vertical="center"/>
    </xf>
    <xf numFmtId="14" fontId="18" fillId="6" borderId="22" xfId="0" applyNumberFormat="1" applyFont="1" applyFill="1" applyBorder="1" applyAlignment="1">
      <alignment horizontal="center" vertical="center"/>
    </xf>
    <xf numFmtId="0" fontId="2" fillId="8" borderId="41"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9" xfId="0" applyFont="1" applyFill="1" applyBorder="1" applyAlignment="1">
      <alignment horizontal="center" vertical="center"/>
    </xf>
    <xf numFmtId="0" fontId="2" fillId="3" borderId="0" xfId="0" applyFont="1" applyFill="1" applyAlignment="1">
      <alignment horizontal="center" vertical="center"/>
    </xf>
    <xf numFmtId="0" fontId="23" fillId="0" borderId="0" xfId="0" applyFont="1" applyAlignment="1">
      <alignment horizontal="center"/>
    </xf>
    <xf numFmtId="0" fontId="1" fillId="6" borderId="18" xfId="0" applyFont="1" applyFill="1" applyBorder="1" applyAlignment="1">
      <alignment horizontal="center" vertical="center"/>
    </xf>
    <xf numFmtId="0" fontId="1" fillId="6" borderId="19" xfId="0" applyFont="1" applyFill="1" applyBorder="1" applyAlignment="1">
      <alignment horizontal="center" vertical="center"/>
    </xf>
    <xf numFmtId="0" fontId="1" fillId="6" borderId="20" xfId="0" applyFont="1" applyFill="1" applyBorder="1" applyAlignment="1">
      <alignment horizontal="center" vertical="center"/>
    </xf>
    <xf numFmtId="0" fontId="1" fillId="2" borderId="10" xfId="0" applyFont="1" applyFill="1" applyBorder="1" applyAlignment="1">
      <alignment horizontal="center" vertical="center" textRotation="180"/>
    </xf>
    <xf numFmtId="0" fontId="1" fillId="2" borderId="2" xfId="0" applyFont="1" applyFill="1" applyBorder="1" applyAlignment="1">
      <alignment horizontal="center" vertical="center" textRotation="180"/>
    </xf>
    <xf numFmtId="0" fontId="2" fillId="2" borderId="86" xfId="0" applyFont="1" applyFill="1" applyBorder="1" applyAlignment="1">
      <alignment horizontal="center" vertical="center" textRotation="180"/>
    </xf>
    <xf numFmtId="0" fontId="2" fillId="2" borderId="6" xfId="0" applyFont="1" applyFill="1" applyBorder="1" applyAlignment="1">
      <alignment horizontal="center" vertical="center" textRotation="180"/>
    </xf>
    <xf numFmtId="0" fontId="2" fillId="2" borderId="35" xfId="0" applyFont="1" applyFill="1" applyBorder="1" applyAlignment="1">
      <alignment horizontal="center" vertical="center" textRotation="180"/>
    </xf>
    <xf numFmtId="0" fontId="2" fillId="2" borderId="57" xfId="0" applyFont="1" applyFill="1" applyBorder="1" applyAlignment="1">
      <alignment horizontal="center" vertical="center" textRotation="180"/>
    </xf>
    <xf numFmtId="0" fontId="2" fillId="12" borderId="18" xfId="0" applyFont="1" applyFill="1" applyBorder="1" applyAlignment="1">
      <alignment horizontal="center" vertical="center"/>
    </xf>
    <xf numFmtId="0" fontId="2" fillId="12" borderId="19" xfId="0" applyFont="1" applyFill="1" applyBorder="1" applyAlignment="1">
      <alignment horizontal="center" vertical="center"/>
    </xf>
    <xf numFmtId="0" fontId="2" fillId="12" borderId="20" xfId="0" applyFont="1" applyFill="1" applyBorder="1" applyAlignment="1">
      <alignment horizontal="center" vertical="center"/>
    </xf>
    <xf numFmtId="164" fontId="18" fillId="12" borderId="21" xfId="0" applyNumberFormat="1" applyFont="1" applyFill="1" applyBorder="1" applyAlignment="1">
      <alignment horizontal="center" vertical="center"/>
    </xf>
    <xf numFmtId="164" fontId="18" fillId="12" borderId="16" xfId="0" applyNumberFormat="1" applyFont="1" applyFill="1" applyBorder="1" applyAlignment="1">
      <alignment horizontal="center" vertical="center"/>
    </xf>
    <xf numFmtId="164" fontId="18" fillId="12" borderId="22" xfId="0" applyNumberFormat="1" applyFont="1" applyFill="1" applyBorder="1" applyAlignment="1">
      <alignment horizontal="center" vertical="center"/>
    </xf>
    <xf numFmtId="14" fontId="18" fillId="12" borderId="21" xfId="0" applyNumberFormat="1" applyFont="1" applyFill="1" applyBorder="1" applyAlignment="1">
      <alignment horizontal="center" vertical="center"/>
    </xf>
    <xf numFmtId="14" fontId="18" fillId="12" borderId="16" xfId="0" applyNumberFormat="1" applyFont="1" applyFill="1" applyBorder="1" applyAlignment="1">
      <alignment horizontal="center" vertical="center"/>
    </xf>
    <xf numFmtId="14" fontId="18" fillId="12" borderId="22" xfId="0" applyNumberFormat="1" applyFont="1" applyFill="1" applyBorder="1" applyAlignment="1">
      <alignment horizontal="center" vertical="center"/>
    </xf>
    <xf numFmtId="164" fontId="18" fillId="13" borderId="21" xfId="0" applyNumberFormat="1" applyFont="1" applyFill="1" applyBorder="1" applyAlignment="1">
      <alignment horizontal="center" vertical="center"/>
    </xf>
    <xf numFmtId="164" fontId="18" fillId="13" borderId="16" xfId="0" applyNumberFormat="1" applyFont="1" applyFill="1" applyBorder="1" applyAlignment="1">
      <alignment horizontal="center" vertical="center"/>
    </xf>
    <xf numFmtId="164" fontId="18" fillId="13" borderId="22" xfId="0" applyNumberFormat="1" applyFont="1" applyFill="1" applyBorder="1" applyAlignment="1">
      <alignment horizontal="center" vertical="center"/>
    </xf>
    <xf numFmtId="14" fontId="18" fillId="13" borderId="21" xfId="0" applyNumberFormat="1" applyFont="1" applyFill="1" applyBorder="1" applyAlignment="1">
      <alignment horizontal="center" vertical="center"/>
    </xf>
    <xf numFmtId="14" fontId="18" fillId="13" borderId="16" xfId="0" applyNumberFormat="1" applyFont="1" applyFill="1" applyBorder="1" applyAlignment="1">
      <alignment horizontal="center" vertical="center"/>
    </xf>
    <xf numFmtId="14" fontId="18" fillId="13" borderId="22" xfId="0" applyNumberFormat="1" applyFont="1" applyFill="1" applyBorder="1" applyAlignment="1">
      <alignment horizontal="center" vertical="center"/>
    </xf>
    <xf numFmtId="0" fontId="1" fillId="13" borderId="18" xfId="0" applyFont="1" applyFill="1" applyBorder="1" applyAlignment="1">
      <alignment horizontal="center" vertical="center"/>
    </xf>
    <xf numFmtId="0" fontId="1" fillId="13" borderId="19" xfId="0" applyFont="1" applyFill="1" applyBorder="1" applyAlignment="1">
      <alignment horizontal="center" vertical="center"/>
    </xf>
    <xf numFmtId="0" fontId="1" fillId="13" borderId="20" xfId="0" applyFont="1" applyFill="1" applyBorder="1" applyAlignment="1">
      <alignment horizontal="center" vertical="center"/>
    </xf>
    <xf numFmtId="0" fontId="1" fillId="0" borderId="4" xfId="0" applyFont="1" applyBorder="1" applyAlignment="1">
      <alignment horizontal="center" vertical="center"/>
    </xf>
    <xf numFmtId="0" fontId="2" fillId="0" borderId="4" xfId="0" applyFont="1" applyBorder="1" applyAlignment="1">
      <alignment horizontal="center" vertical="center"/>
    </xf>
    <xf numFmtId="0" fontId="2" fillId="15" borderId="10" xfId="0" applyFont="1" applyFill="1" applyBorder="1" applyAlignment="1">
      <alignment horizontal="center" vertical="center" wrapText="1"/>
    </xf>
    <xf numFmtId="0" fontId="2" fillId="15" borderId="2" xfId="0" applyFont="1" applyFill="1" applyBorder="1" applyAlignment="1">
      <alignment horizontal="center" vertical="center" wrapText="1"/>
    </xf>
    <xf numFmtId="0" fontId="1" fillId="7" borderId="18" xfId="0" applyFont="1" applyFill="1" applyBorder="1" applyAlignment="1">
      <alignment horizontal="center" vertical="center"/>
    </xf>
    <xf numFmtId="0" fontId="1" fillId="7" borderId="19" xfId="0" applyFont="1" applyFill="1" applyBorder="1" applyAlignment="1">
      <alignment horizontal="center" vertical="center"/>
    </xf>
    <xf numFmtId="0" fontId="1" fillId="7" borderId="20"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1" xfId="0" applyFont="1" applyFill="1" applyBorder="1" applyAlignment="1">
      <alignment horizontal="center" vertical="center" wrapText="1"/>
    </xf>
    <xf numFmtId="0" fontId="2" fillId="3" borderId="55"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15" borderId="8"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7" fillId="21" borderId="8" xfId="0" applyFont="1" applyFill="1" applyBorder="1" applyAlignment="1">
      <alignment horizontal="center"/>
    </xf>
    <xf numFmtId="0" fontId="27" fillId="21" borderId="9" xfId="0" applyFont="1" applyFill="1" applyBorder="1" applyAlignment="1">
      <alignment horizontal="center"/>
    </xf>
    <xf numFmtId="0" fontId="27" fillId="21" borderId="10" xfId="0" applyFont="1" applyFill="1" applyBorder="1" applyAlignment="1">
      <alignment horizontal="center"/>
    </xf>
    <xf numFmtId="2" fontId="11" fillId="0" borderId="0" xfId="0" applyNumberFormat="1" applyFont="1" applyAlignment="1">
      <alignment horizontal="left"/>
    </xf>
    <xf numFmtId="0" fontId="17" fillId="16" borderId="0" xfId="0" applyFont="1" applyFill="1" applyAlignment="1">
      <alignment horizontal="left" vertical="center"/>
    </xf>
    <xf numFmtId="44" fontId="16" fillId="0" borderId="44" xfId="0" applyNumberFormat="1" applyFont="1" applyBorder="1" applyAlignment="1">
      <alignment horizontal="center"/>
    </xf>
    <xf numFmtId="44" fontId="16" fillId="0" borderId="45" xfId="0" applyNumberFormat="1" applyFont="1" applyBorder="1" applyAlignment="1">
      <alignment horizontal="center"/>
    </xf>
    <xf numFmtId="0" fontId="20" fillId="16" borderId="34" xfId="0" applyFont="1" applyFill="1" applyBorder="1" applyAlignment="1">
      <alignment horizontal="center"/>
    </xf>
    <xf numFmtId="0" fontId="20" fillId="16" borderId="35" xfId="0" applyFont="1" applyFill="1" applyBorder="1" applyAlignment="1">
      <alignment horizontal="center"/>
    </xf>
    <xf numFmtId="0" fontId="1" fillId="0" borderId="0" xfId="0" applyFont="1" applyAlignment="1">
      <alignment horizontal="center" wrapText="1"/>
    </xf>
    <xf numFmtId="0" fontId="1" fillId="0" borderId="0" xfId="0" applyFont="1" applyAlignment="1">
      <alignment horizontal="center" vertical="center"/>
    </xf>
    <xf numFmtId="0" fontId="20" fillId="9" borderId="34" xfId="0" applyFont="1" applyFill="1" applyBorder="1" applyAlignment="1">
      <alignment horizontal="center"/>
    </xf>
    <xf numFmtId="0" fontId="20" fillId="9" borderId="35" xfId="0" applyFont="1" applyFill="1" applyBorder="1" applyAlignment="1">
      <alignment horizontal="center"/>
    </xf>
    <xf numFmtId="0" fontId="20" fillId="10" borderId="34" xfId="0" applyFont="1" applyFill="1" applyBorder="1" applyAlignment="1">
      <alignment horizontal="center"/>
    </xf>
    <xf numFmtId="0" fontId="20" fillId="10" borderId="35" xfId="0" applyFont="1" applyFill="1" applyBorder="1" applyAlignment="1">
      <alignment horizontal="center"/>
    </xf>
    <xf numFmtId="0" fontId="20" fillId="17" borderId="34" xfId="0" applyFont="1" applyFill="1" applyBorder="1" applyAlignment="1">
      <alignment horizontal="center"/>
    </xf>
    <xf numFmtId="0" fontId="20" fillId="17" borderId="35" xfId="0" applyFont="1" applyFill="1" applyBorder="1" applyAlignment="1">
      <alignment horizontal="center"/>
    </xf>
    <xf numFmtId="0" fontId="20" fillId="13" borderId="34" xfId="0" applyFont="1" applyFill="1" applyBorder="1" applyAlignment="1">
      <alignment horizontal="center"/>
    </xf>
    <xf numFmtId="0" fontId="20" fillId="13" borderId="35" xfId="0" applyFont="1" applyFill="1" applyBorder="1" applyAlignment="1">
      <alignment horizontal="center"/>
    </xf>
    <xf numFmtId="0" fontId="20" fillId="13" borderId="8" xfId="0" applyFont="1" applyFill="1" applyBorder="1" applyAlignment="1">
      <alignment horizontal="center"/>
    </xf>
    <xf numFmtId="0" fontId="20" fillId="13" borderId="9" xfId="0" applyFont="1" applyFill="1" applyBorder="1" applyAlignment="1">
      <alignment horizontal="center"/>
    </xf>
    <xf numFmtId="0" fontId="20" fillId="13" borderId="10"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18" borderId="56" xfId="0" applyFont="1" applyFill="1" applyBorder="1" applyAlignment="1">
      <alignment horizontal="center"/>
    </xf>
    <xf numFmtId="0" fontId="20" fillId="18" borderId="0" xfId="0" applyFont="1" applyFill="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7" fillId="0" borderId="38" xfId="0" applyFont="1" applyBorder="1" applyAlignment="1">
      <alignment horizontal="center" vertical="center"/>
    </xf>
    <xf numFmtId="0" fontId="7" fillId="0" borderId="39" xfId="0" applyFont="1" applyBorder="1" applyAlignment="1">
      <alignment horizontal="center" vertical="center"/>
    </xf>
    <xf numFmtId="0" fontId="7" fillId="0" borderId="0" xfId="0" applyFont="1" applyAlignment="1">
      <alignment horizontal="center" vertical="center"/>
    </xf>
    <xf numFmtId="0" fontId="7" fillId="0" borderId="34" xfId="0" applyFont="1" applyBorder="1" applyAlignment="1">
      <alignment horizontal="center" vertical="center"/>
    </xf>
    <xf numFmtId="0" fontId="7" fillId="0" borderId="6" xfId="0"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7" xfId="0" applyFont="1" applyBorder="1" applyAlignment="1">
      <alignment horizontal="center" vertical="center"/>
    </xf>
    <xf numFmtId="0" fontId="7" fillId="0" borderId="37" xfId="0" applyFont="1" applyBorder="1" applyAlignment="1">
      <alignment horizontal="center" vertical="center"/>
    </xf>
    <xf numFmtId="0" fontId="7" fillId="0" borderId="0" xfId="0" applyFont="1" applyAlignment="1">
      <alignment horizontal="right" vertical="center"/>
    </xf>
    <xf numFmtId="0" fontId="0" fillId="0" borderId="81" xfId="0" applyFont="1" applyBorder="1" applyAlignment="1">
      <alignment horizontal="center"/>
    </xf>
  </cellXfs>
  <cellStyles count="3">
    <cellStyle name="Comma" xfId="1" builtinId="3"/>
    <cellStyle name="Normal" xfId="0" builtinId="0"/>
    <cellStyle name="Per cent" xfId="2" builtinId="5"/>
  </cellStyles>
  <dxfs count="31">
    <dxf>
      <font>
        <color theme="7" tint="-0.24994659260841701"/>
      </font>
    </dxf>
    <dxf>
      <font>
        <color theme="7" tint="-0.24994659260841701"/>
      </font>
    </dxf>
    <dxf>
      <font>
        <color theme="8" tint="0.79998168889431442"/>
      </font>
    </dxf>
    <dxf>
      <font>
        <color theme="9" tint="0.39994506668294322"/>
      </font>
    </dxf>
    <dxf>
      <font>
        <color theme="9" tint="0.39994506668294322"/>
      </font>
    </dxf>
    <dxf>
      <font>
        <color theme="9" tint="0.39994506668294322"/>
      </font>
    </dxf>
    <dxf>
      <font>
        <color theme="8" tint="0.79998168889431442"/>
      </font>
    </dxf>
    <dxf>
      <font>
        <color theme="7" tint="-0.24994659260841701"/>
      </font>
    </dxf>
    <dxf>
      <font>
        <color theme="7" tint="-0.24994659260841701"/>
      </font>
    </dxf>
    <dxf>
      <font>
        <color theme="7" tint="-0.24994659260841701"/>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dxf>
    <dxf>
      <font>
        <color theme="0"/>
      </font>
    </dxf>
    <dxf>
      <numFmt numFmtId="164" formatCode="[$-F800]dddd\,\ mmmm\ dd\,\ yyyy"/>
    </dxf>
  </dxfs>
  <tableStyles count="0" defaultTableStyle="TableStyleMedium2" defaultPivotStyle="PivotStyleLight16"/>
  <colors>
    <mruColors>
      <color rgb="FFB889DB"/>
      <color rgb="FFFF66CC"/>
      <color rgb="FFB7EDB4"/>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175127045289555E-2"/>
          <c:y val="5.0925925925925923E-2"/>
          <c:w val="0.9542571887117256"/>
          <c:h val="0.80049030329542137"/>
        </c:manualLayout>
      </c:layout>
      <c:barChart>
        <c:barDir val="col"/>
        <c:grouping val="stacked"/>
        <c:varyColors val="0"/>
        <c:ser>
          <c:idx val="1"/>
          <c:order val="1"/>
          <c:tx>
            <c:strRef>
              <c:f>'Weekly Summary'!$X$2</c:f>
              <c:strCache>
                <c:ptCount val="1"/>
                <c:pt idx="0">
                  <c:v>Birdies</c:v>
                </c:pt>
              </c:strCache>
            </c:strRef>
          </c:tx>
          <c:spPr>
            <a:solidFill>
              <a:schemeClr val="accent5">
                <a:lumMod val="40000"/>
                <a:lumOff val="60000"/>
              </a:schemeClr>
            </a:solidFill>
            <a:ln>
              <a:noFill/>
            </a:ln>
            <a:effectLst/>
          </c:spPr>
          <c:invertIfNegative val="0"/>
          <c:cat>
            <c:numRef>
              <c:extLst>
                <c:ext xmlns:c15="http://schemas.microsoft.com/office/drawing/2012/chart" uri="{02D57815-91ED-43cb-92C2-25804820EDAC}">
                  <c15:fullRef>
                    <c15:sqref>'Weekly Summary'!$V$3:$V$51</c15:sqref>
                  </c15:fullRef>
                </c:ext>
              </c:extLst>
              <c:f>('Weekly Summary'!$V$5:$V$19,'Weekly Summary'!$V$21:$V$24,'Weekly Summary'!$V$26:$V$27)</c:f>
              <c:numCache>
                <c:formatCode>d\-mmm</c:formatCode>
                <c:ptCount val="21"/>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pt idx="20">
                  <c:v>46193</c:v>
                </c:pt>
              </c:numCache>
            </c:numRef>
          </c:cat>
          <c:val>
            <c:numRef>
              <c:extLst>
                <c:ext xmlns:c15="http://schemas.microsoft.com/office/drawing/2012/chart" uri="{02D57815-91ED-43cb-92C2-25804820EDAC}">
                  <c15:fullRef>
                    <c15:sqref>'Weekly Summary'!$X$3:$X$51</c15:sqref>
                  </c15:fullRef>
                </c:ext>
              </c:extLst>
              <c:f>('Weekly Summary'!$X$5:$X$19,'Weekly Summary'!$X$21:$X$24,'Weekly Summary'!$X$26:$X$27)</c:f>
              <c:numCache>
                <c:formatCode>0</c:formatCode>
                <c:ptCount val="21"/>
                <c:pt idx="0">
                  <c:v>12</c:v>
                </c:pt>
                <c:pt idx="1">
                  <c:v>29</c:v>
                </c:pt>
                <c:pt idx="2">
                  <c:v>24</c:v>
                </c:pt>
                <c:pt idx="3">
                  <c:v>26</c:v>
                </c:pt>
                <c:pt idx="4">
                  <c:v>10</c:v>
                </c:pt>
                <c:pt idx="5">
                  <c:v>0</c:v>
                </c:pt>
                <c:pt idx="6">
                  <c:v>17</c:v>
                </c:pt>
                <c:pt idx="7">
                  <c:v>20</c:v>
                </c:pt>
                <c:pt idx="8">
                  <c:v>25</c:v>
                </c:pt>
                <c:pt idx="9">
                  <c:v>6</c:v>
                </c:pt>
                <c:pt idx="10">
                  <c:v>21</c:v>
                </c:pt>
                <c:pt idx="11">
                  <c:v>22</c:v>
                </c:pt>
                <c:pt idx="12">
                  <c:v>12</c:v>
                </c:pt>
                <c:pt idx="13">
                  <c:v>11</c:v>
                </c:pt>
                <c:pt idx="14">
                  <c:v>12</c:v>
                </c:pt>
                <c:pt idx="15">
                  <c:v>14</c:v>
                </c:pt>
                <c:pt idx="16">
                  <c:v>9</c:v>
                </c:pt>
                <c:pt idx="17">
                  <c:v>6</c:v>
                </c:pt>
                <c:pt idx="18">
                  <c:v>29</c:v>
                </c:pt>
                <c:pt idx="19">
                  <c:v>28</c:v>
                </c:pt>
                <c:pt idx="20">
                  <c:v>6</c:v>
                </c:pt>
              </c:numCache>
            </c:numRef>
          </c:val>
          <c:extLst>
            <c:ext xmlns:c16="http://schemas.microsoft.com/office/drawing/2014/chart" uri="{C3380CC4-5D6E-409C-BE32-E72D297353CC}">
              <c16:uniqueId val="{00000001-A814-48DE-9D15-9A493737BA82}"/>
            </c:ext>
          </c:extLst>
        </c:ser>
        <c:ser>
          <c:idx val="2"/>
          <c:order val="2"/>
          <c:tx>
            <c:strRef>
              <c:f>'Weekly Summary'!$Y$2</c:f>
              <c:strCache>
                <c:ptCount val="1"/>
                <c:pt idx="0">
                  <c:v>Pars</c:v>
                </c:pt>
              </c:strCache>
            </c:strRef>
          </c:tx>
          <c:spPr>
            <a:solidFill>
              <a:srgbClr val="B7EDB4"/>
            </a:solidFill>
            <a:ln>
              <a:noFill/>
            </a:ln>
            <a:effectLst/>
          </c:spPr>
          <c:invertIfNegative val="0"/>
          <c:cat>
            <c:numRef>
              <c:extLst>
                <c:ext xmlns:c15="http://schemas.microsoft.com/office/drawing/2012/chart" uri="{02D57815-91ED-43cb-92C2-25804820EDAC}">
                  <c15:fullRef>
                    <c15:sqref>'Weekly Summary'!$V$3:$V$51</c15:sqref>
                  </c15:fullRef>
                </c:ext>
              </c:extLst>
              <c:f>('Weekly Summary'!$V$5:$V$19,'Weekly Summary'!$V$21:$V$24,'Weekly Summary'!$V$26:$V$27)</c:f>
              <c:numCache>
                <c:formatCode>d\-mmm</c:formatCode>
                <c:ptCount val="21"/>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pt idx="20">
                  <c:v>46193</c:v>
                </c:pt>
              </c:numCache>
            </c:numRef>
          </c:cat>
          <c:val>
            <c:numRef>
              <c:extLst>
                <c:ext xmlns:c15="http://schemas.microsoft.com/office/drawing/2012/chart" uri="{02D57815-91ED-43cb-92C2-25804820EDAC}">
                  <c15:fullRef>
                    <c15:sqref>'Weekly Summary'!$Y$3:$Y$51</c15:sqref>
                  </c15:fullRef>
                </c:ext>
              </c:extLst>
              <c:f>('Weekly Summary'!$Y$5:$Y$19,'Weekly Summary'!$Y$21:$Y$24,'Weekly Summary'!$Y$26:$Y$27)</c:f>
              <c:numCache>
                <c:formatCode>0</c:formatCode>
                <c:ptCount val="21"/>
                <c:pt idx="0">
                  <c:v>99</c:v>
                </c:pt>
                <c:pt idx="1">
                  <c:v>111</c:v>
                </c:pt>
                <c:pt idx="2">
                  <c:v>130</c:v>
                </c:pt>
                <c:pt idx="3">
                  <c:v>107</c:v>
                </c:pt>
                <c:pt idx="4">
                  <c:v>123</c:v>
                </c:pt>
                <c:pt idx="5">
                  <c:v>0</c:v>
                </c:pt>
                <c:pt idx="6">
                  <c:v>87</c:v>
                </c:pt>
                <c:pt idx="7">
                  <c:v>138</c:v>
                </c:pt>
                <c:pt idx="8">
                  <c:v>134</c:v>
                </c:pt>
                <c:pt idx="9">
                  <c:v>105</c:v>
                </c:pt>
                <c:pt idx="10">
                  <c:v>89</c:v>
                </c:pt>
                <c:pt idx="11">
                  <c:v>121</c:v>
                </c:pt>
                <c:pt idx="12">
                  <c:v>80</c:v>
                </c:pt>
                <c:pt idx="13">
                  <c:v>67</c:v>
                </c:pt>
                <c:pt idx="14">
                  <c:v>97</c:v>
                </c:pt>
                <c:pt idx="15">
                  <c:v>60</c:v>
                </c:pt>
                <c:pt idx="16">
                  <c:v>41</c:v>
                </c:pt>
                <c:pt idx="17">
                  <c:v>48</c:v>
                </c:pt>
                <c:pt idx="18">
                  <c:v>165</c:v>
                </c:pt>
                <c:pt idx="19">
                  <c:v>129</c:v>
                </c:pt>
                <c:pt idx="20">
                  <c:v>63</c:v>
                </c:pt>
              </c:numCache>
            </c:numRef>
          </c:val>
          <c:extLst>
            <c:ext xmlns:c16="http://schemas.microsoft.com/office/drawing/2014/chart" uri="{C3380CC4-5D6E-409C-BE32-E72D297353CC}">
              <c16:uniqueId val="{00000002-A814-48DE-9D15-9A493737BA82}"/>
            </c:ext>
          </c:extLst>
        </c:ser>
        <c:ser>
          <c:idx val="3"/>
          <c:order val="3"/>
          <c:tx>
            <c:strRef>
              <c:f>'Weekly Summary'!$Z$2</c:f>
              <c:strCache>
                <c:ptCount val="1"/>
                <c:pt idx="0">
                  <c:v>Blobs</c:v>
                </c:pt>
              </c:strCache>
            </c:strRef>
          </c:tx>
          <c:spPr>
            <a:solidFill>
              <a:srgbClr val="FFCCFF"/>
            </a:solidFill>
            <a:ln>
              <a:noFill/>
            </a:ln>
            <a:effectLst/>
          </c:spPr>
          <c:invertIfNegative val="0"/>
          <c:cat>
            <c:numRef>
              <c:extLst>
                <c:ext xmlns:c15="http://schemas.microsoft.com/office/drawing/2012/chart" uri="{02D57815-91ED-43cb-92C2-25804820EDAC}">
                  <c15:fullRef>
                    <c15:sqref>'Weekly Summary'!$V$3:$V$51</c15:sqref>
                  </c15:fullRef>
                </c:ext>
              </c:extLst>
              <c:f>('Weekly Summary'!$V$5:$V$19,'Weekly Summary'!$V$21:$V$24,'Weekly Summary'!$V$26:$V$27)</c:f>
              <c:numCache>
                <c:formatCode>d\-mmm</c:formatCode>
                <c:ptCount val="21"/>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pt idx="20">
                  <c:v>46193</c:v>
                </c:pt>
              </c:numCache>
            </c:numRef>
          </c:cat>
          <c:val>
            <c:numRef>
              <c:extLst>
                <c:ext xmlns:c15="http://schemas.microsoft.com/office/drawing/2012/chart" uri="{02D57815-91ED-43cb-92C2-25804820EDAC}">
                  <c15:fullRef>
                    <c15:sqref>'Weekly Summary'!$Z$3:$Z$51</c15:sqref>
                  </c15:fullRef>
                </c:ext>
              </c:extLst>
              <c:f>('Weekly Summary'!$Z$5:$Z$19,'Weekly Summary'!$Z$21:$Z$24,'Weekly Summary'!$Z$26:$Z$27)</c:f>
              <c:numCache>
                <c:formatCode>0</c:formatCode>
                <c:ptCount val="21"/>
                <c:pt idx="0">
                  <c:v>31</c:v>
                </c:pt>
                <c:pt idx="1">
                  <c:v>33</c:v>
                </c:pt>
                <c:pt idx="2">
                  <c:v>43</c:v>
                </c:pt>
                <c:pt idx="3">
                  <c:v>15</c:v>
                </c:pt>
                <c:pt idx="4">
                  <c:v>23</c:v>
                </c:pt>
                <c:pt idx="5">
                  <c:v>0</c:v>
                </c:pt>
                <c:pt idx="6">
                  <c:v>20</c:v>
                </c:pt>
                <c:pt idx="7">
                  <c:v>38</c:v>
                </c:pt>
                <c:pt idx="8">
                  <c:v>31</c:v>
                </c:pt>
                <c:pt idx="9">
                  <c:v>34</c:v>
                </c:pt>
                <c:pt idx="10">
                  <c:v>37</c:v>
                </c:pt>
                <c:pt idx="11">
                  <c:v>35</c:v>
                </c:pt>
                <c:pt idx="12">
                  <c:v>27</c:v>
                </c:pt>
                <c:pt idx="13">
                  <c:v>31</c:v>
                </c:pt>
                <c:pt idx="14">
                  <c:v>0</c:v>
                </c:pt>
                <c:pt idx="15">
                  <c:v>13</c:v>
                </c:pt>
                <c:pt idx="16">
                  <c:v>15</c:v>
                </c:pt>
                <c:pt idx="17">
                  <c:v>14</c:v>
                </c:pt>
                <c:pt idx="18">
                  <c:v>35</c:v>
                </c:pt>
                <c:pt idx="19">
                  <c:v>30</c:v>
                </c:pt>
                <c:pt idx="20">
                  <c:v>14</c:v>
                </c:pt>
              </c:numCache>
            </c:numRef>
          </c:val>
          <c:extLst>
            <c:ext xmlns:c16="http://schemas.microsoft.com/office/drawing/2014/chart" uri="{C3380CC4-5D6E-409C-BE32-E72D297353CC}">
              <c16:uniqueId val="{00000004-A814-48DE-9D15-9A493737BA82}"/>
            </c:ext>
          </c:extLst>
        </c:ser>
        <c:dLbls>
          <c:showLegendKey val="0"/>
          <c:showVal val="0"/>
          <c:showCatName val="0"/>
          <c:showSerName val="0"/>
          <c:showPercent val="0"/>
          <c:showBubbleSize val="0"/>
        </c:dLbls>
        <c:gapWidth val="150"/>
        <c:overlap val="100"/>
        <c:axId val="831216863"/>
        <c:axId val="831232703"/>
      </c:barChart>
      <c:lineChart>
        <c:grouping val="standard"/>
        <c:varyColors val="0"/>
        <c:ser>
          <c:idx val="0"/>
          <c:order val="0"/>
          <c:tx>
            <c:strRef>
              <c:f>'Weekly Summary'!$W$2</c:f>
              <c:strCache>
                <c:ptCount val="1"/>
                <c:pt idx="0">
                  <c:v>Swindlers</c:v>
                </c:pt>
              </c:strCache>
            </c:strRef>
          </c:tx>
          <c:spPr>
            <a:ln w="22225" cap="rnd">
              <a:solidFill>
                <a:srgbClr val="FF0000"/>
              </a:solidFill>
              <a:prstDash val="sysDash"/>
              <a:round/>
            </a:ln>
            <a:effectLst/>
          </c:spPr>
          <c:marker>
            <c:symbol val="circle"/>
            <c:size val="5"/>
            <c:spPr>
              <a:solidFill>
                <a:srgbClr val="FF0000"/>
              </a:solidFill>
              <a:ln w="9525">
                <a:noFill/>
              </a:ln>
              <a:effectLst/>
            </c:spPr>
          </c:marker>
          <c:cat>
            <c:numRef>
              <c:extLst>
                <c:ext xmlns:c15="http://schemas.microsoft.com/office/drawing/2012/chart" uri="{02D57815-91ED-43cb-92C2-25804820EDAC}">
                  <c15:fullRef>
                    <c15:sqref>'Weekly Summary'!$V$3:$V$51</c15:sqref>
                  </c15:fullRef>
                </c:ext>
              </c:extLst>
              <c:f>('Weekly Summary'!$V$5:$V$19,'Weekly Summary'!$V$21:$V$24,'Weekly Summary'!$V$26:$V$27)</c:f>
              <c:numCache>
                <c:formatCode>d\-mmm</c:formatCode>
                <c:ptCount val="21"/>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pt idx="20">
                  <c:v>46193</c:v>
                </c:pt>
              </c:numCache>
            </c:numRef>
          </c:cat>
          <c:val>
            <c:numRef>
              <c:extLst>
                <c:ext xmlns:c15="http://schemas.microsoft.com/office/drawing/2012/chart" uri="{02D57815-91ED-43cb-92C2-25804820EDAC}">
                  <c15:fullRef>
                    <c15:sqref>'Weekly Summary'!$W$3:$W$51</c15:sqref>
                  </c15:fullRef>
                </c:ext>
              </c:extLst>
              <c:f>('Weekly Summary'!$W$5:$W$19,'Weekly Summary'!$W$21:$W$24,'Weekly Summary'!$W$26:$W$27)</c:f>
              <c:numCache>
                <c:formatCode>0</c:formatCode>
                <c:ptCount val="21"/>
                <c:pt idx="0">
                  <c:v>17</c:v>
                </c:pt>
                <c:pt idx="1">
                  <c:v>18</c:v>
                </c:pt>
                <c:pt idx="2">
                  <c:v>21</c:v>
                </c:pt>
                <c:pt idx="3">
                  <c:v>12</c:v>
                </c:pt>
                <c:pt idx="4">
                  <c:v>16</c:v>
                </c:pt>
                <c:pt idx="5">
                  <c:v>20</c:v>
                </c:pt>
                <c:pt idx="6">
                  <c:v>12</c:v>
                </c:pt>
                <c:pt idx="7">
                  <c:v>17</c:v>
                </c:pt>
                <c:pt idx="8">
                  <c:v>19</c:v>
                </c:pt>
                <c:pt idx="9">
                  <c:v>14</c:v>
                </c:pt>
                <c:pt idx="10">
                  <c:v>16</c:v>
                </c:pt>
                <c:pt idx="11">
                  <c:v>18</c:v>
                </c:pt>
                <c:pt idx="12">
                  <c:v>12</c:v>
                </c:pt>
                <c:pt idx="13">
                  <c:v>12</c:v>
                </c:pt>
                <c:pt idx="14">
                  <c:v>14</c:v>
                </c:pt>
                <c:pt idx="15">
                  <c:v>10</c:v>
                </c:pt>
                <c:pt idx="16">
                  <c:v>7</c:v>
                </c:pt>
                <c:pt idx="17">
                  <c:v>7</c:v>
                </c:pt>
                <c:pt idx="18">
                  <c:v>21</c:v>
                </c:pt>
                <c:pt idx="19">
                  <c:v>17</c:v>
                </c:pt>
                <c:pt idx="20">
                  <c:v>9</c:v>
                </c:pt>
              </c:numCache>
            </c:numRef>
          </c:val>
          <c:smooth val="0"/>
          <c:extLst>
            <c:ext xmlns:c16="http://schemas.microsoft.com/office/drawing/2014/chart" uri="{C3380CC4-5D6E-409C-BE32-E72D297353CC}">
              <c16:uniqueId val="{00000000-A814-48DE-9D15-9A493737BA82}"/>
            </c:ext>
          </c:extLst>
        </c:ser>
        <c:dLbls>
          <c:showLegendKey val="0"/>
          <c:showVal val="0"/>
          <c:showCatName val="0"/>
          <c:showSerName val="0"/>
          <c:showPercent val="0"/>
          <c:showBubbleSize val="0"/>
        </c:dLbls>
        <c:marker val="1"/>
        <c:smooth val="0"/>
        <c:axId val="1859235887"/>
        <c:axId val="1893652447"/>
      </c:lineChart>
      <c:catAx>
        <c:axId val="831216863"/>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1232703"/>
        <c:crosses val="autoZero"/>
        <c:auto val="0"/>
        <c:lblAlgn val="ctr"/>
        <c:lblOffset val="100"/>
        <c:noMultiLvlLbl val="0"/>
      </c:catAx>
      <c:valAx>
        <c:axId val="8312327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1216863"/>
        <c:crosses val="autoZero"/>
        <c:crossBetween val="between"/>
      </c:valAx>
      <c:valAx>
        <c:axId val="1893652447"/>
        <c:scaling>
          <c:orientation val="minMax"/>
          <c:min val="5"/>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9235887"/>
        <c:crosses val="max"/>
        <c:crossBetween val="between"/>
      </c:valAx>
      <c:dateAx>
        <c:axId val="1859235887"/>
        <c:scaling>
          <c:orientation val="minMax"/>
        </c:scaling>
        <c:delete val="1"/>
        <c:axPos val="b"/>
        <c:numFmt formatCode="d\-mmm" sourceLinked="1"/>
        <c:majorTickMark val="out"/>
        <c:minorTickMark val="none"/>
        <c:tickLblPos val="nextTo"/>
        <c:crossAx val="1893652447"/>
        <c:crosses val="autoZero"/>
        <c:auto val="1"/>
        <c:lblOffset val="100"/>
        <c:baseTimeUnit val="days"/>
      </c:dateAx>
      <c:spPr>
        <a:noFill/>
        <a:ln>
          <a:noFill/>
        </a:ln>
        <a:effectLst/>
      </c:spPr>
    </c:plotArea>
    <c:legend>
      <c:legendPos val="b"/>
      <c:layout>
        <c:manualLayout>
          <c:xMode val="edge"/>
          <c:yMode val="edge"/>
          <c:x val="2.5045342967651704E-2"/>
          <c:y val="2.9317949839603383E-2"/>
          <c:w val="0.16368347573574579"/>
          <c:h val="8.6422790901137359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260703829747925E-2"/>
          <c:y val="4.8404840484048403E-2"/>
          <c:w val="0.91340800988146331"/>
          <c:h val="0.85914607208752369"/>
        </c:manualLayout>
      </c:layout>
      <c:barChart>
        <c:barDir val="bar"/>
        <c:grouping val="clustered"/>
        <c:varyColors val="0"/>
        <c:ser>
          <c:idx val="0"/>
          <c:order val="0"/>
          <c:tx>
            <c:strRef>
              <c:f>'Weekly Summary'!$C$69</c:f>
              <c:strCache>
                <c:ptCount val="1"/>
                <c:pt idx="0">
                  <c:v>EAGLES</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Summary'!$C$70:$C$73</c:f>
              <c:numCache>
                <c:formatCode>General</c:formatCode>
                <c:ptCount val="4"/>
                <c:pt idx="1">
                  <c:v>5</c:v>
                </c:pt>
                <c:pt idx="2">
                  <c:v>15</c:v>
                </c:pt>
                <c:pt idx="3" formatCode="_-* #,##0_-;\-* #,##0_-;_-* &quot;-&quot;??_-;_-@_-">
                  <c:v>5</c:v>
                </c:pt>
              </c:numCache>
            </c:numRef>
          </c:val>
          <c:extLst>
            <c:ext xmlns:c16="http://schemas.microsoft.com/office/drawing/2014/chart" uri="{C3380CC4-5D6E-409C-BE32-E72D297353CC}">
              <c16:uniqueId val="{00000000-F739-4E1D-8C4E-17AD5DEC5E11}"/>
            </c:ext>
          </c:extLst>
        </c:ser>
        <c:ser>
          <c:idx val="1"/>
          <c:order val="1"/>
          <c:tx>
            <c:strRef>
              <c:f>'Weekly Summary'!$D$69</c:f>
              <c:strCache>
                <c:ptCount val="1"/>
                <c:pt idx="0">
                  <c:v>BIRDIES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Summary'!$D$70:$D$73</c:f>
              <c:numCache>
                <c:formatCode>_-* #,##0_-;\-* #,##0_-;_-* "-"??_-;_-@_-</c:formatCode>
                <c:ptCount val="4"/>
                <c:pt idx="0">
                  <c:v>340</c:v>
                </c:pt>
                <c:pt idx="1">
                  <c:v>645</c:v>
                </c:pt>
                <c:pt idx="2">
                  <c:v>803</c:v>
                </c:pt>
                <c:pt idx="3" formatCode="0">
                  <c:v>339</c:v>
                </c:pt>
              </c:numCache>
            </c:numRef>
          </c:val>
          <c:extLst>
            <c:ext xmlns:c16="http://schemas.microsoft.com/office/drawing/2014/chart" uri="{C3380CC4-5D6E-409C-BE32-E72D297353CC}">
              <c16:uniqueId val="{00000001-F739-4E1D-8C4E-17AD5DEC5E11}"/>
            </c:ext>
          </c:extLst>
        </c:ser>
        <c:ser>
          <c:idx val="2"/>
          <c:order val="2"/>
          <c:tx>
            <c:strRef>
              <c:f>'Weekly Summary'!$E$69</c:f>
              <c:strCache>
                <c:ptCount val="1"/>
                <c:pt idx="0">
                  <c:v>PARS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Summary'!$E$70:$E$73</c:f>
              <c:numCache>
                <c:formatCode>_-* #,##0_-;\-* #,##0_-;_-* "-"??_-;_-@_-</c:formatCode>
                <c:ptCount val="4"/>
                <c:pt idx="0">
                  <c:v>3156</c:v>
                </c:pt>
                <c:pt idx="1">
                  <c:v>5176</c:v>
                </c:pt>
                <c:pt idx="2">
                  <c:v>4898</c:v>
                </c:pt>
                <c:pt idx="3" formatCode="0">
                  <c:v>1994</c:v>
                </c:pt>
              </c:numCache>
            </c:numRef>
          </c:val>
          <c:extLst>
            <c:ext xmlns:c16="http://schemas.microsoft.com/office/drawing/2014/chart" uri="{C3380CC4-5D6E-409C-BE32-E72D297353CC}">
              <c16:uniqueId val="{00000002-F739-4E1D-8C4E-17AD5DEC5E11}"/>
            </c:ext>
          </c:extLst>
        </c:ser>
        <c:ser>
          <c:idx val="3"/>
          <c:order val="3"/>
          <c:tx>
            <c:strRef>
              <c:f>'Weekly Summary'!$F$69</c:f>
              <c:strCache>
                <c:ptCount val="1"/>
                <c:pt idx="0">
                  <c:v>BLOBS</c:v>
                </c:pt>
              </c:strCache>
            </c:strRef>
          </c:tx>
          <c:spPr>
            <a:solidFill>
              <a:srgbClr val="FF66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Summary'!$F$70:$F$73</c:f>
              <c:numCache>
                <c:formatCode>_-* #,##0_-;\-* #,##0_-;_-* "-"??_-;_-@_-</c:formatCode>
                <c:ptCount val="4"/>
                <c:pt idx="0">
                  <c:v>907</c:v>
                </c:pt>
                <c:pt idx="1">
                  <c:v>1536</c:v>
                </c:pt>
                <c:pt idx="2">
                  <c:v>1552</c:v>
                </c:pt>
                <c:pt idx="3" formatCode="0">
                  <c:v>519</c:v>
                </c:pt>
              </c:numCache>
            </c:numRef>
          </c:val>
          <c:extLst>
            <c:ext xmlns:c16="http://schemas.microsoft.com/office/drawing/2014/chart" uri="{C3380CC4-5D6E-409C-BE32-E72D297353CC}">
              <c16:uniqueId val="{00000003-F739-4E1D-8C4E-17AD5DEC5E11}"/>
            </c:ext>
          </c:extLst>
        </c:ser>
        <c:dLbls>
          <c:showLegendKey val="0"/>
          <c:showVal val="0"/>
          <c:showCatName val="0"/>
          <c:showSerName val="0"/>
          <c:showPercent val="0"/>
          <c:showBubbleSize val="0"/>
        </c:dLbls>
        <c:gapWidth val="182"/>
        <c:axId val="1329453408"/>
        <c:axId val="1329456288"/>
      </c:barChart>
      <c:catAx>
        <c:axId val="132945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29456288"/>
        <c:crosses val="autoZero"/>
        <c:auto val="1"/>
        <c:lblAlgn val="ctr"/>
        <c:lblOffset val="100"/>
        <c:noMultiLvlLbl val="0"/>
      </c:catAx>
      <c:valAx>
        <c:axId val="132945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29453408"/>
        <c:crosses val="autoZero"/>
        <c:crossBetween val="between"/>
        <c:majorUnit val="250"/>
      </c:valAx>
      <c:spPr>
        <a:noFill/>
        <a:ln>
          <a:noFill/>
        </a:ln>
        <a:effectLst/>
      </c:spPr>
    </c:plotArea>
    <c:legend>
      <c:legendPos val="b"/>
      <c:layout>
        <c:manualLayout>
          <c:xMode val="edge"/>
          <c:yMode val="edge"/>
          <c:x val="0.38824447052298183"/>
          <c:y val="2.0165796107169773E-2"/>
          <c:w val="0.21766813954990538"/>
          <c:h val="0.187754995972038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sz="8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The Big Seven 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6316288461854"/>
          <c:y val="9.7275858937633339E-2"/>
          <c:w val="0.79916884493691442"/>
          <c:h val="0.88475110768842491"/>
        </c:manualLayout>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414-4C4D-86AF-740D2741AC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F414-4C4D-86AF-740D2741AC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414-4C4D-86AF-740D2741AC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F414-4C4D-86AF-740D2741AC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414-4C4D-86AF-740D2741AC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F414-4C4D-86AF-740D2741AC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414-4C4D-86AF-740D2741AC1E}"/>
              </c:ext>
            </c:extLst>
          </c:dPt>
          <c:dPt>
            <c:idx val="7"/>
            <c:bubble3D val="0"/>
            <c:spPr>
              <a:solidFill>
                <a:srgbClr val="B889D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F414-4C4D-86AF-740D2741AC1E}"/>
              </c:ext>
            </c:extLst>
          </c:dPt>
          <c:dLbls>
            <c:spPr>
              <a:solidFill>
                <a:sysClr val="window" lastClr="FFFFFF">
                  <a:alpha val="80000"/>
                </a:sysClr>
              </a:solidFill>
              <a:ln>
                <a:solidFill>
                  <a:srgbClr val="4472C4"/>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Money!$H$2:$H$9</c:f>
              <c:strCache>
                <c:ptCount val="8"/>
                <c:pt idx="0">
                  <c:v>Justin Hunt</c:v>
                </c:pt>
                <c:pt idx="1">
                  <c:v>Chris Smith</c:v>
                </c:pt>
                <c:pt idx="2">
                  <c:v>Tony Forsyth-James</c:v>
                </c:pt>
                <c:pt idx="3">
                  <c:v>Brad Whitehead</c:v>
                </c:pt>
                <c:pt idx="4">
                  <c:v>Ben Fleet</c:v>
                </c:pt>
                <c:pt idx="5">
                  <c:v>Jason Wale</c:v>
                </c:pt>
                <c:pt idx="6">
                  <c:v>Martin Coomber</c:v>
                </c:pt>
                <c:pt idx="7">
                  <c:v>Everyone Else</c:v>
                </c:pt>
              </c:strCache>
            </c:strRef>
          </c:cat>
          <c:val>
            <c:numRef>
              <c:f>Money!$I$2:$I$9</c:f>
              <c:numCache>
                <c:formatCode>"£"#,##0.00_);\("£"#,##0.00\)</c:formatCode>
                <c:ptCount val="8"/>
                <c:pt idx="0">
                  <c:v>76.5</c:v>
                </c:pt>
                <c:pt idx="1">
                  <c:v>71</c:v>
                </c:pt>
                <c:pt idx="2">
                  <c:v>58</c:v>
                </c:pt>
                <c:pt idx="3">
                  <c:v>46.5</c:v>
                </c:pt>
                <c:pt idx="4">
                  <c:v>43</c:v>
                </c:pt>
                <c:pt idx="5">
                  <c:v>40</c:v>
                </c:pt>
                <c:pt idx="6">
                  <c:v>35</c:v>
                </c:pt>
                <c:pt idx="7">
                  <c:v>410.5</c:v>
                </c:pt>
              </c:numCache>
            </c:numRef>
          </c:val>
          <c:extLst>
            <c:ext xmlns:c16="http://schemas.microsoft.com/office/drawing/2014/chart" uri="{C3380CC4-5D6E-409C-BE32-E72D297353CC}">
              <c16:uniqueId val="{00000000-F414-4C4D-86AF-740D2741AC1E}"/>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260703829747925E-2"/>
          <c:y val="4.8404840484048403E-2"/>
          <c:w val="0.91340800988146331"/>
          <c:h val="0.85914607208752369"/>
        </c:manualLayout>
      </c:layout>
      <c:barChart>
        <c:barDir val="bar"/>
        <c:grouping val="clustered"/>
        <c:varyColors val="0"/>
        <c:ser>
          <c:idx val="0"/>
          <c:order val="0"/>
          <c:tx>
            <c:strRef>
              <c:f>'Weekly Summary'!$C$69</c:f>
              <c:strCache>
                <c:ptCount val="1"/>
                <c:pt idx="0">
                  <c:v>EAGLES</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Summary'!$C$70:$C$73</c:f>
              <c:numCache>
                <c:formatCode>General</c:formatCode>
                <c:ptCount val="4"/>
                <c:pt idx="1">
                  <c:v>5</c:v>
                </c:pt>
                <c:pt idx="2">
                  <c:v>15</c:v>
                </c:pt>
                <c:pt idx="3" formatCode="_-* #,##0_-;\-* #,##0_-;_-* &quot;-&quot;??_-;_-@_-">
                  <c:v>5</c:v>
                </c:pt>
              </c:numCache>
            </c:numRef>
          </c:val>
          <c:extLst>
            <c:ext xmlns:c16="http://schemas.microsoft.com/office/drawing/2014/chart" uri="{C3380CC4-5D6E-409C-BE32-E72D297353CC}">
              <c16:uniqueId val="{00000000-B030-430A-BE7D-2D27215250D3}"/>
            </c:ext>
          </c:extLst>
        </c:ser>
        <c:ser>
          <c:idx val="1"/>
          <c:order val="1"/>
          <c:tx>
            <c:strRef>
              <c:f>'Weekly Summary'!$D$69</c:f>
              <c:strCache>
                <c:ptCount val="1"/>
                <c:pt idx="0">
                  <c:v>BIRDIES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Summary'!$D$70:$D$73</c:f>
              <c:numCache>
                <c:formatCode>_-* #,##0_-;\-* #,##0_-;_-* "-"??_-;_-@_-</c:formatCode>
                <c:ptCount val="4"/>
                <c:pt idx="0">
                  <c:v>340</c:v>
                </c:pt>
                <c:pt idx="1">
                  <c:v>645</c:v>
                </c:pt>
                <c:pt idx="2">
                  <c:v>803</c:v>
                </c:pt>
                <c:pt idx="3" formatCode="0">
                  <c:v>339</c:v>
                </c:pt>
              </c:numCache>
            </c:numRef>
          </c:val>
          <c:extLst>
            <c:ext xmlns:c16="http://schemas.microsoft.com/office/drawing/2014/chart" uri="{C3380CC4-5D6E-409C-BE32-E72D297353CC}">
              <c16:uniqueId val="{00000001-B030-430A-BE7D-2D27215250D3}"/>
            </c:ext>
          </c:extLst>
        </c:ser>
        <c:ser>
          <c:idx val="2"/>
          <c:order val="2"/>
          <c:tx>
            <c:strRef>
              <c:f>'Weekly Summary'!$E$69</c:f>
              <c:strCache>
                <c:ptCount val="1"/>
                <c:pt idx="0">
                  <c:v>PARS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Summary'!$E$70:$E$73</c:f>
              <c:numCache>
                <c:formatCode>_-* #,##0_-;\-* #,##0_-;_-* "-"??_-;_-@_-</c:formatCode>
                <c:ptCount val="4"/>
                <c:pt idx="0">
                  <c:v>3156</c:v>
                </c:pt>
                <c:pt idx="1">
                  <c:v>5176</c:v>
                </c:pt>
                <c:pt idx="2">
                  <c:v>4898</c:v>
                </c:pt>
                <c:pt idx="3" formatCode="0">
                  <c:v>1994</c:v>
                </c:pt>
              </c:numCache>
            </c:numRef>
          </c:val>
          <c:extLst>
            <c:ext xmlns:c16="http://schemas.microsoft.com/office/drawing/2014/chart" uri="{C3380CC4-5D6E-409C-BE32-E72D297353CC}">
              <c16:uniqueId val="{00000002-B030-430A-BE7D-2D27215250D3}"/>
            </c:ext>
          </c:extLst>
        </c:ser>
        <c:ser>
          <c:idx val="3"/>
          <c:order val="3"/>
          <c:tx>
            <c:strRef>
              <c:f>'Weekly Summary'!$F$69</c:f>
              <c:strCache>
                <c:ptCount val="1"/>
                <c:pt idx="0">
                  <c:v>BLOBS</c:v>
                </c:pt>
              </c:strCache>
            </c:strRef>
          </c:tx>
          <c:spPr>
            <a:solidFill>
              <a:srgbClr val="FF66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Summary'!$B$70:$B$73</c:f>
              <c:strCache>
                <c:ptCount val="4"/>
                <c:pt idx="0">
                  <c:v>2023 Season</c:v>
                </c:pt>
                <c:pt idx="1">
                  <c:v>2024 Season</c:v>
                </c:pt>
                <c:pt idx="2">
                  <c:v>2025 Season</c:v>
                </c:pt>
                <c:pt idx="3">
                  <c:v>2026 Season</c:v>
                </c:pt>
              </c:strCache>
            </c:strRef>
          </c:cat>
          <c:val>
            <c:numRef>
              <c:f>'Weekly Summary'!$F$70:$F$73</c:f>
              <c:numCache>
                <c:formatCode>_-* #,##0_-;\-* #,##0_-;_-* "-"??_-;_-@_-</c:formatCode>
                <c:ptCount val="4"/>
                <c:pt idx="0">
                  <c:v>907</c:v>
                </c:pt>
                <c:pt idx="1">
                  <c:v>1536</c:v>
                </c:pt>
                <c:pt idx="2">
                  <c:v>1552</c:v>
                </c:pt>
                <c:pt idx="3" formatCode="0">
                  <c:v>519</c:v>
                </c:pt>
              </c:numCache>
            </c:numRef>
          </c:val>
          <c:extLst>
            <c:ext xmlns:c16="http://schemas.microsoft.com/office/drawing/2014/chart" uri="{C3380CC4-5D6E-409C-BE32-E72D297353CC}">
              <c16:uniqueId val="{00000003-B030-430A-BE7D-2D27215250D3}"/>
            </c:ext>
          </c:extLst>
        </c:ser>
        <c:dLbls>
          <c:showLegendKey val="0"/>
          <c:showVal val="0"/>
          <c:showCatName val="0"/>
          <c:showSerName val="0"/>
          <c:showPercent val="0"/>
          <c:showBubbleSize val="0"/>
        </c:dLbls>
        <c:gapWidth val="182"/>
        <c:axId val="1329453408"/>
        <c:axId val="1329456288"/>
      </c:barChart>
      <c:catAx>
        <c:axId val="132945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29456288"/>
        <c:crosses val="autoZero"/>
        <c:auto val="1"/>
        <c:lblAlgn val="ctr"/>
        <c:lblOffset val="100"/>
        <c:noMultiLvlLbl val="0"/>
      </c:catAx>
      <c:valAx>
        <c:axId val="132945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29453408"/>
        <c:crosses val="autoZero"/>
        <c:crossBetween val="between"/>
        <c:majorUnit val="250"/>
      </c:valAx>
      <c:spPr>
        <a:noFill/>
        <a:ln>
          <a:noFill/>
        </a:ln>
        <a:effectLst/>
      </c:spPr>
    </c:plotArea>
    <c:legend>
      <c:legendPos val="b"/>
      <c:layout>
        <c:manualLayout>
          <c:xMode val="edge"/>
          <c:yMode val="edge"/>
          <c:x val="0.38824447052298183"/>
          <c:y val="2.0165796107169773E-2"/>
          <c:w val="0.21766813954990538"/>
          <c:h val="0.187754995972038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sz="800"/>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The Big Seven 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6316288461854"/>
          <c:y val="9.7275858937633339E-2"/>
          <c:w val="0.79916884493691442"/>
          <c:h val="0.88475110768842491"/>
        </c:manualLayout>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4D-4918-A6EC-F04E12133F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4D-4918-A6EC-F04E12133F4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4D-4918-A6EC-F04E12133F4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44D-4918-A6EC-F04E12133F4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44D-4918-A6EC-F04E12133F4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44D-4918-A6EC-F04E12133F4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44D-4918-A6EC-F04E12133F45}"/>
              </c:ext>
            </c:extLst>
          </c:dPt>
          <c:dPt>
            <c:idx val="7"/>
            <c:bubble3D val="0"/>
            <c:spPr>
              <a:solidFill>
                <a:srgbClr val="B889D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44D-4918-A6EC-F04E12133F45}"/>
              </c:ext>
            </c:extLst>
          </c:dPt>
          <c:dLbls>
            <c:spPr>
              <a:solidFill>
                <a:sysClr val="window" lastClr="FFFFFF">
                  <a:alpha val="80000"/>
                </a:sysClr>
              </a:solidFill>
              <a:ln>
                <a:solidFill>
                  <a:srgbClr val="4472C4"/>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Money!$H$2:$H$9</c:f>
              <c:strCache>
                <c:ptCount val="8"/>
                <c:pt idx="0">
                  <c:v>Justin Hunt</c:v>
                </c:pt>
                <c:pt idx="1">
                  <c:v>Chris Smith</c:v>
                </c:pt>
                <c:pt idx="2">
                  <c:v>Tony Forsyth-James</c:v>
                </c:pt>
                <c:pt idx="3">
                  <c:v>Brad Whitehead</c:v>
                </c:pt>
                <c:pt idx="4">
                  <c:v>Ben Fleet</c:v>
                </c:pt>
                <c:pt idx="5">
                  <c:v>Jason Wale</c:v>
                </c:pt>
                <c:pt idx="6">
                  <c:v>Martin Coomber</c:v>
                </c:pt>
                <c:pt idx="7">
                  <c:v>Everyone Else</c:v>
                </c:pt>
              </c:strCache>
            </c:strRef>
          </c:cat>
          <c:val>
            <c:numRef>
              <c:f>Money!$I$2:$I$9</c:f>
              <c:numCache>
                <c:formatCode>"£"#,##0.00_);\("£"#,##0.00\)</c:formatCode>
                <c:ptCount val="8"/>
                <c:pt idx="0">
                  <c:v>76.5</c:v>
                </c:pt>
                <c:pt idx="1">
                  <c:v>71</c:v>
                </c:pt>
                <c:pt idx="2">
                  <c:v>58</c:v>
                </c:pt>
                <c:pt idx="3">
                  <c:v>46.5</c:v>
                </c:pt>
                <c:pt idx="4">
                  <c:v>43</c:v>
                </c:pt>
                <c:pt idx="5">
                  <c:v>40</c:v>
                </c:pt>
                <c:pt idx="6">
                  <c:v>35</c:v>
                </c:pt>
                <c:pt idx="7">
                  <c:v>410.5</c:v>
                </c:pt>
              </c:numCache>
            </c:numRef>
          </c:val>
          <c:extLst>
            <c:ext xmlns:c16="http://schemas.microsoft.com/office/drawing/2014/chart" uri="{C3380CC4-5D6E-409C-BE32-E72D297353CC}">
              <c16:uniqueId val="{00000010-244D-4918-A6EC-F04E12133F4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175127045289555E-2"/>
          <c:y val="5.0925925925925923E-2"/>
          <c:w val="0.9542571887117256"/>
          <c:h val="0.80049030329542137"/>
        </c:manualLayout>
      </c:layout>
      <c:barChart>
        <c:barDir val="col"/>
        <c:grouping val="stacked"/>
        <c:varyColors val="0"/>
        <c:ser>
          <c:idx val="1"/>
          <c:order val="1"/>
          <c:tx>
            <c:strRef>
              <c:f>'Weekly Summary'!$X$2</c:f>
              <c:strCache>
                <c:ptCount val="1"/>
                <c:pt idx="0">
                  <c:v>Birdies</c:v>
                </c:pt>
              </c:strCache>
            </c:strRef>
          </c:tx>
          <c:spPr>
            <a:solidFill>
              <a:schemeClr val="accent5">
                <a:lumMod val="40000"/>
                <a:lumOff val="60000"/>
              </a:schemeClr>
            </a:solidFill>
            <a:ln>
              <a:noFill/>
            </a:ln>
            <a:effectLst/>
          </c:spPr>
          <c:invertIfNegative val="0"/>
          <c:cat>
            <c:numRef>
              <c:extLst>
                <c:ext xmlns:c15="http://schemas.microsoft.com/office/drawing/2012/chart" uri="{02D57815-91ED-43cb-92C2-25804820EDAC}">
                  <c15:fullRef>
                    <c15:sqref>'Weekly Summary'!$V$3:$V$51</c15:sqref>
                  </c15:fullRef>
                </c:ext>
              </c:extLst>
              <c:f>('Weekly Summary'!$V$5:$V$19,'Weekly Summary'!$V$21:$V$24,'Weekly Summary'!$V$26)</c:f>
              <c:numCache>
                <c:formatCode>d\-mmm</c:formatCode>
                <c:ptCount val="20"/>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numCache>
            </c:numRef>
          </c:cat>
          <c:val>
            <c:numRef>
              <c:extLst>
                <c:ext xmlns:c15="http://schemas.microsoft.com/office/drawing/2012/chart" uri="{02D57815-91ED-43cb-92C2-25804820EDAC}">
                  <c15:fullRef>
                    <c15:sqref>'Weekly Summary'!$X$3:$X$51</c15:sqref>
                  </c15:fullRef>
                </c:ext>
              </c:extLst>
              <c:f>('Weekly Summary'!$X$5:$X$19,'Weekly Summary'!$X$21:$X$24,'Weekly Summary'!$X$26)</c:f>
              <c:numCache>
                <c:formatCode>0</c:formatCode>
                <c:ptCount val="20"/>
                <c:pt idx="0">
                  <c:v>12</c:v>
                </c:pt>
                <c:pt idx="1">
                  <c:v>29</c:v>
                </c:pt>
                <c:pt idx="2">
                  <c:v>24</c:v>
                </c:pt>
                <c:pt idx="3">
                  <c:v>26</c:v>
                </c:pt>
                <c:pt idx="4">
                  <c:v>10</c:v>
                </c:pt>
                <c:pt idx="5">
                  <c:v>0</c:v>
                </c:pt>
                <c:pt idx="6">
                  <c:v>17</c:v>
                </c:pt>
                <c:pt idx="7">
                  <c:v>20</c:v>
                </c:pt>
                <c:pt idx="8">
                  <c:v>25</c:v>
                </c:pt>
                <c:pt idx="9">
                  <c:v>6</c:v>
                </c:pt>
                <c:pt idx="10">
                  <c:v>21</c:v>
                </c:pt>
                <c:pt idx="11">
                  <c:v>22</c:v>
                </c:pt>
                <c:pt idx="12">
                  <c:v>12</c:v>
                </c:pt>
                <c:pt idx="13">
                  <c:v>11</c:v>
                </c:pt>
                <c:pt idx="14">
                  <c:v>12</c:v>
                </c:pt>
                <c:pt idx="15">
                  <c:v>14</c:v>
                </c:pt>
                <c:pt idx="16">
                  <c:v>9</c:v>
                </c:pt>
                <c:pt idx="17">
                  <c:v>6</c:v>
                </c:pt>
                <c:pt idx="18">
                  <c:v>29</c:v>
                </c:pt>
                <c:pt idx="19">
                  <c:v>28</c:v>
                </c:pt>
              </c:numCache>
            </c:numRef>
          </c:val>
          <c:extLst>
            <c:ext xmlns:c16="http://schemas.microsoft.com/office/drawing/2014/chart" uri="{C3380CC4-5D6E-409C-BE32-E72D297353CC}">
              <c16:uniqueId val="{00000000-74CB-4F06-9141-853F7B41746D}"/>
            </c:ext>
          </c:extLst>
        </c:ser>
        <c:ser>
          <c:idx val="2"/>
          <c:order val="2"/>
          <c:tx>
            <c:strRef>
              <c:f>'Weekly Summary'!$Y$2</c:f>
              <c:strCache>
                <c:ptCount val="1"/>
                <c:pt idx="0">
                  <c:v>Pars</c:v>
                </c:pt>
              </c:strCache>
            </c:strRef>
          </c:tx>
          <c:spPr>
            <a:solidFill>
              <a:srgbClr val="B7EDB4"/>
            </a:solidFill>
            <a:ln>
              <a:noFill/>
            </a:ln>
            <a:effectLst/>
          </c:spPr>
          <c:invertIfNegative val="0"/>
          <c:cat>
            <c:numRef>
              <c:extLst>
                <c:ext xmlns:c15="http://schemas.microsoft.com/office/drawing/2012/chart" uri="{02D57815-91ED-43cb-92C2-25804820EDAC}">
                  <c15:fullRef>
                    <c15:sqref>'Weekly Summary'!$V$3:$V$51</c15:sqref>
                  </c15:fullRef>
                </c:ext>
              </c:extLst>
              <c:f>('Weekly Summary'!$V$5:$V$19,'Weekly Summary'!$V$21:$V$24,'Weekly Summary'!$V$26)</c:f>
              <c:numCache>
                <c:formatCode>d\-mmm</c:formatCode>
                <c:ptCount val="20"/>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numCache>
            </c:numRef>
          </c:cat>
          <c:val>
            <c:numRef>
              <c:extLst>
                <c:ext xmlns:c15="http://schemas.microsoft.com/office/drawing/2012/chart" uri="{02D57815-91ED-43cb-92C2-25804820EDAC}">
                  <c15:fullRef>
                    <c15:sqref>'Weekly Summary'!$Y$3:$Y$51</c15:sqref>
                  </c15:fullRef>
                </c:ext>
              </c:extLst>
              <c:f>('Weekly Summary'!$Y$5:$Y$19,'Weekly Summary'!$Y$21:$Y$24,'Weekly Summary'!$Y$26)</c:f>
              <c:numCache>
                <c:formatCode>0</c:formatCode>
                <c:ptCount val="20"/>
                <c:pt idx="0">
                  <c:v>99</c:v>
                </c:pt>
                <c:pt idx="1">
                  <c:v>111</c:v>
                </c:pt>
                <c:pt idx="2">
                  <c:v>130</c:v>
                </c:pt>
                <c:pt idx="3">
                  <c:v>107</c:v>
                </c:pt>
                <c:pt idx="4">
                  <c:v>123</c:v>
                </c:pt>
                <c:pt idx="5">
                  <c:v>0</c:v>
                </c:pt>
                <c:pt idx="6">
                  <c:v>87</c:v>
                </c:pt>
                <c:pt idx="7">
                  <c:v>138</c:v>
                </c:pt>
                <c:pt idx="8">
                  <c:v>134</c:v>
                </c:pt>
                <c:pt idx="9">
                  <c:v>105</c:v>
                </c:pt>
                <c:pt idx="10">
                  <c:v>89</c:v>
                </c:pt>
                <c:pt idx="11">
                  <c:v>121</c:v>
                </c:pt>
                <c:pt idx="12">
                  <c:v>80</c:v>
                </c:pt>
                <c:pt idx="13">
                  <c:v>67</c:v>
                </c:pt>
                <c:pt idx="14">
                  <c:v>97</c:v>
                </c:pt>
                <c:pt idx="15">
                  <c:v>60</c:v>
                </c:pt>
                <c:pt idx="16">
                  <c:v>41</c:v>
                </c:pt>
                <c:pt idx="17">
                  <c:v>48</c:v>
                </c:pt>
                <c:pt idx="18">
                  <c:v>165</c:v>
                </c:pt>
                <c:pt idx="19">
                  <c:v>129</c:v>
                </c:pt>
              </c:numCache>
            </c:numRef>
          </c:val>
          <c:extLst>
            <c:ext xmlns:c16="http://schemas.microsoft.com/office/drawing/2014/chart" uri="{C3380CC4-5D6E-409C-BE32-E72D297353CC}">
              <c16:uniqueId val="{00000001-74CB-4F06-9141-853F7B41746D}"/>
            </c:ext>
          </c:extLst>
        </c:ser>
        <c:ser>
          <c:idx val="3"/>
          <c:order val="3"/>
          <c:tx>
            <c:strRef>
              <c:f>'Weekly Summary'!$Z$2</c:f>
              <c:strCache>
                <c:ptCount val="1"/>
                <c:pt idx="0">
                  <c:v>Blobs</c:v>
                </c:pt>
              </c:strCache>
            </c:strRef>
          </c:tx>
          <c:spPr>
            <a:solidFill>
              <a:srgbClr val="FFCCFF"/>
            </a:solidFill>
            <a:ln>
              <a:noFill/>
            </a:ln>
            <a:effectLst/>
          </c:spPr>
          <c:invertIfNegative val="0"/>
          <c:cat>
            <c:numRef>
              <c:extLst>
                <c:ext xmlns:c15="http://schemas.microsoft.com/office/drawing/2012/chart" uri="{02D57815-91ED-43cb-92C2-25804820EDAC}">
                  <c15:fullRef>
                    <c15:sqref>'Weekly Summary'!$V$3:$V$51</c15:sqref>
                  </c15:fullRef>
                </c:ext>
              </c:extLst>
              <c:f>('Weekly Summary'!$V$5:$V$19,'Weekly Summary'!$V$21:$V$24,'Weekly Summary'!$V$26)</c:f>
              <c:numCache>
                <c:formatCode>d\-mmm</c:formatCode>
                <c:ptCount val="20"/>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numCache>
            </c:numRef>
          </c:cat>
          <c:val>
            <c:numRef>
              <c:extLst>
                <c:ext xmlns:c15="http://schemas.microsoft.com/office/drawing/2012/chart" uri="{02D57815-91ED-43cb-92C2-25804820EDAC}">
                  <c15:fullRef>
                    <c15:sqref>'Weekly Summary'!$Z$3:$Z$51</c15:sqref>
                  </c15:fullRef>
                </c:ext>
              </c:extLst>
              <c:f>('Weekly Summary'!$Z$5:$Z$19,'Weekly Summary'!$Z$21:$Z$24,'Weekly Summary'!$Z$26)</c:f>
              <c:numCache>
                <c:formatCode>0</c:formatCode>
                <c:ptCount val="20"/>
                <c:pt idx="0">
                  <c:v>31</c:v>
                </c:pt>
                <c:pt idx="1">
                  <c:v>33</c:v>
                </c:pt>
                <c:pt idx="2">
                  <c:v>43</c:v>
                </c:pt>
                <c:pt idx="3">
                  <c:v>15</c:v>
                </c:pt>
                <c:pt idx="4">
                  <c:v>23</c:v>
                </c:pt>
                <c:pt idx="5">
                  <c:v>0</c:v>
                </c:pt>
                <c:pt idx="6">
                  <c:v>20</c:v>
                </c:pt>
                <c:pt idx="7">
                  <c:v>38</c:v>
                </c:pt>
                <c:pt idx="8">
                  <c:v>31</c:v>
                </c:pt>
                <c:pt idx="9">
                  <c:v>34</c:v>
                </c:pt>
                <c:pt idx="10">
                  <c:v>37</c:v>
                </c:pt>
                <c:pt idx="11">
                  <c:v>35</c:v>
                </c:pt>
                <c:pt idx="12">
                  <c:v>27</c:v>
                </c:pt>
                <c:pt idx="13">
                  <c:v>31</c:v>
                </c:pt>
                <c:pt idx="14">
                  <c:v>0</c:v>
                </c:pt>
                <c:pt idx="15">
                  <c:v>13</c:v>
                </c:pt>
                <c:pt idx="16">
                  <c:v>15</c:v>
                </c:pt>
                <c:pt idx="17">
                  <c:v>14</c:v>
                </c:pt>
                <c:pt idx="18">
                  <c:v>35</c:v>
                </c:pt>
                <c:pt idx="19">
                  <c:v>30</c:v>
                </c:pt>
              </c:numCache>
            </c:numRef>
          </c:val>
          <c:extLst>
            <c:ext xmlns:c16="http://schemas.microsoft.com/office/drawing/2014/chart" uri="{C3380CC4-5D6E-409C-BE32-E72D297353CC}">
              <c16:uniqueId val="{00000002-74CB-4F06-9141-853F7B41746D}"/>
            </c:ext>
          </c:extLst>
        </c:ser>
        <c:dLbls>
          <c:showLegendKey val="0"/>
          <c:showVal val="0"/>
          <c:showCatName val="0"/>
          <c:showSerName val="0"/>
          <c:showPercent val="0"/>
          <c:showBubbleSize val="0"/>
        </c:dLbls>
        <c:gapWidth val="150"/>
        <c:overlap val="100"/>
        <c:axId val="831216863"/>
        <c:axId val="831232703"/>
      </c:barChart>
      <c:lineChart>
        <c:grouping val="standard"/>
        <c:varyColors val="0"/>
        <c:ser>
          <c:idx val="0"/>
          <c:order val="0"/>
          <c:tx>
            <c:strRef>
              <c:f>'Weekly Summary'!$W$2</c:f>
              <c:strCache>
                <c:ptCount val="1"/>
                <c:pt idx="0">
                  <c:v>Swindlers</c:v>
                </c:pt>
              </c:strCache>
            </c:strRef>
          </c:tx>
          <c:spPr>
            <a:ln w="22225" cap="rnd">
              <a:solidFill>
                <a:srgbClr val="FF0000"/>
              </a:solidFill>
              <a:prstDash val="sysDash"/>
              <a:round/>
            </a:ln>
            <a:effectLst/>
          </c:spPr>
          <c:marker>
            <c:symbol val="circle"/>
            <c:size val="5"/>
            <c:spPr>
              <a:solidFill>
                <a:srgbClr val="FF0000"/>
              </a:solidFill>
              <a:ln w="9525">
                <a:noFill/>
              </a:ln>
              <a:effectLst/>
            </c:spPr>
          </c:marker>
          <c:cat>
            <c:numRef>
              <c:extLst>
                <c:ext xmlns:c15="http://schemas.microsoft.com/office/drawing/2012/chart" uri="{02D57815-91ED-43cb-92C2-25804820EDAC}">
                  <c15:fullRef>
                    <c15:sqref>'Weekly Summary'!$V$3:$V$51</c15:sqref>
                  </c15:fullRef>
                </c:ext>
              </c:extLst>
              <c:f>('Weekly Summary'!$V$5:$V$19,'Weekly Summary'!$V$21:$V$24,'Weekly Summary'!$V$26)</c:f>
              <c:numCache>
                <c:formatCode>d\-mmm</c:formatCode>
                <c:ptCount val="20"/>
                <c:pt idx="0">
                  <c:v>46039</c:v>
                </c:pt>
                <c:pt idx="1">
                  <c:v>46046</c:v>
                </c:pt>
                <c:pt idx="2">
                  <c:v>46053</c:v>
                </c:pt>
                <c:pt idx="3">
                  <c:v>46060</c:v>
                </c:pt>
                <c:pt idx="4">
                  <c:v>46067</c:v>
                </c:pt>
                <c:pt idx="5">
                  <c:v>46074</c:v>
                </c:pt>
                <c:pt idx="6">
                  <c:v>46081</c:v>
                </c:pt>
                <c:pt idx="7">
                  <c:v>46088</c:v>
                </c:pt>
                <c:pt idx="8">
                  <c:v>46095</c:v>
                </c:pt>
                <c:pt idx="9">
                  <c:v>46102</c:v>
                </c:pt>
                <c:pt idx="10">
                  <c:v>46109</c:v>
                </c:pt>
                <c:pt idx="11">
                  <c:v>46116</c:v>
                </c:pt>
                <c:pt idx="12">
                  <c:v>46123</c:v>
                </c:pt>
                <c:pt idx="13">
                  <c:v>46130</c:v>
                </c:pt>
                <c:pt idx="14">
                  <c:v>46137</c:v>
                </c:pt>
                <c:pt idx="15">
                  <c:v>46151</c:v>
                </c:pt>
                <c:pt idx="16">
                  <c:v>46158</c:v>
                </c:pt>
                <c:pt idx="17">
                  <c:v>46165</c:v>
                </c:pt>
                <c:pt idx="18">
                  <c:v>46172</c:v>
                </c:pt>
                <c:pt idx="19">
                  <c:v>46186</c:v>
                </c:pt>
              </c:numCache>
            </c:numRef>
          </c:cat>
          <c:val>
            <c:numRef>
              <c:extLst>
                <c:ext xmlns:c15="http://schemas.microsoft.com/office/drawing/2012/chart" uri="{02D57815-91ED-43cb-92C2-25804820EDAC}">
                  <c15:fullRef>
                    <c15:sqref>'Weekly Summary'!$W$3:$W$51</c15:sqref>
                  </c15:fullRef>
                </c:ext>
              </c:extLst>
              <c:f>('Weekly Summary'!$W$5:$W$19,'Weekly Summary'!$W$21:$W$24,'Weekly Summary'!$W$26)</c:f>
              <c:numCache>
                <c:formatCode>0</c:formatCode>
                <c:ptCount val="20"/>
                <c:pt idx="0">
                  <c:v>17</c:v>
                </c:pt>
                <c:pt idx="1">
                  <c:v>18</c:v>
                </c:pt>
                <c:pt idx="2">
                  <c:v>21</c:v>
                </c:pt>
                <c:pt idx="3">
                  <c:v>12</c:v>
                </c:pt>
                <c:pt idx="4">
                  <c:v>16</c:v>
                </c:pt>
                <c:pt idx="5">
                  <c:v>20</c:v>
                </c:pt>
                <c:pt idx="6">
                  <c:v>12</c:v>
                </c:pt>
                <c:pt idx="7">
                  <c:v>17</c:v>
                </c:pt>
                <c:pt idx="8">
                  <c:v>19</c:v>
                </c:pt>
                <c:pt idx="9">
                  <c:v>14</c:v>
                </c:pt>
                <c:pt idx="10">
                  <c:v>16</c:v>
                </c:pt>
                <c:pt idx="11">
                  <c:v>18</c:v>
                </c:pt>
                <c:pt idx="12">
                  <c:v>12</c:v>
                </c:pt>
                <c:pt idx="13">
                  <c:v>12</c:v>
                </c:pt>
                <c:pt idx="14">
                  <c:v>14</c:v>
                </c:pt>
                <c:pt idx="15">
                  <c:v>10</c:v>
                </c:pt>
                <c:pt idx="16">
                  <c:v>7</c:v>
                </c:pt>
                <c:pt idx="17">
                  <c:v>7</c:v>
                </c:pt>
                <c:pt idx="18">
                  <c:v>21</c:v>
                </c:pt>
                <c:pt idx="19">
                  <c:v>17</c:v>
                </c:pt>
              </c:numCache>
            </c:numRef>
          </c:val>
          <c:smooth val="0"/>
          <c:extLst>
            <c:ext xmlns:c16="http://schemas.microsoft.com/office/drawing/2014/chart" uri="{C3380CC4-5D6E-409C-BE32-E72D297353CC}">
              <c16:uniqueId val="{00000003-74CB-4F06-9141-853F7B41746D}"/>
            </c:ext>
          </c:extLst>
        </c:ser>
        <c:dLbls>
          <c:showLegendKey val="0"/>
          <c:showVal val="0"/>
          <c:showCatName val="0"/>
          <c:showSerName val="0"/>
          <c:showPercent val="0"/>
          <c:showBubbleSize val="0"/>
        </c:dLbls>
        <c:marker val="1"/>
        <c:smooth val="0"/>
        <c:axId val="1859235887"/>
        <c:axId val="1893652447"/>
      </c:lineChart>
      <c:catAx>
        <c:axId val="831216863"/>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1232703"/>
        <c:crosses val="autoZero"/>
        <c:auto val="0"/>
        <c:lblAlgn val="ctr"/>
        <c:lblOffset val="100"/>
        <c:noMultiLvlLbl val="0"/>
      </c:catAx>
      <c:valAx>
        <c:axId val="8312327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1216863"/>
        <c:crosses val="autoZero"/>
        <c:crossBetween val="between"/>
      </c:valAx>
      <c:valAx>
        <c:axId val="1893652447"/>
        <c:scaling>
          <c:orientation val="minMax"/>
          <c:min val="5"/>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9235887"/>
        <c:crosses val="max"/>
        <c:crossBetween val="between"/>
      </c:valAx>
      <c:dateAx>
        <c:axId val="1859235887"/>
        <c:scaling>
          <c:orientation val="minMax"/>
        </c:scaling>
        <c:delete val="1"/>
        <c:axPos val="b"/>
        <c:numFmt formatCode="d\-mmm" sourceLinked="1"/>
        <c:majorTickMark val="out"/>
        <c:minorTickMark val="none"/>
        <c:tickLblPos val="nextTo"/>
        <c:crossAx val="1893652447"/>
        <c:crosses val="autoZero"/>
        <c:auto val="1"/>
        <c:lblOffset val="100"/>
        <c:baseTimeUnit val="days"/>
      </c:dateAx>
      <c:spPr>
        <a:noFill/>
        <a:ln>
          <a:noFill/>
        </a:ln>
        <a:effectLst/>
      </c:spPr>
    </c:plotArea>
    <c:legend>
      <c:legendPos val="b"/>
      <c:layout>
        <c:manualLayout>
          <c:xMode val="edge"/>
          <c:yMode val="edge"/>
          <c:x val="2.5045342967651704E-2"/>
          <c:y val="2.9317949839603383E-2"/>
          <c:w val="0.16368347573574579"/>
          <c:h val="8.6422790901137359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27</xdr:col>
      <xdr:colOff>66674</xdr:colOff>
      <xdr:row>6</xdr:row>
      <xdr:rowOff>123831</xdr:rowOff>
    </xdr:from>
    <xdr:to>
      <xdr:col>46</xdr:col>
      <xdr:colOff>228599</xdr:colOff>
      <xdr:row>26</xdr:row>
      <xdr:rowOff>9531</xdr:rowOff>
    </xdr:to>
    <xdr:graphicFrame macro="">
      <xdr:nvGraphicFramePr>
        <xdr:cNvPr id="5" name="Chart 4">
          <a:extLst>
            <a:ext uri="{FF2B5EF4-FFF2-40B4-BE49-F238E27FC236}">
              <a16:creationId xmlns:a16="http://schemas.microsoft.com/office/drawing/2014/main" id="{7804EA65-2991-DFA0-02E9-1093EE407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171449</xdr:colOff>
      <xdr:row>77</xdr:row>
      <xdr:rowOff>76199</xdr:rowOff>
    </xdr:from>
    <xdr:to>
      <xdr:col>19</xdr:col>
      <xdr:colOff>285750</xdr:colOff>
      <xdr:row>97</xdr:row>
      <xdr:rowOff>104774</xdr:rowOff>
    </xdr:to>
    <xdr:graphicFrame macro="">
      <xdr:nvGraphicFramePr>
        <xdr:cNvPr id="8" name="Chart 7">
          <a:extLst>
            <a:ext uri="{FF2B5EF4-FFF2-40B4-BE49-F238E27FC236}">
              <a16:creationId xmlns:a16="http://schemas.microsoft.com/office/drawing/2014/main" id="{CA53B03B-D48B-B466-8501-1953A91AB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73553</xdr:colOff>
      <xdr:row>1</xdr:row>
      <xdr:rowOff>35980</xdr:rowOff>
    </xdr:from>
    <xdr:to>
      <xdr:col>20</xdr:col>
      <xdr:colOff>195263</xdr:colOff>
      <xdr:row>29</xdr:row>
      <xdr:rowOff>131762</xdr:rowOff>
    </xdr:to>
    <xdr:graphicFrame macro="">
      <xdr:nvGraphicFramePr>
        <xdr:cNvPr id="2" name="Chart 1">
          <a:extLst>
            <a:ext uri="{FF2B5EF4-FFF2-40B4-BE49-F238E27FC236}">
              <a16:creationId xmlns:a16="http://schemas.microsoft.com/office/drawing/2014/main" id="{15D118FE-A38E-F650-6271-63EAF5E26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44130</xdr:colOff>
      <xdr:row>9</xdr:row>
      <xdr:rowOff>46483</xdr:rowOff>
    </xdr:from>
    <xdr:to>
      <xdr:col>28</xdr:col>
      <xdr:colOff>110869</xdr:colOff>
      <xdr:row>18</xdr:row>
      <xdr:rowOff>117781</xdr:rowOff>
    </xdr:to>
    <xdr:sp macro="" textlink="">
      <xdr:nvSpPr>
        <xdr:cNvPr id="18" name="Rectangle: Rounded Corners 17">
          <a:extLst>
            <a:ext uri="{FF2B5EF4-FFF2-40B4-BE49-F238E27FC236}">
              <a16:creationId xmlns:a16="http://schemas.microsoft.com/office/drawing/2014/main" id="{6E4ED588-25B8-8E10-DD4D-7B87797584E1}"/>
            </a:ext>
          </a:extLst>
        </xdr:cNvPr>
        <xdr:cNvSpPr/>
      </xdr:nvSpPr>
      <xdr:spPr>
        <a:xfrm>
          <a:off x="2832838" y="1417025"/>
          <a:ext cx="1871198" cy="1357173"/>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50739</xdr:colOff>
      <xdr:row>19</xdr:row>
      <xdr:rowOff>32788</xdr:rowOff>
    </xdr:from>
    <xdr:to>
      <xdr:col>28</xdr:col>
      <xdr:colOff>117478</xdr:colOff>
      <xdr:row>28</xdr:row>
      <xdr:rowOff>104087</xdr:rowOff>
    </xdr:to>
    <xdr:sp macro="" textlink="">
      <xdr:nvSpPr>
        <xdr:cNvPr id="31" name="Rectangle: Rounded Corners 30">
          <a:extLst>
            <a:ext uri="{FF2B5EF4-FFF2-40B4-BE49-F238E27FC236}">
              <a16:creationId xmlns:a16="http://schemas.microsoft.com/office/drawing/2014/main" id="{D48233BB-A545-432A-99A1-32E09FA1A35D}"/>
            </a:ext>
          </a:extLst>
        </xdr:cNvPr>
        <xdr:cNvSpPr/>
      </xdr:nvSpPr>
      <xdr:spPr>
        <a:xfrm>
          <a:off x="2859642" y="2880569"/>
          <a:ext cx="1884265" cy="1383416"/>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60460</xdr:colOff>
      <xdr:row>9</xdr:row>
      <xdr:rowOff>42509</xdr:rowOff>
    </xdr:from>
    <xdr:to>
      <xdr:col>40</xdr:col>
      <xdr:colOff>127199</xdr:colOff>
      <xdr:row>18</xdr:row>
      <xdr:rowOff>113807</xdr:rowOff>
    </xdr:to>
    <xdr:sp macro="" textlink="">
      <xdr:nvSpPr>
        <xdr:cNvPr id="32" name="Rectangle: Rounded Corners 31">
          <a:extLst>
            <a:ext uri="{FF2B5EF4-FFF2-40B4-BE49-F238E27FC236}">
              <a16:creationId xmlns:a16="http://schemas.microsoft.com/office/drawing/2014/main" id="{2554B308-831C-430F-ABA4-5D5452A3C7EF}"/>
            </a:ext>
          </a:extLst>
        </xdr:cNvPr>
        <xdr:cNvSpPr/>
      </xdr:nvSpPr>
      <xdr:spPr>
        <a:xfrm>
          <a:off x="4756285" y="1404584"/>
          <a:ext cx="1847914" cy="1357173"/>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41</xdr:col>
      <xdr:colOff>57347</xdr:colOff>
      <xdr:row>9</xdr:row>
      <xdr:rowOff>39399</xdr:rowOff>
    </xdr:from>
    <xdr:to>
      <xdr:col>52</xdr:col>
      <xdr:colOff>124086</xdr:colOff>
      <xdr:row>18</xdr:row>
      <xdr:rowOff>110697</xdr:rowOff>
    </xdr:to>
    <xdr:sp macro="" textlink="">
      <xdr:nvSpPr>
        <xdr:cNvPr id="33" name="Rectangle: Rounded Corners 32">
          <a:extLst>
            <a:ext uri="{FF2B5EF4-FFF2-40B4-BE49-F238E27FC236}">
              <a16:creationId xmlns:a16="http://schemas.microsoft.com/office/drawing/2014/main" id="{D6AB7417-E4A3-45B6-9D4A-603B5B7F0A79}"/>
            </a:ext>
          </a:extLst>
        </xdr:cNvPr>
        <xdr:cNvSpPr/>
      </xdr:nvSpPr>
      <xdr:spPr>
        <a:xfrm>
          <a:off x="6831760" y="1429271"/>
          <a:ext cx="1884265" cy="1383416"/>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57349</xdr:colOff>
      <xdr:row>19</xdr:row>
      <xdr:rowOff>39396</xdr:rowOff>
    </xdr:from>
    <xdr:to>
      <xdr:col>52</xdr:col>
      <xdr:colOff>116268</xdr:colOff>
      <xdr:row>28</xdr:row>
      <xdr:rowOff>109679</xdr:rowOff>
    </xdr:to>
    <xdr:sp macro="" textlink="">
      <xdr:nvSpPr>
        <xdr:cNvPr id="34" name="Rectangle: Rounded Corners 33">
          <a:extLst>
            <a:ext uri="{FF2B5EF4-FFF2-40B4-BE49-F238E27FC236}">
              <a16:creationId xmlns:a16="http://schemas.microsoft.com/office/drawing/2014/main" id="{5517441E-6B15-43C1-9CB2-7976730F4E58}"/>
            </a:ext>
          </a:extLst>
        </xdr:cNvPr>
        <xdr:cNvSpPr/>
      </xdr:nvSpPr>
      <xdr:spPr>
        <a:xfrm>
          <a:off x="4849007" y="2887177"/>
          <a:ext cx="3859200" cy="1382400"/>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49510</xdr:colOff>
      <xdr:row>9</xdr:row>
      <xdr:rowOff>52704</xdr:rowOff>
    </xdr:from>
    <xdr:to>
      <xdr:col>28</xdr:col>
      <xdr:colOff>102348</xdr:colOff>
      <xdr:row>18</xdr:row>
      <xdr:rowOff>109629</xdr:rowOff>
    </xdr:to>
    <xdr:grpSp>
      <xdr:nvGrpSpPr>
        <xdr:cNvPr id="50" name="Group 49">
          <a:extLst>
            <a:ext uri="{FF2B5EF4-FFF2-40B4-BE49-F238E27FC236}">
              <a16:creationId xmlns:a16="http://schemas.microsoft.com/office/drawing/2014/main" id="{B96AB314-1283-41C1-8166-8AE4EC022BB1}"/>
            </a:ext>
          </a:extLst>
        </xdr:cNvPr>
        <xdr:cNvGrpSpPr/>
      </xdr:nvGrpSpPr>
      <xdr:grpSpPr>
        <a:xfrm>
          <a:off x="2802235" y="1262379"/>
          <a:ext cx="1834013" cy="1342800"/>
          <a:chOff x="12446295" y="1588349"/>
          <a:chExt cx="1886400" cy="1342800"/>
        </a:xfrm>
      </xdr:grpSpPr>
      <xdr:sp macro="" textlink="">
        <xdr:nvSpPr>
          <xdr:cNvPr id="51" name="Rectangle: Rounded Corners 50">
            <a:extLst>
              <a:ext uri="{FF2B5EF4-FFF2-40B4-BE49-F238E27FC236}">
                <a16:creationId xmlns:a16="http://schemas.microsoft.com/office/drawing/2014/main" id="{68EECC3E-D723-55AF-C256-F69DE6E2982F}"/>
              </a:ext>
            </a:extLst>
          </xdr:cNvPr>
          <xdr:cNvSpPr/>
        </xdr:nvSpPr>
        <xdr:spPr>
          <a:xfrm>
            <a:off x="12446295" y="1588349"/>
            <a:ext cx="1886400" cy="1342800"/>
          </a:xfrm>
          <a:prstGeom prst="roundRect">
            <a:avLst/>
          </a:prstGeom>
          <a:gradFill>
            <a:gsLst>
              <a:gs pos="0">
                <a:schemeClr val="bg1"/>
              </a:gs>
              <a:gs pos="70000">
                <a:srgbClr val="FFFFFF">
                  <a:alpha val="10000"/>
                </a:srgbClr>
              </a:gs>
              <a:gs pos="20000">
                <a:srgbClr val="FFFFFF">
                  <a:alpha val="10000"/>
                </a:srgbClr>
              </a:gs>
              <a:gs pos="100000">
                <a:schemeClr val="bg1"/>
              </a:gs>
            </a:gsLst>
            <a:lin ang="2700000" scaled="0"/>
          </a:gra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2" name="Oval 51">
            <a:extLst>
              <a:ext uri="{FF2B5EF4-FFF2-40B4-BE49-F238E27FC236}">
                <a16:creationId xmlns:a16="http://schemas.microsoft.com/office/drawing/2014/main" id="{C8DA64AE-D9F6-4DA1-A5E8-5023BE498995}"/>
              </a:ext>
            </a:extLst>
          </xdr:cNvPr>
          <xdr:cNvSpPr/>
        </xdr:nvSpPr>
        <xdr:spPr>
          <a:xfrm>
            <a:off x="12552090" y="2771740"/>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3" name="Oval 52">
            <a:extLst>
              <a:ext uri="{FF2B5EF4-FFF2-40B4-BE49-F238E27FC236}">
                <a16:creationId xmlns:a16="http://schemas.microsoft.com/office/drawing/2014/main" id="{3A0818EA-5B2A-F27A-54A1-4D82DCA78417}"/>
              </a:ext>
            </a:extLst>
          </xdr:cNvPr>
          <xdr:cNvSpPr/>
        </xdr:nvSpPr>
        <xdr:spPr>
          <a:xfrm>
            <a:off x="14158393" y="2777348"/>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4" name="Oval 53">
            <a:extLst>
              <a:ext uri="{FF2B5EF4-FFF2-40B4-BE49-F238E27FC236}">
                <a16:creationId xmlns:a16="http://schemas.microsoft.com/office/drawing/2014/main" id="{F6824B41-F5CA-5396-B1F4-6C0C5A607003}"/>
              </a:ext>
            </a:extLst>
          </xdr:cNvPr>
          <xdr:cNvSpPr/>
        </xdr:nvSpPr>
        <xdr:spPr>
          <a:xfrm>
            <a:off x="12552633" y="1643213"/>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5" name="Oval 54">
            <a:extLst>
              <a:ext uri="{FF2B5EF4-FFF2-40B4-BE49-F238E27FC236}">
                <a16:creationId xmlns:a16="http://schemas.microsoft.com/office/drawing/2014/main" id="{F42D6DAC-CBC6-BD85-42ED-101CFB2A7CCB}"/>
              </a:ext>
            </a:extLst>
          </xdr:cNvPr>
          <xdr:cNvSpPr/>
        </xdr:nvSpPr>
        <xdr:spPr>
          <a:xfrm>
            <a:off x="14158936" y="1648821"/>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41</xdr:col>
      <xdr:colOff>57710</xdr:colOff>
      <xdr:row>9</xdr:row>
      <xdr:rowOff>43708</xdr:rowOff>
    </xdr:from>
    <xdr:to>
      <xdr:col>52</xdr:col>
      <xdr:colOff>110548</xdr:colOff>
      <xdr:row>18</xdr:row>
      <xdr:rowOff>100633</xdr:rowOff>
    </xdr:to>
    <xdr:grpSp>
      <xdr:nvGrpSpPr>
        <xdr:cNvPr id="56" name="Group 55">
          <a:extLst>
            <a:ext uri="{FF2B5EF4-FFF2-40B4-BE49-F238E27FC236}">
              <a16:creationId xmlns:a16="http://schemas.microsoft.com/office/drawing/2014/main" id="{BE2F893D-1492-43CA-BF89-A61C78262F77}"/>
            </a:ext>
          </a:extLst>
        </xdr:cNvPr>
        <xdr:cNvGrpSpPr/>
      </xdr:nvGrpSpPr>
      <xdr:grpSpPr>
        <a:xfrm>
          <a:off x="6696635" y="1253383"/>
          <a:ext cx="1834013" cy="1342800"/>
          <a:chOff x="12446295" y="1588349"/>
          <a:chExt cx="1886400" cy="1342800"/>
        </a:xfrm>
      </xdr:grpSpPr>
      <xdr:sp macro="" textlink="">
        <xdr:nvSpPr>
          <xdr:cNvPr id="57" name="Rectangle: Rounded Corners 56">
            <a:extLst>
              <a:ext uri="{FF2B5EF4-FFF2-40B4-BE49-F238E27FC236}">
                <a16:creationId xmlns:a16="http://schemas.microsoft.com/office/drawing/2014/main" id="{E19AD834-93E2-1EDB-EA7B-57A99BB2AEBE}"/>
              </a:ext>
            </a:extLst>
          </xdr:cNvPr>
          <xdr:cNvSpPr/>
        </xdr:nvSpPr>
        <xdr:spPr>
          <a:xfrm>
            <a:off x="12446295" y="1588349"/>
            <a:ext cx="1886400" cy="1342800"/>
          </a:xfrm>
          <a:prstGeom prst="roundRect">
            <a:avLst/>
          </a:prstGeom>
          <a:gradFill>
            <a:gsLst>
              <a:gs pos="0">
                <a:schemeClr val="bg1"/>
              </a:gs>
              <a:gs pos="70000">
                <a:srgbClr val="FFFFFF">
                  <a:alpha val="10000"/>
                </a:srgbClr>
              </a:gs>
              <a:gs pos="20000">
                <a:srgbClr val="FFFFFF">
                  <a:alpha val="10000"/>
                </a:srgbClr>
              </a:gs>
              <a:gs pos="100000">
                <a:schemeClr val="bg1"/>
              </a:gs>
            </a:gsLst>
            <a:lin ang="2700000" scaled="0"/>
          </a:gra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8" name="Oval 57">
            <a:extLst>
              <a:ext uri="{FF2B5EF4-FFF2-40B4-BE49-F238E27FC236}">
                <a16:creationId xmlns:a16="http://schemas.microsoft.com/office/drawing/2014/main" id="{88718EBA-69FF-C132-F10D-7990660A6F9A}"/>
              </a:ext>
            </a:extLst>
          </xdr:cNvPr>
          <xdr:cNvSpPr/>
        </xdr:nvSpPr>
        <xdr:spPr>
          <a:xfrm>
            <a:off x="12552090" y="2771740"/>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9" name="Oval 58">
            <a:extLst>
              <a:ext uri="{FF2B5EF4-FFF2-40B4-BE49-F238E27FC236}">
                <a16:creationId xmlns:a16="http://schemas.microsoft.com/office/drawing/2014/main" id="{FF4184EA-2F12-A475-4933-9E6197F277F0}"/>
              </a:ext>
            </a:extLst>
          </xdr:cNvPr>
          <xdr:cNvSpPr/>
        </xdr:nvSpPr>
        <xdr:spPr>
          <a:xfrm>
            <a:off x="14158393" y="2777348"/>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0" name="Oval 59">
            <a:extLst>
              <a:ext uri="{FF2B5EF4-FFF2-40B4-BE49-F238E27FC236}">
                <a16:creationId xmlns:a16="http://schemas.microsoft.com/office/drawing/2014/main" id="{AE9EDC76-8445-4567-EFAB-9B67EB23B541}"/>
              </a:ext>
            </a:extLst>
          </xdr:cNvPr>
          <xdr:cNvSpPr/>
        </xdr:nvSpPr>
        <xdr:spPr>
          <a:xfrm>
            <a:off x="12552633" y="1643213"/>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1" name="Oval 60">
            <a:extLst>
              <a:ext uri="{FF2B5EF4-FFF2-40B4-BE49-F238E27FC236}">
                <a16:creationId xmlns:a16="http://schemas.microsoft.com/office/drawing/2014/main" id="{B50DBFEC-6F10-20F8-5EA3-426FBADC87DC}"/>
              </a:ext>
            </a:extLst>
          </xdr:cNvPr>
          <xdr:cNvSpPr/>
        </xdr:nvSpPr>
        <xdr:spPr>
          <a:xfrm>
            <a:off x="14158936" y="1648821"/>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17</xdr:col>
      <xdr:colOff>60357</xdr:colOff>
      <xdr:row>19</xdr:row>
      <xdr:rowOff>34449</xdr:rowOff>
    </xdr:from>
    <xdr:to>
      <xdr:col>28</xdr:col>
      <xdr:colOff>113195</xdr:colOff>
      <xdr:row>28</xdr:row>
      <xdr:rowOff>91374</xdr:rowOff>
    </xdr:to>
    <xdr:grpSp>
      <xdr:nvGrpSpPr>
        <xdr:cNvPr id="62" name="Group 61">
          <a:extLst>
            <a:ext uri="{FF2B5EF4-FFF2-40B4-BE49-F238E27FC236}">
              <a16:creationId xmlns:a16="http://schemas.microsoft.com/office/drawing/2014/main" id="{2418CFED-D4F2-4C88-9C6A-1BDE33DD1974}"/>
            </a:ext>
          </a:extLst>
        </xdr:cNvPr>
        <xdr:cNvGrpSpPr/>
      </xdr:nvGrpSpPr>
      <xdr:grpSpPr>
        <a:xfrm>
          <a:off x="2813082" y="2672874"/>
          <a:ext cx="1834013" cy="1342800"/>
          <a:chOff x="12446295" y="1588349"/>
          <a:chExt cx="1886400" cy="1342800"/>
        </a:xfrm>
      </xdr:grpSpPr>
      <xdr:sp macro="" textlink="">
        <xdr:nvSpPr>
          <xdr:cNvPr id="63" name="Rectangle: Rounded Corners 62">
            <a:extLst>
              <a:ext uri="{FF2B5EF4-FFF2-40B4-BE49-F238E27FC236}">
                <a16:creationId xmlns:a16="http://schemas.microsoft.com/office/drawing/2014/main" id="{755F59DD-2957-B089-1600-B7723A15B7B2}"/>
              </a:ext>
            </a:extLst>
          </xdr:cNvPr>
          <xdr:cNvSpPr/>
        </xdr:nvSpPr>
        <xdr:spPr>
          <a:xfrm>
            <a:off x="12446295" y="1588349"/>
            <a:ext cx="1886400" cy="1342800"/>
          </a:xfrm>
          <a:prstGeom prst="roundRect">
            <a:avLst/>
          </a:prstGeom>
          <a:gradFill>
            <a:gsLst>
              <a:gs pos="0">
                <a:schemeClr val="bg1"/>
              </a:gs>
              <a:gs pos="70000">
                <a:srgbClr val="FFFFFF">
                  <a:alpha val="10000"/>
                </a:srgbClr>
              </a:gs>
              <a:gs pos="20000">
                <a:srgbClr val="FFFFFF">
                  <a:alpha val="10000"/>
                </a:srgbClr>
              </a:gs>
              <a:gs pos="100000">
                <a:schemeClr val="bg1"/>
              </a:gs>
            </a:gsLst>
            <a:lin ang="2700000" scaled="0"/>
          </a:gra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800">
              <a:latin typeface="+mn-lt"/>
            </a:endParaRPr>
          </a:p>
        </xdr:txBody>
      </xdr:sp>
      <xdr:sp macro="" textlink="">
        <xdr:nvSpPr>
          <xdr:cNvPr id="64" name="Oval 63">
            <a:extLst>
              <a:ext uri="{FF2B5EF4-FFF2-40B4-BE49-F238E27FC236}">
                <a16:creationId xmlns:a16="http://schemas.microsoft.com/office/drawing/2014/main" id="{D634EF6D-DDD9-9881-02D2-2A94A42A604C}"/>
              </a:ext>
            </a:extLst>
          </xdr:cNvPr>
          <xdr:cNvSpPr/>
        </xdr:nvSpPr>
        <xdr:spPr>
          <a:xfrm>
            <a:off x="12552090" y="2771740"/>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800">
              <a:latin typeface="+mn-lt"/>
            </a:endParaRPr>
          </a:p>
        </xdr:txBody>
      </xdr:sp>
      <xdr:sp macro="" textlink="">
        <xdr:nvSpPr>
          <xdr:cNvPr id="65" name="Oval 64">
            <a:extLst>
              <a:ext uri="{FF2B5EF4-FFF2-40B4-BE49-F238E27FC236}">
                <a16:creationId xmlns:a16="http://schemas.microsoft.com/office/drawing/2014/main" id="{493D2A38-E450-A002-52C2-42F72EF001FB}"/>
              </a:ext>
            </a:extLst>
          </xdr:cNvPr>
          <xdr:cNvSpPr/>
        </xdr:nvSpPr>
        <xdr:spPr>
          <a:xfrm>
            <a:off x="14158393" y="2777348"/>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800">
              <a:latin typeface="+mn-lt"/>
            </a:endParaRPr>
          </a:p>
        </xdr:txBody>
      </xdr:sp>
      <xdr:sp macro="" textlink="">
        <xdr:nvSpPr>
          <xdr:cNvPr id="66" name="Oval 65">
            <a:extLst>
              <a:ext uri="{FF2B5EF4-FFF2-40B4-BE49-F238E27FC236}">
                <a16:creationId xmlns:a16="http://schemas.microsoft.com/office/drawing/2014/main" id="{19028E3C-AEF8-9D39-F9AF-F8C9ACB8623B}"/>
              </a:ext>
            </a:extLst>
          </xdr:cNvPr>
          <xdr:cNvSpPr/>
        </xdr:nvSpPr>
        <xdr:spPr>
          <a:xfrm>
            <a:off x="12552633" y="1643213"/>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800">
              <a:latin typeface="+mn-lt"/>
            </a:endParaRPr>
          </a:p>
        </xdr:txBody>
      </xdr:sp>
      <xdr:sp macro="" textlink="">
        <xdr:nvSpPr>
          <xdr:cNvPr id="67" name="Oval 66">
            <a:extLst>
              <a:ext uri="{FF2B5EF4-FFF2-40B4-BE49-F238E27FC236}">
                <a16:creationId xmlns:a16="http://schemas.microsoft.com/office/drawing/2014/main" id="{7EEF1CE4-F25A-ACCF-E40A-B1D87BBDC81C}"/>
              </a:ext>
            </a:extLst>
          </xdr:cNvPr>
          <xdr:cNvSpPr/>
        </xdr:nvSpPr>
        <xdr:spPr>
          <a:xfrm>
            <a:off x="14158936" y="1648821"/>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800">
              <a:latin typeface="+mn-lt"/>
            </a:endParaRPr>
          </a:p>
        </xdr:txBody>
      </xdr:sp>
    </xdr:grpSp>
    <xdr:clientData/>
  </xdr:twoCellAnchor>
  <xdr:twoCellAnchor>
    <xdr:from>
      <xdr:col>29</xdr:col>
      <xdr:colOff>65912</xdr:colOff>
      <xdr:row>9</xdr:row>
      <xdr:rowOff>47944</xdr:rowOff>
    </xdr:from>
    <xdr:to>
      <xdr:col>40</xdr:col>
      <xdr:colOff>118750</xdr:colOff>
      <xdr:row>18</xdr:row>
      <xdr:rowOff>104869</xdr:rowOff>
    </xdr:to>
    <xdr:grpSp>
      <xdr:nvGrpSpPr>
        <xdr:cNvPr id="68" name="Group 67">
          <a:extLst>
            <a:ext uri="{FF2B5EF4-FFF2-40B4-BE49-F238E27FC236}">
              <a16:creationId xmlns:a16="http://schemas.microsoft.com/office/drawing/2014/main" id="{84393278-620F-420D-9373-00525BA9D971}"/>
            </a:ext>
          </a:extLst>
        </xdr:cNvPr>
        <xdr:cNvGrpSpPr/>
      </xdr:nvGrpSpPr>
      <xdr:grpSpPr>
        <a:xfrm>
          <a:off x="4761737" y="1257619"/>
          <a:ext cx="1834013" cy="1342800"/>
          <a:chOff x="12446295" y="1588349"/>
          <a:chExt cx="1886400" cy="1342800"/>
        </a:xfrm>
      </xdr:grpSpPr>
      <xdr:sp macro="" textlink="">
        <xdr:nvSpPr>
          <xdr:cNvPr id="69" name="Rectangle: Rounded Corners 68">
            <a:extLst>
              <a:ext uri="{FF2B5EF4-FFF2-40B4-BE49-F238E27FC236}">
                <a16:creationId xmlns:a16="http://schemas.microsoft.com/office/drawing/2014/main" id="{7FBBF671-C537-219C-2F4C-5BD422A29199}"/>
              </a:ext>
            </a:extLst>
          </xdr:cNvPr>
          <xdr:cNvSpPr/>
        </xdr:nvSpPr>
        <xdr:spPr>
          <a:xfrm>
            <a:off x="12446295" y="1588349"/>
            <a:ext cx="1886400" cy="1342800"/>
          </a:xfrm>
          <a:prstGeom prst="roundRect">
            <a:avLst/>
          </a:prstGeom>
          <a:gradFill>
            <a:gsLst>
              <a:gs pos="0">
                <a:schemeClr val="bg1"/>
              </a:gs>
              <a:gs pos="70000">
                <a:srgbClr val="FFFFFF">
                  <a:alpha val="10000"/>
                </a:srgbClr>
              </a:gs>
              <a:gs pos="20000">
                <a:srgbClr val="FFFFFF">
                  <a:alpha val="10000"/>
                </a:srgbClr>
              </a:gs>
              <a:gs pos="100000">
                <a:schemeClr val="bg1"/>
              </a:gs>
            </a:gsLst>
            <a:lin ang="2700000" scaled="0"/>
          </a:gra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0" name="Oval 69">
            <a:extLst>
              <a:ext uri="{FF2B5EF4-FFF2-40B4-BE49-F238E27FC236}">
                <a16:creationId xmlns:a16="http://schemas.microsoft.com/office/drawing/2014/main" id="{B768031E-3AFB-DE1A-7FD0-72441AAC1E70}"/>
              </a:ext>
            </a:extLst>
          </xdr:cNvPr>
          <xdr:cNvSpPr/>
        </xdr:nvSpPr>
        <xdr:spPr>
          <a:xfrm>
            <a:off x="12552090" y="2771740"/>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1" name="Oval 70">
            <a:extLst>
              <a:ext uri="{FF2B5EF4-FFF2-40B4-BE49-F238E27FC236}">
                <a16:creationId xmlns:a16="http://schemas.microsoft.com/office/drawing/2014/main" id="{7F8D0158-8659-A115-5AF3-909AD4C55EED}"/>
              </a:ext>
            </a:extLst>
          </xdr:cNvPr>
          <xdr:cNvSpPr/>
        </xdr:nvSpPr>
        <xdr:spPr>
          <a:xfrm>
            <a:off x="14158393" y="2777348"/>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2" name="Oval 71">
            <a:extLst>
              <a:ext uri="{FF2B5EF4-FFF2-40B4-BE49-F238E27FC236}">
                <a16:creationId xmlns:a16="http://schemas.microsoft.com/office/drawing/2014/main" id="{365B6E35-0086-700A-A60B-FA17727BFEA6}"/>
              </a:ext>
            </a:extLst>
          </xdr:cNvPr>
          <xdr:cNvSpPr/>
        </xdr:nvSpPr>
        <xdr:spPr>
          <a:xfrm>
            <a:off x="12552633" y="1643213"/>
            <a:ext cx="73766"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3" name="Oval 72">
            <a:extLst>
              <a:ext uri="{FF2B5EF4-FFF2-40B4-BE49-F238E27FC236}">
                <a16:creationId xmlns:a16="http://schemas.microsoft.com/office/drawing/2014/main" id="{655561FE-9285-283F-5E1C-E5EED4945419}"/>
              </a:ext>
            </a:extLst>
          </xdr:cNvPr>
          <xdr:cNvSpPr/>
        </xdr:nvSpPr>
        <xdr:spPr>
          <a:xfrm>
            <a:off x="14158936" y="1648821"/>
            <a:ext cx="73765"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29</xdr:col>
      <xdr:colOff>62473</xdr:colOff>
      <xdr:row>19</xdr:row>
      <xdr:rowOff>38419</xdr:rowOff>
    </xdr:from>
    <xdr:to>
      <xdr:col>52</xdr:col>
      <xdr:colOff>105514</xdr:colOff>
      <xdr:row>28</xdr:row>
      <xdr:rowOff>95344</xdr:rowOff>
    </xdr:to>
    <xdr:sp macro="" textlink="">
      <xdr:nvSpPr>
        <xdr:cNvPr id="17" name="Rectangle: Rounded Corners 16">
          <a:extLst>
            <a:ext uri="{FF2B5EF4-FFF2-40B4-BE49-F238E27FC236}">
              <a16:creationId xmlns:a16="http://schemas.microsoft.com/office/drawing/2014/main" id="{A074DF18-D972-8F37-B8E2-C41D7E5F4245}"/>
            </a:ext>
          </a:extLst>
        </xdr:cNvPr>
        <xdr:cNvSpPr/>
      </xdr:nvSpPr>
      <xdr:spPr>
        <a:xfrm>
          <a:off x="4758298" y="2867344"/>
          <a:ext cx="3767316" cy="1342800"/>
        </a:xfrm>
        <a:prstGeom prst="roundRect">
          <a:avLst/>
        </a:prstGeom>
        <a:gradFill>
          <a:gsLst>
            <a:gs pos="0">
              <a:schemeClr val="bg1"/>
            </a:gs>
            <a:gs pos="70000">
              <a:srgbClr val="FFFFFF">
                <a:alpha val="10000"/>
              </a:srgbClr>
            </a:gs>
            <a:gs pos="20000">
              <a:srgbClr val="FFFFFF">
                <a:alpha val="10000"/>
              </a:srgbClr>
            </a:gs>
            <a:gs pos="100000">
              <a:schemeClr val="bg1"/>
            </a:gs>
          </a:gsLst>
          <a:lin ang="2700000" scaled="0"/>
        </a:gra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162679</xdr:colOff>
      <xdr:row>27</xdr:row>
      <xdr:rowOff>94156</xdr:rowOff>
    </xdr:from>
    <xdr:to>
      <xdr:col>30</xdr:col>
      <xdr:colOff>72196</xdr:colOff>
      <xdr:row>28</xdr:row>
      <xdr:rowOff>22598</xdr:rowOff>
    </xdr:to>
    <xdr:sp macro="" textlink="">
      <xdr:nvSpPr>
        <xdr:cNvPr id="6" name="Oval 5">
          <a:extLst>
            <a:ext uri="{FF2B5EF4-FFF2-40B4-BE49-F238E27FC236}">
              <a16:creationId xmlns:a16="http://schemas.microsoft.com/office/drawing/2014/main" id="{1099FC61-0625-47C0-8507-6E7A2C774B98}"/>
            </a:ext>
          </a:extLst>
        </xdr:cNvPr>
        <xdr:cNvSpPr/>
      </xdr:nvSpPr>
      <xdr:spPr>
        <a:xfrm>
          <a:off x="4919887" y="4036448"/>
          <a:ext cx="73559"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51</xdr:col>
      <xdr:colOff>108195</xdr:colOff>
      <xdr:row>27</xdr:row>
      <xdr:rowOff>99764</xdr:rowOff>
    </xdr:from>
    <xdr:to>
      <xdr:col>52</xdr:col>
      <xdr:colOff>17711</xdr:colOff>
      <xdr:row>28</xdr:row>
      <xdr:rowOff>28206</xdr:rowOff>
    </xdr:to>
    <xdr:sp macro="" textlink="">
      <xdr:nvSpPr>
        <xdr:cNvPr id="20" name="Oval 19">
          <a:extLst>
            <a:ext uri="{FF2B5EF4-FFF2-40B4-BE49-F238E27FC236}">
              <a16:creationId xmlns:a16="http://schemas.microsoft.com/office/drawing/2014/main" id="{F4C353DA-A1BA-4A89-9B57-0A9479D849ED}"/>
            </a:ext>
          </a:extLst>
        </xdr:cNvPr>
        <xdr:cNvSpPr/>
      </xdr:nvSpPr>
      <xdr:spPr>
        <a:xfrm>
          <a:off x="8474320" y="4042056"/>
          <a:ext cx="73558"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163221</xdr:colOff>
      <xdr:row>19</xdr:row>
      <xdr:rowOff>108629</xdr:rowOff>
    </xdr:from>
    <xdr:to>
      <xdr:col>30</xdr:col>
      <xdr:colOff>72738</xdr:colOff>
      <xdr:row>20</xdr:row>
      <xdr:rowOff>37071</xdr:rowOff>
    </xdr:to>
    <xdr:sp macro="" textlink="">
      <xdr:nvSpPr>
        <xdr:cNvPr id="22" name="Oval 21">
          <a:extLst>
            <a:ext uri="{FF2B5EF4-FFF2-40B4-BE49-F238E27FC236}">
              <a16:creationId xmlns:a16="http://schemas.microsoft.com/office/drawing/2014/main" id="{219EF21F-1852-47B5-A948-30F34510107F}"/>
            </a:ext>
          </a:extLst>
        </xdr:cNvPr>
        <xdr:cNvSpPr/>
      </xdr:nvSpPr>
      <xdr:spPr>
        <a:xfrm>
          <a:off x="4920429" y="2907921"/>
          <a:ext cx="73559"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51</xdr:col>
      <xdr:colOff>108736</xdr:colOff>
      <xdr:row>19</xdr:row>
      <xdr:rowOff>114237</xdr:rowOff>
    </xdr:from>
    <xdr:to>
      <xdr:col>52</xdr:col>
      <xdr:colOff>18252</xdr:colOff>
      <xdr:row>20</xdr:row>
      <xdr:rowOff>42679</xdr:rowOff>
    </xdr:to>
    <xdr:sp macro="" textlink="">
      <xdr:nvSpPr>
        <xdr:cNvPr id="23" name="Oval 22">
          <a:extLst>
            <a:ext uri="{FF2B5EF4-FFF2-40B4-BE49-F238E27FC236}">
              <a16:creationId xmlns:a16="http://schemas.microsoft.com/office/drawing/2014/main" id="{5536C260-6A9C-46F2-895D-844E686E4209}"/>
            </a:ext>
          </a:extLst>
        </xdr:cNvPr>
        <xdr:cNvSpPr/>
      </xdr:nvSpPr>
      <xdr:spPr>
        <a:xfrm>
          <a:off x="8474861" y="2913529"/>
          <a:ext cx="73558" cy="71317"/>
        </a:xfrm>
        <a:prstGeom prst="ellipse">
          <a:avLst/>
        </a:prstGeom>
        <a:gradFill flip="none" rotWithShape="1">
          <a:gsLst>
            <a:gs pos="0">
              <a:schemeClr val="bg1">
                <a:lumMod val="65000"/>
              </a:schemeClr>
            </a:gs>
            <a:gs pos="67000">
              <a:schemeClr val="bg1">
                <a:lumMod val="65000"/>
              </a:schemeClr>
            </a:gs>
            <a:gs pos="34000">
              <a:schemeClr val="bg1"/>
            </a:gs>
            <a:gs pos="100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28575</xdr:colOff>
      <xdr:row>10</xdr:row>
      <xdr:rowOff>0</xdr:rowOff>
    </xdr:from>
    <xdr:to>
      <xdr:col>27</xdr:col>
      <xdr:colOff>133350</xdr:colOff>
      <xdr:row>17</xdr:row>
      <xdr:rowOff>100013</xdr:rowOff>
    </xdr:to>
    <xdr:sp macro="" textlink="">
      <xdr:nvSpPr>
        <xdr:cNvPr id="16" name="TextBox 15">
          <a:extLst>
            <a:ext uri="{FF2B5EF4-FFF2-40B4-BE49-F238E27FC236}">
              <a16:creationId xmlns:a16="http://schemas.microsoft.com/office/drawing/2014/main" id="{C66FAA01-1B42-E1ED-F49C-31A8890373BD}"/>
            </a:ext>
          </a:extLst>
        </xdr:cNvPr>
        <xdr:cNvSpPr txBox="1"/>
      </xdr:nvSpPr>
      <xdr:spPr>
        <a:xfrm>
          <a:off x="2943225" y="1543050"/>
          <a:ext cx="1562100" cy="1100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u="sng">
              <a:latin typeface="+mn-lt"/>
            </a:rPr>
            <a:t>ORDER OF MERIT WINNERS</a:t>
          </a:r>
        </a:p>
        <a:p>
          <a:pPr algn="ctr"/>
          <a:endParaRPr lang="en-GB" sz="800">
            <a:latin typeface="+mn-lt"/>
          </a:endParaRPr>
        </a:p>
        <a:p>
          <a:pPr lvl="0" algn="l"/>
          <a:r>
            <a:rPr lang="en-GB" sz="800">
              <a:latin typeface="+mn-lt"/>
            </a:rPr>
            <a:t>2023 - Neil Hart</a:t>
          </a:r>
        </a:p>
        <a:p>
          <a:pPr lvl="0" algn="l"/>
          <a:r>
            <a:rPr lang="en-GB" sz="800">
              <a:latin typeface="+mn-lt"/>
            </a:rPr>
            <a:t>2024 - Chris Smith</a:t>
          </a:r>
        </a:p>
        <a:p>
          <a:pPr lvl="0" algn="l"/>
          <a:r>
            <a:rPr lang="en-GB" sz="800">
              <a:latin typeface="+mn-lt"/>
            </a:rPr>
            <a:t>2025 - James Dunn</a:t>
          </a:r>
        </a:p>
        <a:p>
          <a:pPr lvl="0" algn="l"/>
          <a:r>
            <a:rPr lang="en-GB" sz="800">
              <a:latin typeface="+mn-lt"/>
            </a:rPr>
            <a:t>2026 - </a:t>
          </a:r>
        </a:p>
        <a:p>
          <a:pPr lvl="0" algn="l"/>
          <a:r>
            <a:rPr lang="en-GB" sz="800">
              <a:latin typeface="+mn-lt"/>
            </a:rPr>
            <a:t>2027 - </a:t>
          </a:r>
        </a:p>
        <a:p>
          <a:pPr lvl="0" algn="l"/>
          <a:r>
            <a:rPr lang="en-GB" sz="800">
              <a:latin typeface="+mn-lt"/>
            </a:rPr>
            <a:t>2028 - </a:t>
          </a:r>
        </a:p>
      </xdr:txBody>
    </xdr:sp>
    <xdr:clientData/>
  </xdr:twoCellAnchor>
  <xdr:twoCellAnchor>
    <xdr:from>
      <xdr:col>30</xdr:col>
      <xdr:colOff>47626</xdr:colOff>
      <xdr:row>10</xdr:row>
      <xdr:rowOff>4762</xdr:rowOff>
    </xdr:from>
    <xdr:to>
      <xdr:col>39</xdr:col>
      <xdr:colOff>147638</xdr:colOff>
      <xdr:row>17</xdr:row>
      <xdr:rowOff>123824</xdr:rowOff>
    </xdr:to>
    <xdr:sp macro="" textlink="">
      <xdr:nvSpPr>
        <xdr:cNvPr id="25" name="TextBox 24">
          <a:extLst>
            <a:ext uri="{FF2B5EF4-FFF2-40B4-BE49-F238E27FC236}">
              <a16:creationId xmlns:a16="http://schemas.microsoft.com/office/drawing/2014/main" id="{0A307B43-90D1-896C-8412-48B590C74B18}"/>
            </a:ext>
          </a:extLst>
        </xdr:cNvPr>
        <xdr:cNvSpPr txBox="1"/>
      </xdr:nvSpPr>
      <xdr:spPr>
        <a:xfrm>
          <a:off x="4905376" y="1547812"/>
          <a:ext cx="1557337" cy="1119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u="sng">
              <a:latin typeface="+mn-lt"/>
            </a:rPr>
            <a:t>MR BLOBBY</a:t>
          </a:r>
          <a:endParaRPr lang="en-GB" sz="800" u="sng" baseline="0">
            <a:latin typeface="+mn-lt"/>
          </a:endParaRPr>
        </a:p>
        <a:p>
          <a:endParaRPr lang="en-GB" sz="800" baseline="0">
            <a:latin typeface="+mn-lt"/>
          </a:endParaRPr>
        </a:p>
        <a:p>
          <a:r>
            <a:rPr lang="en-GB" sz="800">
              <a:solidFill>
                <a:schemeClr val="dk1"/>
              </a:solidFill>
              <a:effectLst/>
              <a:latin typeface="+mn-lt"/>
              <a:ea typeface="+mn-ea"/>
              <a:cs typeface="+mn-cs"/>
            </a:rPr>
            <a:t>2023 -</a:t>
          </a:r>
          <a:r>
            <a:rPr lang="en-GB" sz="800" baseline="0">
              <a:solidFill>
                <a:schemeClr val="dk1"/>
              </a:solidFill>
              <a:effectLst/>
              <a:latin typeface="+mn-lt"/>
              <a:ea typeface="+mn-ea"/>
              <a:cs typeface="+mn-cs"/>
            </a:rPr>
            <a:t> Paul Fitzgerald</a:t>
          </a:r>
          <a:endParaRPr lang="en-GB" sz="800">
            <a:effectLst/>
            <a:latin typeface="+mn-lt"/>
          </a:endParaRPr>
        </a:p>
        <a:p>
          <a:r>
            <a:rPr lang="en-GB" sz="800">
              <a:solidFill>
                <a:schemeClr val="dk1"/>
              </a:solidFill>
              <a:effectLst/>
              <a:latin typeface="+mn-lt"/>
              <a:ea typeface="+mn-ea"/>
              <a:cs typeface="+mn-cs"/>
            </a:rPr>
            <a:t>2024 - Mike Forrest</a:t>
          </a:r>
          <a:endParaRPr lang="en-GB" sz="800">
            <a:effectLst/>
            <a:latin typeface="+mn-lt"/>
          </a:endParaRPr>
        </a:p>
        <a:p>
          <a:r>
            <a:rPr lang="en-GB" sz="800">
              <a:solidFill>
                <a:schemeClr val="dk1"/>
              </a:solidFill>
              <a:effectLst/>
              <a:latin typeface="+mn-lt"/>
              <a:ea typeface="+mn-ea"/>
              <a:cs typeface="+mn-cs"/>
            </a:rPr>
            <a:t>2025 - Terry Shoker</a:t>
          </a:r>
          <a:endParaRPr lang="en-GB" sz="800">
            <a:effectLst/>
            <a:latin typeface="+mn-lt"/>
          </a:endParaRPr>
        </a:p>
        <a:p>
          <a:r>
            <a:rPr lang="en-GB" sz="800">
              <a:solidFill>
                <a:schemeClr val="dk1"/>
              </a:solidFill>
              <a:effectLst/>
              <a:latin typeface="+mn-lt"/>
              <a:ea typeface="+mn-ea"/>
              <a:cs typeface="+mn-cs"/>
            </a:rPr>
            <a:t>2026 - </a:t>
          </a:r>
          <a:endParaRPr lang="en-GB" sz="800">
            <a:effectLst/>
            <a:latin typeface="+mn-lt"/>
          </a:endParaRPr>
        </a:p>
        <a:p>
          <a:r>
            <a:rPr lang="en-GB" sz="800">
              <a:solidFill>
                <a:schemeClr val="dk1"/>
              </a:solidFill>
              <a:effectLst/>
              <a:latin typeface="+mn-lt"/>
              <a:ea typeface="+mn-ea"/>
              <a:cs typeface="+mn-cs"/>
            </a:rPr>
            <a:t>2027 - </a:t>
          </a:r>
          <a:endParaRPr lang="en-GB" sz="800">
            <a:effectLst/>
            <a:latin typeface="+mn-lt"/>
          </a:endParaRPr>
        </a:p>
        <a:p>
          <a:r>
            <a:rPr lang="en-GB" sz="800">
              <a:solidFill>
                <a:schemeClr val="dk1"/>
              </a:solidFill>
              <a:effectLst/>
              <a:latin typeface="+mn-lt"/>
              <a:ea typeface="+mn-ea"/>
              <a:cs typeface="+mn-cs"/>
            </a:rPr>
            <a:t>202</a:t>
          </a:r>
          <a:r>
            <a:rPr lang="en-GB" sz="800" baseline="0">
              <a:solidFill>
                <a:schemeClr val="dk1"/>
              </a:solidFill>
              <a:effectLst/>
              <a:latin typeface="+mn-lt"/>
              <a:ea typeface="+mn-ea"/>
              <a:cs typeface="+mn-cs"/>
            </a:rPr>
            <a:t>8 - </a:t>
          </a:r>
          <a:endParaRPr lang="en-GB" sz="800">
            <a:effectLst/>
            <a:latin typeface="+mn-lt"/>
          </a:endParaRPr>
        </a:p>
        <a:p>
          <a:endParaRPr lang="en-GB" sz="800">
            <a:latin typeface="+mn-lt"/>
          </a:endParaRPr>
        </a:p>
      </xdr:txBody>
    </xdr:sp>
    <xdr:clientData/>
  </xdr:twoCellAnchor>
  <xdr:twoCellAnchor>
    <xdr:from>
      <xdr:col>42</xdr:col>
      <xdr:colOff>38100</xdr:colOff>
      <xdr:row>9</xdr:row>
      <xdr:rowOff>133350</xdr:rowOff>
    </xdr:from>
    <xdr:to>
      <xdr:col>51</xdr:col>
      <xdr:colOff>152400</xdr:colOff>
      <xdr:row>17</xdr:row>
      <xdr:rowOff>128587</xdr:rowOff>
    </xdr:to>
    <xdr:sp macro="" textlink="">
      <xdr:nvSpPr>
        <xdr:cNvPr id="26" name="TextBox 25">
          <a:extLst>
            <a:ext uri="{FF2B5EF4-FFF2-40B4-BE49-F238E27FC236}">
              <a16:creationId xmlns:a16="http://schemas.microsoft.com/office/drawing/2014/main" id="{D7363D38-FBC8-12AD-D266-C58FEBE58CAC}"/>
            </a:ext>
          </a:extLst>
        </xdr:cNvPr>
        <xdr:cNvSpPr txBox="1"/>
      </xdr:nvSpPr>
      <xdr:spPr>
        <a:xfrm>
          <a:off x="6838950" y="1533525"/>
          <a:ext cx="1571625" cy="113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u="sng">
              <a:latin typeface="+mn-lt"/>
            </a:rPr>
            <a:t>CHERRY LODGE "CHAMPIONS"</a:t>
          </a:r>
        </a:p>
        <a:p>
          <a:endParaRPr lang="en-GB" sz="800">
            <a:latin typeface="+mn-lt"/>
          </a:endParaRPr>
        </a:p>
        <a:p>
          <a:r>
            <a:rPr lang="en-GB" sz="800">
              <a:latin typeface="+mn-lt"/>
            </a:rPr>
            <a:t>2023 - Mike Forrest </a:t>
          </a:r>
        </a:p>
        <a:p>
          <a:r>
            <a:rPr lang="en-GB" sz="800">
              <a:latin typeface="+mn-lt"/>
            </a:rPr>
            <a:t>2024 - Ross Fraser</a:t>
          </a:r>
        </a:p>
        <a:p>
          <a:r>
            <a:rPr lang="en-GB" sz="800">
              <a:latin typeface="+mn-lt"/>
            </a:rPr>
            <a:t>2025 - Archie</a:t>
          </a:r>
          <a:r>
            <a:rPr lang="en-GB" sz="800" baseline="0">
              <a:latin typeface="+mn-lt"/>
            </a:rPr>
            <a:t> Fraser</a:t>
          </a:r>
          <a:endParaRPr lang="en-GB" sz="800">
            <a:latin typeface="+mn-lt"/>
          </a:endParaRPr>
        </a:p>
        <a:p>
          <a:r>
            <a:rPr lang="en-GB" sz="800">
              <a:latin typeface="+mn-lt"/>
            </a:rPr>
            <a:t>2026 - </a:t>
          </a:r>
        </a:p>
        <a:p>
          <a:r>
            <a:rPr lang="en-GB" sz="800">
              <a:latin typeface="+mn-lt"/>
            </a:rPr>
            <a:t>2027 - </a:t>
          </a:r>
        </a:p>
        <a:p>
          <a:r>
            <a:rPr lang="en-GB" sz="800">
              <a:latin typeface="+mn-lt"/>
            </a:rPr>
            <a:t>2028 - </a:t>
          </a:r>
        </a:p>
      </xdr:txBody>
    </xdr:sp>
    <xdr:clientData/>
  </xdr:twoCellAnchor>
  <xdr:twoCellAnchor>
    <xdr:from>
      <xdr:col>17</xdr:col>
      <xdr:colOff>47626</xdr:colOff>
      <xdr:row>19</xdr:row>
      <xdr:rowOff>61913</xdr:rowOff>
    </xdr:from>
    <xdr:to>
      <xdr:col>28</xdr:col>
      <xdr:colOff>109539</xdr:colOff>
      <xdr:row>28</xdr:row>
      <xdr:rowOff>90488</xdr:rowOff>
    </xdr:to>
    <xdr:sp macro="" textlink="">
      <xdr:nvSpPr>
        <xdr:cNvPr id="30" name="TextBox 29">
          <a:extLst>
            <a:ext uri="{FF2B5EF4-FFF2-40B4-BE49-F238E27FC236}">
              <a16:creationId xmlns:a16="http://schemas.microsoft.com/office/drawing/2014/main" id="{BE23525D-014C-AAAA-D761-5BBE02F5981B}"/>
            </a:ext>
          </a:extLst>
        </xdr:cNvPr>
        <xdr:cNvSpPr txBox="1"/>
      </xdr:nvSpPr>
      <xdr:spPr>
        <a:xfrm>
          <a:off x="2800351" y="2890838"/>
          <a:ext cx="1843088" cy="131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u="sng">
              <a:latin typeface="+mn-lt"/>
              <a:ea typeface="Segoe UI Black" panose="020B0A02040204020203" pitchFamily="34" charset="0"/>
            </a:rPr>
            <a:t>BEST SCORES/ROUNDS</a:t>
          </a:r>
        </a:p>
        <a:p>
          <a:endParaRPr lang="en-GB" sz="800">
            <a:latin typeface="+mn-lt"/>
            <a:ea typeface="Segoe UI Black" panose="020B0A02040204020203" pitchFamily="34" charset="0"/>
          </a:endParaRPr>
        </a:p>
        <a:p>
          <a:r>
            <a:rPr lang="en-GB" sz="800">
              <a:latin typeface="+mn-lt"/>
              <a:ea typeface="Segoe UI Black" panose="020B0A02040204020203" pitchFamily="34" charset="0"/>
            </a:rPr>
            <a:t>Front 9        - F.Wheeler</a:t>
          </a:r>
          <a:r>
            <a:rPr lang="en-GB" sz="800" baseline="0">
              <a:latin typeface="+mn-lt"/>
              <a:ea typeface="Segoe UI Black" panose="020B0A02040204020203" pitchFamily="34" charset="0"/>
            </a:rPr>
            <a:t> </a:t>
          </a:r>
          <a:r>
            <a:rPr lang="en-GB" sz="600">
              <a:latin typeface="+mn-lt"/>
              <a:ea typeface="Segoe UI Black" panose="020B0A02040204020203" pitchFamily="34" charset="0"/>
            </a:rPr>
            <a:t>(2024 - 24pts)</a:t>
          </a:r>
        </a:p>
        <a:p>
          <a:r>
            <a:rPr lang="en-GB" sz="600">
              <a:latin typeface="+mn-lt"/>
              <a:ea typeface="Segoe UI Black" panose="020B0A02040204020203" pitchFamily="34" charset="0"/>
            </a:rPr>
            <a:t>                            </a:t>
          </a:r>
          <a:r>
            <a:rPr lang="en-GB" sz="800">
              <a:latin typeface="+mn-lt"/>
              <a:ea typeface="Segoe UI Black" panose="020B0A02040204020203" pitchFamily="34" charset="0"/>
            </a:rPr>
            <a:t>- Gary Hall</a:t>
          </a:r>
          <a:r>
            <a:rPr lang="en-GB" sz="800" baseline="0">
              <a:latin typeface="+mn-lt"/>
              <a:ea typeface="Segoe UI Black" panose="020B0A02040204020203" pitchFamily="34" charset="0"/>
            </a:rPr>
            <a:t> </a:t>
          </a:r>
          <a:r>
            <a:rPr lang="en-GB" sz="600" baseline="0">
              <a:latin typeface="+mn-lt"/>
              <a:ea typeface="Segoe UI Black" panose="020B0A02040204020203" pitchFamily="34" charset="0"/>
            </a:rPr>
            <a:t>(2025 - 24pts)</a:t>
          </a:r>
          <a:endParaRPr lang="en-GB" sz="600">
            <a:latin typeface="+mn-lt"/>
            <a:ea typeface="Segoe UI Black" panose="020B0A02040204020203" pitchFamily="34" charset="0"/>
          </a:endParaRPr>
        </a:p>
        <a:p>
          <a:r>
            <a:rPr lang="en-GB" sz="800">
              <a:latin typeface="+mn-lt"/>
              <a:ea typeface="Segoe UI Black" panose="020B0A02040204020203" pitchFamily="34" charset="0"/>
            </a:rPr>
            <a:t>Back</a:t>
          </a:r>
          <a:r>
            <a:rPr lang="en-GB" sz="800" baseline="0">
              <a:latin typeface="+mn-lt"/>
              <a:ea typeface="Segoe UI Black" panose="020B0A02040204020203" pitchFamily="34" charset="0"/>
            </a:rPr>
            <a:t> </a:t>
          </a:r>
          <a:r>
            <a:rPr lang="en-GB" sz="800">
              <a:latin typeface="+mn-lt"/>
              <a:ea typeface="Segoe UI Black" panose="020B0A02040204020203" pitchFamily="34" charset="0"/>
            </a:rPr>
            <a:t>9         - M.</a:t>
          </a:r>
          <a:r>
            <a:rPr lang="en-GB" sz="800" baseline="0">
              <a:latin typeface="+mn-lt"/>
              <a:ea typeface="Segoe UI Black" panose="020B0A02040204020203" pitchFamily="34" charset="0"/>
            </a:rPr>
            <a:t>Forrest </a:t>
          </a:r>
          <a:r>
            <a:rPr lang="en-GB" sz="600">
              <a:latin typeface="+mn-lt"/>
              <a:ea typeface="Segoe UI Black" panose="020B0A02040204020203" pitchFamily="34" charset="0"/>
            </a:rPr>
            <a:t>(2024 - 25pts)</a:t>
          </a:r>
        </a:p>
        <a:p>
          <a:r>
            <a:rPr lang="en-GB" sz="800" baseline="0">
              <a:latin typeface="+mn-lt"/>
              <a:ea typeface="Segoe UI Black" panose="020B0A02040204020203" pitchFamily="34" charset="0"/>
            </a:rPr>
            <a:t>Overall        - P.Coleman </a:t>
          </a:r>
          <a:r>
            <a:rPr lang="en-GB" sz="600" baseline="0">
              <a:latin typeface="+mn-lt"/>
              <a:ea typeface="Segoe UI Black" panose="020B0A02040204020203" pitchFamily="34" charset="0"/>
            </a:rPr>
            <a:t>(2024 - 47pts)</a:t>
          </a:r>
        </a:p>
        <a:p>
          <a:r>
            <a:rPr lang="en-GB" sz="800" baseline="0">
              <a:latin typeface="+mn-lt"/>
              <a:ea typeface="Segoe UI Black" panose="020B0A02040204020203" pitchFamily="34" charset="0"/>
            </a:rPr>
            <a:t>Monthly S   - D.Randall </a:t>
          </a:r>
          <a:r>
            <a:rPr lang="en-GB" sz="600" baseline="0">
              <a:latin typeface="+mn-lt"/>
              <a:ea typeface="Segoe UI Black" panose="020B0A02040204020203" pitchFamily="34" charset="0"/>
            </a:rPr>
            <a:t>(2024 - 42pts)</a:t>
          </a:r>
        </a:p>
        <a:p>
          <a:r>
            <a:rPr lang="en-GB" sz="800" baseline="0">
              <a:latin typeface="+mn-lt"/>
              <a:ea typeface="Segoe UI Black" panose="020B0A02040204020203" pitchFamily="34" charset="0"/>
            </a:rPr>
            <a:t>Monthly M - J.Sprosen </a:t>
          </a:r>
          <a:r>
            <a:rPr lang="en-GB" sz="600" baseline="0">
              <a:latin typeface="+mn-lt"/>
              <a:ea typeface="Segoe UI Black" panose="020B0A02040204020203" pitchFamily="34" charset="0"/>
            </a:rPr>
            <a:t>(2024 - 69)</a:t>
          </a:r>
        </a:p>
      </xdr:txBody>
    </xdr:sp>
    <xdr:clientData/>
  </xdr:twoCellAnchor>
  <xdr:twoCellAnchor>
    <xdr:from>
      <xdr:col>30</xdr:col>
      <xdr:colOff>28567</xdr:colOff>
      <xdr:row>19</xdr:row>
      <xdr:rowOff>76193</xdr:rowOff>
    </xdr:from>
    <xdr:to>
      <xdr:col>53</xdr:col>
      <xdr:colOff>42859</xdr:colOff>
      <xdr:row>28</xdr:row>
      <xdr:rowOff>19049</xdr:rowOff>
    </xdr:to>
    <xdr:sp macro="" textlink="">
      <xdr:nvSpPr>
        <xdr:cNvPr id="27" name="TextBox 26">
          <a:extLst>
            <a:ext uri="{FF2B5EF4-FFF2-40B4-BE49-F238E27FC236}">
              <a16:creationId xmlns:a16="http://schemas.microsoft.com/office/drawing/2014/main" id="{43C369B4-C9BB-FEAB-6711-16125EB37367}"/>
            </a:ext>
          </a:extLst>
        </xdr:cNvPr>
        <xdr:cNvSpPr txBox="1"/>
      </xdr:nvSpPr>
      <xdr:spPr>
        <a:xfrm>
          <a:off x="4886317" y="2905118"/>
          <a:ext cx="3738567" cy="122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u="sng">
              <a:latin typeface="+mn-lt"/>
            </a:rPr>
            <a:t>EAGLE/BIRDIE/PAR</a:t>
          </a:r>
          <a:r>
            <a:rPr lang="en-GB" sz="800" u="sng" baseline="0">
              <a:latin typeface="+mn-lt"/>
            </a:rPr>
            <a:t> LEADERS</a:t>
          </a:r>
        </a:p>
        <a:p>
          <a:pPr algn="ctr"/>
          <a:endParaRPr lang="en-GB" sz="800" baseline="0">
            <a:latin typeface="+mn-lt"/>
          </a:endParaRPr>
        </a:p>
        <a:p>
          <a:pPr algn="l"/>
          <a:r>
            <a:rPr lang="en-GB" sz="800" baseline="0">
              <a:latin typeface="+mn-lt"/>
            </a:rPr>
            <a:t>                  EAGLEs                         BIRDIEs                          PARs</a:t>
          </a:r>
        </a:p>
        <a:p>
          <a:r>
            <a:rPr lang="en-GB" sz="800" baseline="0">
              <a:latin typeface="+mn-lt"/>
            </a:rPr>
            <a:t>2023 -       Jake Sprosen (2)         Neil Hart (37)               Max Ball (225)</a:t>
          </a:r>
        </a:p>
        <a:p>
          <a:r>
            <a:rPr lang="en-GB" sz="800" baseline="0">
              <a:latin typeface="+mn-lt"/>
            </a:rPr>
            <a:t>2024 -       Multiple (1)                 Chris Smith (54)           Dave Randall (269)</a:t>
          </a:r>
        </a:p>
        <a:p>
          <a:r>
            <a:rPr lang="en-GB" sz="800" baseline="0">
              <a:latin typeface="+mn-lt"/>
            </a:rPr>
            <a:t>2025 -       Chris Smith (5)            Chris Smith (79)           Brad Whitehead (263)</a:t>
          </a:r>
        </a:p>
        <a:p>
          <a:r>
            <a:rPr lang="en-GB" sz="800" baseline="0">
              <a:latin typeface="+mn-lt"/>
            </a:rPr>
            <a:t>2026 - </a:t>
          </a:r>
        </a:p>
        <a:p>
          <a:r>
            <a:rPr lang="en-GB" sz="800" baseline="0">
              <a:latin typeface="+mn-lt"/>
            </a:rPr>
            <a:t>2027 - </a:t>
          </a:r>
        </a:p>
        <a:p>
          <a:r>
            <a:rPr lang="en-GB" sz="800" baseline="0">
              <a:latin typeface="+mn-lt"/>
            </a:rPr>
            <a:t>2028 - </a:t>
          </a:r>
          <a:endParaRPr lang="en-GB" sz="800">
            <a:latin typeface="+mn-lt"/>
          </a:endParaRPr>
        </a:p>
      </xdr:txBody>
    </xdr:sp>
    <xdr:clientData/>
  </xdr:twoCellAnchor>
  <xdr:twoCellAnchor>
    <xdr:from>
      <xdr:col>0</xdr:col>
      <xdr:colOff>19049</xdr:colOff>
      <xdr:row>87</xdr:row>
      <xdr:rowOff>76201</xdr:rowOff>
    </xdr:from>
    <xdr:to>
      <xdr:col>69</xdr:col>
      <xdr:colOff>142875</xdr:colOff>
      <xdr:row>105</xdr:row>
      <xdr:rowOff>76201</xdr:rowOff>
    </xdr:to>
    <xdr:graphicFrame macro="">
      <xdr:nvGraphicFramePr>
        <xdr:cNvPr id="83" name="Chart 82">
          <a:extLst>
            <a:ext uri="{FF2B5EF4-FFF2-40B4-BE49-F238E27FC236}">
              <a16:creationId xmlns:a16="http://schemas.microsoft.com/office/drawing/2014/main" id="{F1F8A92C-F69A-460D-9CEC-7CF79691F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142876</xdr:colOff>
      <xdr:row>29</xdr:row>
      <xdr:rowOff>47625</xdr:rowOff>
    </xdr:from>
    <xdr:to>
      <xdr:col>69</xdr:col>
      <xdr:colOff>142876</xdr:colOff>
      <xdr:row>52</xdr:row>
      <xdr:rowOff>28575</xdr:rowOff>
    </xdr:to>
    <xdr:graphicFrame macro="">
      <xdr:nvGraphicFramePr>
        <xdr:cNvPr id="5" name="Chart 4">
          <a:extLst>
            <a:ext uri="{FF2B5EF4-FFF2-40B4-BE49-F238E27FC236}">
              <a16:creationId xmlns:a16="http://schemas.microsoft.com/office/drawing/2014/main" id="{9830E71D-8096-4EA2-AE3C-28636F797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20412</xdr:colOff>
      <xdr:row>29</xdr:row>
      <xdr:rowOff>54429</xdr:rowOff>
    </xdr:from>
    <xdr:to>
      <xdr:col>47</xdr:col>
      <xdr:colOff>95251</xdr:colOff>
      <xdr:row>52</xdr:row>
      <xdr:rowOff>27214</xdr:rowOff>
    </xdr:to>
    <xdr:graphicFrame macro="">
      <xdr:nvGraphicFramePr>
        <xdr:cNvPr id="2" name="Chart 1">
          <a:extLst>
            <a:ext uri="{FF2B5EF4-FFF2-40B4-BE49-F238E27FC236}">
              <a16:creationId xmlns:a16="http://schemas.microsoft.com/office/drawing/2014/main" id="{09FCED4B-50ED-4755-ABE3-3AA9D585B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aul CLARKE" id="{1C9733FB-B752-4E45-A415-3CA9946CF14B}" userId="S::paul.clarke@hsbc.com::f16d7910-f585-4a2a-820b-210fc0e60bf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0A1AE-3599-4F9B-99C5-8D68F582D436}" name="Table1" displayName="Table1" ref="D3:D12" totalsRowShown="0">
  <autoFilter ref="D3:D12" xr:uid="{8330A1AE-3599-4F9B-99C5-8D68F582D436}"/>
  <tableColumns count="1">
    <tableColumn id="1" xr3:uid="{B1C51BE5-C64E-4917-9DF4-21E6FACD769C}" name="Scor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3DE113-467E-4376-8FC7-B5EA11D43DAE}" name="Table2" displayName="Table2" ref="D14:D23" totalsRowShown="0">
  <autoFilter ref="D14:D23" xr:uid="{DF3DE113-467E-4376-8FC7-B5EA11D43DAE}"/>
  <tableColumns count="1">
    <tableColumn id="1" xr3:uid="{986E53EC-E59C-4879-A1BC-8343A899AC5A}" name="Forma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756D5D-E986-42A4-A1CA-EBA704107EC1}" name="Table3" displayName="Table3" ref="F3:F55" totalsRowShown="0">
  <autoFilter ref="F3:F55" xr:uid="{05756D5D-E986-42A4-A1CA-EBA704107EC1}"/>
  <tableColumns count="1">
    <tableColumn id="1" xr3:uid="{D1D6D1C1-D578-43DD-83DF-E537409F475C}" name="Date" dataDxfId="30">
      <calculatedColumnFormula>F3+7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JV4" dT="2024-12-30T12:17:18.36" personId="{1C9733FB-B752-4E45-A415-3CA9946CF14B}" id="{589E5858-C2C3-434D-A6C1-8A222BA6291A}">
    <text>Centenary Cup - normal swindle can be played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10556-6C37-40CA-9917-8B430B183077}">
  <sheetPr>
    <pageSetUpPr fitToPage="1"/>
  </sheetPr>
  <dimension ref="A1:Z53"/>
  <sheetViews>
    <sheetView topLeftCell="A16" workbookViewId="0">
      <selection activeCell="E40" sqref="E40:H40"/>
    </sheetView>
  </sheetViews>
  <sheetFormatPr defaultRowHeight="15" x14ac:dyDescent="0.2"/>
  <cols>
    <col min="4" max="4" width="9.5" style="14"/>
    <col min="5" max="5" width="19" style="6" customWidth="1"/>
    <col min="8" max="8" width="12.5" customWidth="1"/>
    <col min="13" max="13" width="9.5" style="14"/>
    <col min="14" max="14" width="9.5" style="6"/>
    <col min="17" max="17" width="12.5" customWidth="1"/>
    <col min="23" max="23" width="9.5" style="6"/>
    <col min="26" max="26" width="12.5" customWidth="1"/>
  </cols>
  <sheetData>
    <row r="1" spans="1:26" ht="21" x14ac:dyDescent="0.35">
      <c r="A1" s="4" t="s">
        <v>0</v>
      </c>
      <c r="J1" s="4" t="s">
        <v>1</v>
      </c>
      <c r="S1" s="4" t="s">
        <v>2</v>
      </c>
    </row>
    <row r="2" spans="1:26" ht="11.25" customHeight="1" x14ac:dyDescent="0.35">
      <c r="A2" s="4"/>
      <c r="J2" s="4"/>
      <c r="S2" s="4"/>
    </row>
    <row r="3" spans="1:26" ht="6" customHeight="1" x14ac:dyDescent="0.2"/>
    <row r="4" spans="1:26" ht="21" customHeight="1" x14ac:dyDescent="0.25">
      <c r="A4" s="9">
        <v>2006</v>
      </c>
      <c r="B4" s="7"/>
      <c r="C4" s="5"/>
      <c r="D4" s="15"/>
      <c r="E4" s="590" t="s">
        <v>3</v>
      </c>
      <c r="F4" s="590"/>
      <c r="G4" s="590"/>
      <c r="H4" s="591"/>
      <c r="J4" s="9">
        <v>2006</v>
      </c>
      <c r="K4" s="7"/>
      <c r="L4" s="5"/>
      <c r="M4" s="15"/>
      <c r="N4" s="590"/>
      <c r="O4" s="590"/>
      <c r="P4" s="590"/>
      <c r="Q4" s="591"/>
      <c r="S4" s="9">
        <v>2006</v>
      </c>
      <c r="T4" s="7"/>
      <c r="U4" s="5"/>
      <c r="V4" s="13"/>
      <c r="W4" s="590"/>
      <c r="X4" s="590"/>
      <c r="Y4" s="590"/>
      <c r="Z4" s="591"/>
    </row>
    <row r="5" spans="1:26" ht="6.75" customHeight="1" x14ac:dyDescent="0.2">
      <c r="A5" s="8"/>
      <c r="B5" s="8"/>
      <c r="J5" s="8"/>
      <c r="K5" s="8"/>
      <c r="S5" s="8"/>
      <c r="T5" s="8"/>
    </row>
    <row r="6" spans="1:26" ht="21" customHeight="1" x14ac:dyDescent="0.25">
      <c r="A6" s="9">
        <v>2007</v>
      </c>
      <c r="B6" s="7"/>
      <c r="C6" s="5"/>
      <c r="D6" s="15"/>
      <c r="E6" s="590" t="s">
        <v>4</v>
      </c>
      <c r="F6" s="590"/>
      <c r="G6" s="590"/>
      <c r="H6" s="591"/>
      <c r="J6" s="9">
        <v>2007</v>
      </c>
      <c r="K6" s="7"/>
      <c r="L6" s="5"/>
      <c r="M6" s="15"/>
      <c r="N6" s="590"/>
      <c r="O6" s="590"/>
      <c r="P6" s="590"/>
      <c r="Q6" s="591"/>
      <c r="S6" s="9">
        <v>2007</v>
      </c>
      <c r="T6" s="7"/>
      <c r="U6" s="5"/>
      <c r="V6" s="13"/>
      <c r="W6" s="590"/>
      <c r="X6" s="590"/>
      <c r="Y6" s="590"/>
      <c r="Z6" s="591"/>
    </row>
    <row r="7" spans="1:26" ht="6.75" customHeight="1" x14ac:dyDescent="0.2">
      <c r="A7" s="8"/>
      <c r="B7" s="8"/>
      <c r="J7" s="8"/>
      <c r="K7" s="8"/>
      <c r="S7" s="8"/>
      <c r="T7" s="8"/>
    </row>
    <row r="8" spans="1:26" ht="21" customHeight="1" x14ac:dyDescent="0.25">
      <c r="A8" s="9">
        <v>2008</v>
      </c>
      <c r="B8" s="7"/>
      <c r="C8" s="5"/>
      <c r="D8" s="15">
        <v>44</v>
      </c>
      <c r="E8" s="590" t="s">
        <v>5</v>
      </c>
      <c r="F8" s="590"/>
      <c r="G8" s="590"/>
      <c r="H8" s="591"/>
      <c r="J8" s="9">
        <v>2008</v>
      </c>
      <c r="K8" s="7"/>
      <c r="L8" s="5"/>
      <c r="M8" s="15">
        <v>27</v>
      </c>
      <c r="N8" s="590" t="s">
        <v>6</v>
      </c>
      <c r="O8" s="590"/>
      <c r="P8" s="590"/>
      <c r="Q8" s="591"/>
      <c r="S8" s="9">
        <v>2008</v>
      </c>
      <c r="T8" s="7"/>
      <c r="U8" s="5"/>
      <c r="V8" s="13"/>
      <c r="W8" s="590"/>
      <c r="X8" s="590"/>
      <c r="Y8" s="590"/>
      <c r="Z8" s="591"/>
    </row>
    <row r="9" spans="1:26" ht="6.75" customHeight="1" x14ac:dyDescent="0.2">
      <c r="A9" s="8"/>
      <c r="B9" s="8"/>
      <c r="J9" s="8"/>
      <c r="K9" s="8"/>
      <c r="S9" s="8"/>
      <c r="T9" s="8"/>
    </row>
    <row r="10" spans="1:26" ht="21" customHeight="1" x14ac:dyDescent="0.25">
      <c r="A10" s="9">
        <v>2009</v>
      </c>
      <c r="B10" s="7"/>
      <c r="C10" s="5"/>
      <c r="D10" s="15">
        <v>39</v>
      </c>
      <c r="E10" s="590" t="s">
        <v>7</v>
      </c>
      <c r="F10" s="590"/>
      <c r="G10" s="590"/>
      <c r="H10" s="591"/>
      <c r="J10" s="9">
        <v>2009</v>
      </c>
      <c r="K10" s="7"/>
      <c r="L10" s="5"/>
      <c r="M10" s="15">
        <v>24</v>
      </c>
      <c r="N10" s="590" t="s">
        <v>8</v>
      </c>
      <c r="O10" s="590"/>
      <c r="P10" s="590"/>
      <c r="Q10" s="591"/>
      <c r="S10" s="9">
        <v>2009</v>
      </c>
      <c r="T10" s="7"/>
      <c r="U10" s="5"/>
      <c r="V10" s="13"/>
      <c r="W10" s="590"/>
      <c r="X10" s="590"/>
      <c r="Y10" s="590"/>
      <c r="Z10" s="591"/>
    </row>
    <row r="11" spans="1:26" ht="6.75" customHeight="1" x14ac:dyDescent="0.2">
      <c r="A11" s="8"/>
      <c r="B11" s="8"/>
      <c r="J11" s="8"/>
      <c r="K11" s="8"/>
      <c r="S11" s="8"/>
      <c r="T11" s="8"/>
    </row>
    <row r="12" spans="1:26" ht="21" customHeight="1" x14ac:dyDescent="0.2">
      <c r="A12" s="9">
        <f>A10+1</f>
        <v>2010</v>
      </c>
      <c r="B12" s="10"/>
      <c r="C12" s="5"/>
      <c r="D12" s="15">
        <v>40</v>
      </c>
      <c r="E12" s="590" t="s">
        <v>9</v>
      </c>
      <c r="F12" s="590"/>
      <c r="G12" s="590"/>
      <c r="H12" s="591"/>
      <c r="J12" s="9">
        <f>J10+1</f>
        <v>2010</v>
      </c>
      <c r="K12" s="10"/>
      <c r="L12" s="5"/>
      <c r="M12" s="15">
        <v>25</v>
      </c>
      <c r="N12" s="590" t="s">
        <v>10</v>
      </c>
      <c r="O12" s="590"/>
      <c r="P12" s="590"/>
      <c r="Q12" s="591"/>
      <c r="S12" s="9">
        <f>S10+1</f>
        <v>2010</v>
      </c>
      <c r="T12" s="10"/>
      <c r="U12" s="5"/>
      <c r="V12" s="13"/>
      <c r="W12" s="590"/>
      <c r="X12" s="590"/>
      <c r="Y12" s="590"/>
      <c r="Z12" s="591"/>
    </row>
    <row r="13" spans="1:26" ht="6.75" customHeight="1" x14ac:dyDescent="0.2">
      <c r="A13" s="8"/>
      <c r="B13" s="8"/>
      <c r="J13" s="8"/>
      <c r="K13" s="8"/>
      <c r="S13" s="8"/>
      <c r="T13" s="8"/>
    </row>
    <row r="14" spans="1:26" ht="21" customHeight="1" x14ac:dyDescent="0.2">
      <c r="A14" s="9">
        <f>A12+1</f>
        <v>2011</v>
      </c>
      <c r="B14" s="10"/>
      <c r="C14" s="5"/>
      <c r="D14" s="15">
        <v>37</v>
      </c>
      <c r="E14" s="590" t="s">
        <v>11</v>
      </c>
      <c r="F14" s="590"/>
      <c r="G14" s="590"/>
      <c r="H14" s="591"/>
      <c r="J14" s="9">
        <f>J12+1</f>
        <v>2011</v>
      </c>
      <c r="K14" s="10"/>
      <c r="L14" s="5"/>
      <c r="M14" s="15">
        <v>24</v>
      </c>
      <c r="N14" s="590" t="s">
        <v>12</v>
      </c>
      <c r="O14" s="590"/>
      <c r="P14" s="590"/>
      <c r="Q14" s="591"/>
      <c r="S14" s="9">
        <f>S12+1</f>
        <v>2011</v>
      </c>
      <c r="T14" s="10"/>
      <c r="U14" s="5"/>
      <c r="V14" s="13"/>
      <c r="W14" s="590"/>
      <c r="X14" s="590"/>
      <c r="Y14" s="590"/>
      <c r="Z14" s="591"/>
    </row>
    <row r="15" spans="1:26" ht="6.75" customHeight="1" x14ac:dyDescent="0.2">
      <c r="A15" s="8"/>
      <c r="B15" s="8"/>
      <c r="J15" s="8"/>
      <c r="K15" s="8"/>
      <c r="S15" s="8"/>
      <c r="T15" s="8"/>
    </row>
    <row r="16" spans="1:26" ht="21" customHeight="1" x14ac:dyDescent="0.2">
      <c r="A16" s="9">
        <f>A14+1</f>
        <v>2012</v>
      </c>
      <c r="B16" s="10"/>
      <c r="C16" s="5"/>
      <c r="D16" s="15">
        <v>42</v>
      </c>
      <c r="E16" s="590" t="s">
        <v>13</v>
      </c>
      <c r="F16" s="590"/>
      <c r="G16" s="590"/>
      <c r="H16" s="591"/>
      <c r="J16" s="9">
        <f>J14+1</f>
        <v>2012</v>
      </c>
      <c r="K16" s="10"/>
      <c r="L16" s="5"/>
      <c r="M16" s="15">
        <v>22</v>
      </c>
      <c r="N16" s="590" t="s">
        <v>14</v>
      </c>
      <c r="O16" s="590"/>
      <c r="P16" s="590"/>
      <c r="Q16" s="591"/>
      <c r="S16" s="9">
        <f>S14+1</f>
        <v>2012</v>
      </c>
      <c r="T16" s="10"/>
      <c r="U16" s="5"/>
      <c r="V16" s="13"/>
      <c r="W16" s="590"/>
      <c r="X16" s="590"/>
      <c r="Y16" s="590"/>
      <c r="Z16" s="591"/>
    </row>
    <row r="17" spans="1:26" ht="6.75" customHeight="1" x14ac:dyDescent="0.2">
      <c r="A17" s="8"/>
      <c r="B17" s="8"/>
      <c r="J17" s="8"/>
      <c r="K17" s="8"/>
      <c r="S17" s="8"/>
      <c r="T17" s="8"/>
    </row>
    <row r="18" spans="1:26" ht="21" customHeight="1" x14ac:dyDescent="0.2">
      <c r="A18" s="9">
        <f>A16+1</f>
        <v>2013</v>
      </c>
      <c r="B18" s="5"/>
      <c r="C18" s="5"/>
      <c r="D18" s="15">
        <v>37</v>
      </c>
      <c r="E18" s="590" t="s">
        <v>15</v>
      </c>
      <c r="F18" s="590"/>
      <c r="G18" s="590"/>
      <c r="H18" s="591"/>
      <c r="J18" s="9">
        <f>J16+1</f>
        <v>2013</v>
      </c>
      <c r="K18" s="5"/>
      <c r="L18" s="5"/>
      <c r="M18" s="15">
        <v>21</v>
      </c>
      <c r="N18" s="590" t="s">
        <v>16</v>
      </c>
      <c r="O18" s="590"/>
      <c r="P18" s="590"/>
      <c r="Q18" s="591"/>
      <c r="S18" s="9">
        <f>S16+1</f>
        <v>2013</v>
      </c>
      <c r="T18" s="5"/>
      <c r="U18" s="5"/>
      <c r="V18" s="13"/>
      <c r="W18" s="590"/>
      <c r="X18" s="590"/>
      <c r="Y18" s="590"/>
      <c r="Z18" s="591"/>
    </row>
    <row r="19" spans="1:26" ht="6.75" customHeight="1" x14ac:dyDescent="0.2">
      <c r="A19" s="8"/>
      <c r="B19" s="8"/>
      <c r="J19" s="8"/>
      <c r="K19" s="8"/>
      <c r="S19" s="8"/>
      <c r="T19" s="8"/>
    </row>
    <row r="20" spans="1:26" ht="21" customHeight="1" x14ac:dyDescent="0.25">
      <c r="A20" s="9">
        <f>A18+1</f>
        <v>2014</v>
      </c>
      <c r="B20" s="7"/>
      <c r="C20" s="5"/>
      <c r="D20" s="15">
        <v>41</v>
      </c>
      <c r="E20" s="590" t="s">
        <v>17</v>
      </c>
      <c r="F20" s="590"/>
      <c r="G20" s="590"/>
      <c r="H20" s="591"/>
      <c r="J20" s="9">
        <f>J18+1</f>
        <v>2014</v>
      </c>
      <c r="K20" s="7"/>
      <c r="L20" s="5"/>
      <c r="M20" s="15">
        <v>20</v>
      </c>
      <c r="N20" s="590" t="s">
        <v>18</v>
      </c>
      <c r="O20" s="590"/>
      <c r="P20" s="590"/>
      <c r="Q20" s="591"/>
      <c r="S20" s="9">
        <f>S18+1</f>
        <v>2014</v>
      </c>
      <c r="T20" s="7"/>
      <c r="U20" s="5"/>
      <c r="V20" s="13"/>
      <c r="W20" s="590"/>
      <c r="X20" s="590"/>
      <c r="Y20" s="590"/>
      <c r="Z20" s="591"/>
    </row>
    <row r="21" spans="1:26" ht="6.75" customHeight="1" x14ac:dyDescent="0.2"/>
    <row r="22" spans="1:26" ht="21" customHeight="1" x14ac:dyDescent="0.25">
      <c r="A22" s="9">
        <f>A20+1</f>
        <v>2015</v>
      </c>
      <c r="B22" s="7"/>
      <c r="C22" s="5"/>
      <c r="D22" s="15">
        <v>42</v>
      </c>
      <c r="E22" s="590" t="s">
        <v>19</v>
      </c>
      <c r="F22" s="590"/>
      <c r="G22" s="590"/>
      <c r="H22" s="591"/>
      <c r="J22" s="9">
        <f>J20+1</f>
        <v>2015</v>
      </c>
      <c r="K22" s="7"/>
      <c r="L22" s="5"/>
      <c r="M22" s="15"/>
      <c r="N22" s="590" t="s">
        <v>20</v>
      </c>
      <c r="O22" s="590"/>
      <c r="P22" s="590"/>
      <c r="Q22" s="591"/>
      <c r="S22" s="9">
        <f>S20+1</f>
        <v>2015</v>
      </c>
      <c r="T22" s="7"/>
      <c r="U22" s="5"/>
      <c r="V22" s="13"/>
      <c r="W22" s="590"/>
      <c r="X22" s="590"/>
      <c r="Y22" s="590"/>
      <c r="Z22" s="591"/>
    </row>
    <row r="23" spans="1:26" ht="6.75" customHeight="1" x14ac:dyDescent="0.2"/>
    <row r="24" spans="1:26" ht="21" customHeight="1" x14ac:dyDescent="0.25">
      <c r="A24" s="9">
        <f>A22+1</f>
        <v>2016</v>
      </c>
      <c r="B24" s="7"/>
      <c r="C24" s="5"/>
      <c r="D24" s="15"/>
      <c r="E24" s="590" t="s">
        <v>21</v>
      </c>
      <c r="F24" s="590"/>
      <c r="G24" s="590"/>
      <c r="H24" s="591"/>
      <c r="J24" s="9">
        <f>J22+1</f>
        <v>2016</v>
      </c>
      <c r="K24" s="7"/>
      <c r="L24" s="5"/>
      <c r="M24" s="15"/>
      <c r="N24" s="590" t="s">
        <v>21</v>
      </c>
      <c r="O24" s="590"/>
      <c r="P24" s="590"/>
      <c r="Q24" s="591"/>
      <c r="S24" s="9">
        <f>S22+1</f>
        <v>2016</v>
      </c>
      <c r="T24" s="7"/>
      <c r="U24" s="5"/>
      <c r="V24" s="13"/>
      <c r="W24" s="590"/>
      <c r="X24" s="590"/>
      <c r="Y24" s="590"/>
      <c r="Z24" s="591"/>
    </row>
    <row r="25" spans="1:26" s="12" customFormat="1" ht="6.75" customHeight="1" x14ac:dyDescent="0.25">
      <c r="D25" s="16"/>
      <c r="M25" s="16"/>
    </row>
    <row r="26" spans="1:26" ht="21" customHeight="1" x14ac:dyDescent="0.25">
      <c r="A26" s="9">
        <f>A24+1</f>
        <v>2017</v>
      </c>
      <c r="B26" s="7"/>
      <c r="C26" s="5"/>
      <c r="D26" s="15">
        <v>37</v>
      </c>
      <c r="E26" s="590" t="s">
        <v>22</v>
      </c>
      <c r="F26" s="590"/>
      <c r="G26" s="590"/>
      <c r="H26" s="591"/>
      <c r="J26" s="9">
        <f>J24+1</f>
        <v>2017</v>
      </c>
      <c r="K26" s="7"/>
      <c r="L26" s="5"/>
      <c r="M26" s="15">
        <v>20</v>
      </c>
      <c r="N26" s="590" t="s">
        <v>23</v>
      </c>
      <c r="O26" s="590"/>
      <c r="P26" s="590"/>
      <c r="Q26" s="591"/>
      <c r="S26" s="9">
        <f>S24+1</f>
        <v>2017</v>
      </c>
      <c r="T26" s="7"/>
      <c r="U26" s="5"/>
      <c r="V26" s="13"/>
      <c r="W26" s="590" t="s">
        <v>24</v>
      </c>
      <c r="X26" s="590"/>
      <c r="Y26" s="590"/>
      <c r="Z26" s="591"/>
    </row>
    <row r="27" spans="1:26" ht="6.75" customHeight="1" x14ac:dyDescent="0.2"/>
    <row r="28" spans="1:26" ht="21" customHeight="1" x14ac:dyDescent="0.25">
      <c r="A28" s="9">
        <f>A26+1</f>
        <v>2018</v>
      </c>
      <c r="B28" s="7"/>
      <c r="C28" s="5"/>
      <c r="D28" s="15">
        <v>46</v>
      </c>
      <c r="E28" s="590" t="s">
        <v>22</v>
      </c>
      <c r="F28" s="590"/>
      <c r="G28" s="590"/>
      <c r="H28" s="591"/>
      <c r="J28" s="9">
        <f>J26+1</f>
        <v>2018</v>
      </c>
      <c r="K28" s="7"/>
      <c r="L28" s="5"/>
      <c r="M28" s="15">
        <v>20</v>
      </c>
      <c r="N28" s="590" t="s">
        <v>25</v>
      </c>
      <c r="O28" s="590"/>
      <c r="P28" s="590"/>
      <c r="Q28" s="591"/>
      <c r="S28" s="9">
        <f>S26+1</f>
        <v>2018</v>
      </c>
      <c r="T28" s="7"/>
      <c r="U28" s="5"/>
      <c r="V28" s="13"/>
      <c r="W28" s="590"/>
      <c r="X28" s="590"/>
      <c r="Y28" s="590"/>
      <c r="Z28" s="591"/>
    </row>
    <row r="29" spans="1:26" ht="6" customHeight="1" x14ac:dyDescent="0.2"/>
    <row r="30" spans="1:26" ht="21" customHeight="1" x14ac:dyDescent="0.25">
      <c r="A30" s="9">
        <f>A28+1</f>
        <v>2019</v>
      </c>
      <c r="B30" s="7"/>
      <c r="C30" s="5"/>
      <c r="D30" s="15"/>
      <c r="E30" s="590" t="s">
        <v>26</v>
      </c>
      <c r="F30" s="590"/>
      <c r="G30" s="590"/>
      <c r="H30" s="591"/>
      <c r="J30" s="9">
        <f>J28+1</f>
        <v>2019</v>
      </c>
      <c r="K30" s="7"/>
      <c r="L30" s="5"/>
      <c r="M30" s="15"/>
      <c r="N30" s="590" t="s">
        <v>26</v>
      </c>
      <c r="O30" s="590"/>
      <c r="P30" s="590"/>
      <c r="Q30" s="591"/>
      <c r="S30" s="9">
        <f>S28+1</f>
        <v>2019</v>
      </c>
      <c r="T30" s="7"/>
      <c r="U30" s="5"/>
      <c r="V30" s="13"/>
      <c r="W30" s="590" t="s">
        <v>16</v>
      </c>
      <c r="X30" s="590"/>
      <c r="Y30" s="590"/>
      <c r="Z30" s="591"/>
    </row>
    <row r="31" spans="1:26" ht="6" customHeight="1" x14ac:dyDescent="0.25">
      <c r="A31" s="11"/>
      <c r="B31" s="11"/>
      <c r="C31" s="11"/>
      <c r="E31" s="1"/>
      <c r="F31" s="1"/>
      <c r="G31" s="1"/>
      <c r="H31" s="1"/>
      <c r="J31" s="11"/>
      <c r="K31" s="11"/>
      <c r="L31" s="11"/>
      <c r="N31" s="1"/>
      <c r="O31" s="1"/>
      <c r="P31" s="1"/>
      <c r="Q31" s="1"/>
      <c r="S31" s="11"/>
      <c r="T31" s="11"/>
      <c r="U31" s="11"/>
      <c r="W31" s="1"/>
      <c r="X31" s="1"/>
      <c r="Y31" s="1"/>
      <c r="Z31" s="1"/>
    </row>
    <row r="32" spans="1:26" ht="21" customHeight="1" x14ac:dyDescent="0.25">
      <c r="A32" s="9">
        <f>A30+1</f>
        <v>2020</v>
      </c>
      <c r="B32" s="7"/>
      <c r="C32" s="5"/>
      <c r="D32" s="15"/>
      <c r="E32" s="590" t="s">
        <v>27</v>
      </c>
      <c r="F32" s="590"/>
      <c r="G32" s="590"/>
      <c r="H32" s="591"/>
      <c r="J32" s="9">
        <f>J30+1</f>
        <v>2020</v>
      </c>
      <c r="K32" s="7"/>
      <c r="L32" s="5"/>
      <c r="M32" s="15"/>
      <c r="N32" s="590" t="s">
        <v>27</v>
      </c>
      <c r="O32" s="590"/>
      <c r="P32" s="590"/>
      <c r="Q32" s="591"/>
      <c r="S32" s="9">
        <f>S30+1</f>
        <v>2020</v>
      </c>
      <c r="T32" s="7"/>
      <c r="U32" s="5"/>
      <c r="V32" s="13"/>
      <c r="W32" s="590"/>
      <c r="X32" s="590"/>
      <c r="Y32" s="590"/>
      <c r="Z32" s="591"/>
    </row>
    <row r="33" spans="1:26" s="12" customFormat="1" ht="6.75" customHeight="1" x14ac:dyDescent="0.25">
      <c r="D33" s="16"/>
      <c r="M33" s="16"/>
    </row>
    <row r="34" spans="1:26" ht="39.75" customHeight="1" x14ac:dyDescent="0.25">
      <c r="A34" s="9">
        <f>A32+1</f>
        <v>2021</v>
      </c>
      <c r="B34" s="7"/>
      <c r="C34" s="5"/>
      <c r="D34" s="15">
        <v>35</v>
      </c>
      <c r="E34" s="592" t="s">
        <v>28</v>
      </c>
      <c r="F34" s="592"/>
      <c r="G34" s="592"/>
      <c r="H34" s="593"/>
      <c r="J34" s="9">
        <f>J32+1</f>
        <v>2021</v>
      </c>
      <c r="K34" s="7"/>
      <c r="L34" s="5"/>
      <c r="M34" s="15"/>
      <c r="N34" s="590" t="s">
        <v>29</v>
      </c>
      <c r="O34" s="590"/>
      <c r="P34" s="590"/>
      <c r="Q34" s="591"/>
      <c r="S34" s="9">
        <f>S32+1</f>
        <v>2021</v>
      </c>
      <c r="T34" s="7"/>
      <c r="U34" s="5"/>
      <c r="V34" s="13"/>
      <c r="W34" s="590"/>
      <c r="X34" s="590"/>
      <c r="Y34" s="590"/>
      <c r="Z34" s="591"/>
    </row>
    <row r="35" spans="1:26" s="12" customFormat="1" ht="6.75" customHeight="1" x14ac:dyDescent="0.25">
      <c r="D35" s="16"/>
      <c r="M35" s="16"/>
    </row>
    <row r="36" spans="1:26" ht="21" customHeight="1" x14ac:dyDescent="0.25">
      <c r="A36" s="9">
        <f>A34+1</f>
        <v>2022</v>
      </c>
      <c r="B36" s="7"/>
      <c r="C36" s="5"/>
      <c r="D36" s="15">
        <v>40</v>
      </c>
      <c r="E36" s="590" t="s">
        <v>61</v>
      </c>
      <c r="F36" s="590"/>
      <c r="G36" s="590"/>
      <c r="H36" s="591"/>
      <c r="J36" s="9">
        <f>J34+1</f>
        <v>2022</v>
      </c>
      <c r="K36" s="7"/>
      <c r="L36" s="5"/>
      <c r="M36" s="15">
        <v>24</v>
      </c>
      <c r="N36" s="590" t="s">
        <v>62</v>
      </c>
      <c r="O36" s="590"/>
      <c r="P36" s="590"/>
      <c r="Q36" s="591"/>
      <c r="S36" s="9">
        <f>S34+1</f>
        <v>2022</v>
      </c>
      <c r="T36" s="7"/>
      <c r="U36" s="5"/>
      <c r="V36" s="13"/>
      <c r="W36" s="590"/>
      <c r="X36" s="590"/>
      <c r="Y36" s="590"/>
      <c r="Z36" s="591"/>
    </row>
    <row r="37" spans="1:26" ht="6.75" customHeight="1" x14ac:dyDescent="0.2"/>
    <row r="38" spans="1:26" ht="21" customHeight="1" x14ac:dyDescent="0.25">
      <c r="A38" s="9">
        <f>A36+1</f>
        <v>2023</v>
      </c>
      <c r="B38" s="7"/>
      <c r="C38" s="5"/>
      <c r="D38" s="15"/>
      <c r="E38" s="590" t="s">
        <v>26</v>
      </c>
      <c r="F38" s="590"/>
      <c r="G38" s="590"/>
      <c r="H38" s="591"/>
      <c r="J38" s="9">
        <f>J36+1</f>
        <v>2023</v>
      </c>
      <c r="K38" s="7"/>
      <c r="L38" s="5"/>
      <c r="M38" s="15"/>
      <c r="N38" s="590" t="s">
        <v>102</v>
      </c>
      <c r="O38" s="590"/>
      <c r="P38" s="590"/>
      <c r="Q38" s="591"/>
      <c r="S38" s="9">
        <f>S36+1</f>
        <v>2023</v>
      </c>
      <c r="T38" s="7"/>
      <c r="U38" s="5"/>
      <c r="V38" s="13"/>
      <c r="W38" s="590" t="s">
        <v>103</v>
      </c>
      <c r="X38" s="590"/>
      <c r="Y38" s="590"/>
      <c r="Z38" s="591"/>
    </row>
    <row r="39" spans="1:26" ht="6.75" customHeight="1" x14ac:dyDescent="0.2"/>
    <row r="40" spans="1:26" ht="21" customHeight="1" x14ac:dyDescent="0.25">
      <c r="A40" s="9">
        <v>2024</v>
      </c>
      <c r="B40" s="7"/>
      <c r="C40" s="5"/>
      <c r="D40" s="15"/>
      <c r="E40" s="590"/>
      <c r="F40" s="590"/>
      <c r="G40" s="590"/>
      <c r="H40" s="591"/>
      <c r="J40" s="9">
        <v>2024</v>
      </c>
      <c r="K40" s="7"/>
      <c r="L40" s="5"/>
      <c r="M40" s="15">
        <v>0</v>
      </c>
      <c r="N40" s="590" t="s">
        <v>287</v>
      </c>
      <c r="O40" s="590"/>
      <c r="P40" s="590"/>
      <c r="Q40" s="591"/>
      <c r="S40" s="9">
        <v>2024</v>
      </c>
      <c r="T40" s="7"/>
      <c r="U40" s="5"/>
      <c r="V40" s="13"/>
      <c r="W40" s="590"/>
      <c r="X40" s="590"/>
      <c r="Y40" s="590"/>
      <c r="Z40" s="591"/>
    </row>
    <row r="41" spans="1:26" ht="6.75" customHeight="1" x14ac:dyDescent="0.2"/>
    <row r="42" spans="1:26" ht="21" customHeight="1" x14ac:dyDescent="0.25">
      <c r="A42" s="9">
        <v>2025</v>
      </c>
      <c r="B42" s="7"/>
      <c r="C42" s="5"/>
      <c r="D42" s="15">
        <v>36</v>
      </c>
      <c r="E42" s="590" t="s">
        <v>288</v>
      </c>
      <c r="F42" s="590"/>
      <c r="G42" s="590"/>
      <c r="H42" s="591"/>
      <c r="J42" s="9">
        <v>2025</v>
      </c>
      <c r="K42" s="7"/>
      <c r="L42" s="5"/>
      <c r="M42" s="15">
        <v>18</v>
      </c>
      <c r="N42" s="590" t="s">
        <v>120</v>
      </c>
      <c r="O42" s="590"/>
      <c r="P42" s="590"/>
      <c r="Q42" s="591"/>
      <c r="S42" s="9">
        <v>2025</v>
      </c>
      <c r="T42" s="7"/>
      <c r="U42" s="5"/>
      <c r="V42" s="13"/>
      <c r="W42" s="590"/>
      <c r="X42" s="590"/>
      <c r="Y42" s="590"/>
      <c r="Z42" s="591"/>
    </row>
    <row r="43" spans="1:26" ht="6.75" customHeight="1" x14ac:dyDescent="0.2"/>
    <row r="44" spans="1:26" ht="21" customHeight="1" x14ac:dyDescent="0.25">
      <c r="A44" s="9"/>
      <c r="B44" s="7"/>
      <c r="C44" s="5"/>
      <c r="D44" s="15"/>
      <c r="E44" s="590"/>
      <c r="F44" s="590"/>
      <c r="G44" s="590"/>
      <c r="H44" s="591"/>
      <c r="J44" s="9"/>
      <c r="K44" s="7"/>
      <c r="L44" s="5"/>
      <c r="M44" s="15"/>
      <c r="N44" s="590"/>
      <c r="O44" s="590"/>
      <c r="P44" s="590"/>
      <c r="Q44" s="591"/>
      <c r="S44" s="9"/>
      <c r="T44" s="7"/>
      <c r="U44" s="5"/>
      <c r="V44" s="13"/>
      <c r="W44" s="590"/>
      <c r="X44" s="590"/>
      <c r="Y44" s="590"/>
      <c r="Z44" s="591"/>
    </row>
    <row r="45" spans="1:26" ht="6.75" customHeight="1" x14ac:dyDescent="0.2"/>
    <row r="46" spans="1:26" ht="21" customHeight="1" x14ac:dyDescent="0.25">
      <c r="A46" s="9"/>
      <c r="B46" s="7"/>
      <c r="C46" s="5"/>
      <c r="D46" s="15"/>
      <c r="E46" s="590"/>
      <c r="F46" s="590"/>
      <c r="G46" s="590"/>
      <c r="H46" s="591"/>
      <c r="J46" s="9"/>
      <c r="K46" s="7"/>
      <c r="L46" s="5"/>
      <c r="M46" s="15"/>
      <c r="N46" s="590"/>
      <c r="O46" s="590"/>
      <c r="P46" s="590"/>
      <c r="Q46" s="591"/>
      <c r="S46" s="9"/>
      <c r="T46" s="7"/>
      <c r="U46" s="5"/>
      <c r="V46" s="13"/>
      <c r="W46" s="590"/>
      <c r="X46" s="590"/>
      <c r="Y46" s="590"/>
      <c r="Z46" s="591"/>
    </row>
    <row r="47" spans="1:26" ht="6.75" customHeight="1" x14ac:dyDescent="0.2"/>
    <row r="48" spans="1:26" ht="21" customHeight="1" x14ac:dyDescent="0.25">
      <c r="A48" s="9"/>
      <c r="B48" s="7"/>
      <c r="C48" s="5"/>
      <c r="D48" s="15"/>
      <c r="E48" s="590"/>
      <c r="F48" s="590"/>
      <c r="G48" s="590"/>
      <c r="H48" s="591"/>
      <c r="J48" s="9"/>
      <c r="K48" s="7"/>
      <c r="L48" s="5"/>
      <c r="M48" s="15"/>
      <c r="N48" s="590"/>
      <c r="O48" s="590"/>
      <c r="P48" s="590"/>
      <c r="Q48" s="591"/>
      <c r="S48" s="9"/>
      <c r="T48" s="7"/>
      <c r="U48" s="5"/>
      <c r="V48" s="13"/>
      <c r="W48" s="590"/>
      <c r="X48" s="590"/>
      <c r="Y48" s="590"/>
      <c r="Z48" s="591"/>
    </row>
    <row r="49" spans="1:26" ht="6.75" customHeight="1" x14ac:dyDescent="0.2"/>
    <row r="50" spans="1:26" ht="21" customHeight="1" x14ac:dyDescent="0.25">
      <c r="A50" s="9"/>
      <c r="B50" s="7"/>
      <c r="C50" s="5"/>
      <c r="D50" s="15"/>
      <c r="E50" s="590"/>
      <c r="F50" s="590"/>
      <c r="G50" s="590"/>
      <c r="H50" s="591"/>
      <c r="J50" s="9"/>
      <c r="K50" s="7"/>
      <c r="L50" s="5"/>
      <c r="M50" s="15"/>
      <c r="N50" s="590"/>
      <c r="O50" s="590"/>
      <c r="P50" s="590"/>
      <c r="Q50" s="591"/>
      <c r="S50" s="9"/>
      <c r="T50" s="7"/>
      <c r="U50" s="5"/>
      <c r="V50" s="13"/>
      <c r="W50" s="590"/>
      <c r="X50" s="590"/>
      <c r="Y50" s="590"/>
      <c r="Z50" s="591"/>
    </row>
    <row r="53" spans="1:26" ht="6.75" customHeight="1" x14ac:dyDescent="0.2"/>
  </sheetData>
  <mergeCells count="72">
    <mergeCell ref="E38:H38"/>
    <mergeCell ref="N38:Q38"/>
    <mergeCell ref="W38:Z38"/>
    <mergeCell ref="E4:H4"/>
    <mergeCell ref="E6:H6"/>
    <mergeCell ref="E8:H8"/>
    <mergeCell ref="E10:H10"/>
    <mergeCell ref="E12:H12"/>
    <mergeCell ref="E36:H36"/>
    <mergeCell ref="E16:H16"/>
    <mergeCell ref="E18:H18"/>
    <mergeCell ref="E20:H20"/>
    <mergeCell ref="E22:H22"/>
    <mergeCell ref="E26:H26"/>
    <mergeCell ref="E28:H28"/>
    <mergeCell ref="N14:Q14"/>
    <mergeCell ref="E24:H24"/>
    <mergeCell ref="E32:H32"/>
    <mergeCell ref="E30:H30"/>
    <mergeCell ref="E34:H34"/>
    <mergeCell ref="E14:H14"/>
    <mergeCell ref="N4:Q4"/>
    <mergeCell ref="N6:Q6"/>
    <mergeCell ref="N8:Q8"/>
    <mergeCell ref="N10:Q10"/>
    <mergeCell ref="N12:Q12"/>
    <mergeCell ref="W30:Z30"/>
    <mergeCell ref="W32:Z32"/>
    <mergeCell ref="W34:Z34"/>
    <mergeCell ref="W36:Z36"/>
    <mergeCell ref="N16:Q16"/>
    <mergeCell ref="N18:Q18"/>
    <mergeCell ref="N20:Q20"/>
    <mergeCell ref="N22:Q22"/>
    <mergeCell ref="N24:Q24"/>
    <mergeCell ref="N26:Q26"/>
    <mergeCell ref="N28:Q28"/>
    <mergeCell ref="N30:Q30"/>
    <mergeCell ref="N32:Q32"/>
    <mergeCell ref="N34:Q34"/>
    <mergeCell ref="N36:Q36"/>
    <mergeCell ref="W28:Z28"/>
    <mergeCell ref="W4:Z4"/>
    <mergeCell ref="W6:Z6"/>
    <mergeCell ref="W8:Z8"/>
    <mergeCell ref="W10:Z10"/>
    <mergeCell ref="W12:Z12"/>
    <mergeCell ref="W14:Z14"/>
    <mergeCell ref="W26:Z26"/>
    <mergeCell ref="W16:Z16"/>
    <mergeCell ref="W18:Z18"/>
    <mergeCell ref="W20:Z20"/>
    <mergeCell ref="W22:Z22"/>
    <mergeCell ref="W24:Z24"/>
    <mergeCell ref="E40:H40"/>
    <mergeCell ref="N40:Q40"/>
    <mergeCell ref="W40:Z40"/>
    <mergeCell ref="E42:H42"/>
    <mergeCell ref="N42:Q42"/>
    <mergeCell ref="W42:Z42"/>
    <mergeCell ref="E44:H44"/>
    <mergeCell ref="N44:Q44"/>
    <mergeCell ref="W44:Z44"/>
    <mergeCell ref="E46:H46"/>
    <mergeCell ref="N46:Q46"/>
    <mergeCell ref="W46:Z46"/>
    <mergeCell ref="E48:H48"/>
    <mergeCell ref="N48:Q48"/>
    <mergeCell ref="W48:Z48"/>
    <mergeCell ref="E50:H50"/>
    <mergeCell ref="N50:Q50"/>
    <mergeCell ref="W50:Z50"/>
  </mergeCells>
  <pageMargins left="0.25" right="0.25" top="0.75" bottom="0.75" header="0.3" footer="0.3"/>
  <pageSetup paperSize="9" scale="54" fitToHeight="0" orientation="portrait" r:id="rId1"/>
  <headerFooter>
    <oddFooter>&amp;C&amp;1#&amp;"Calibri"&amp;10&amp;K000000PUBLIC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1B319-D56D-4F33-A3CE-16EBB5577B86}">
  <dimension ref="B3:I105"/>
  <sheetViews>
    <sheetView workbookViewId="0">
      <selection activeCell="B75" sqref="B75"/>
    </sheetView>
  </sheetViews>
  <sheetFormatPr defaultRowHeight="11.25" x14ac:dyDescent="0.2"/>
  <cols>
    <col min="2" max="2" width="16.83203125" customWidth="1"/>
    <col min="4" max="4" width="18.33203125" customWidth="1"/>
    <col min="6" max="6" width="28.33203125" customWidth="1"/>
  </cols>
  <sheetData>
    <row r="3" spans="2:9" x14ac:dyDescent="0.2">
      <c r="D3" t="s">
        <v>48</v>
      </c>
      <c r="F3" t="s">
        <v>30</v>
      </c>
      <c r="I3" s="3"/>
    </row>
    <row r="4" spans="2:9" x14ac:dyDescent="0.2">
      <c r="D4" t="s">
        <v>55</v>
      </c>
      <c r="F4" s="2">
        <v>46025</v>
      </c>
      <c r="H4" t="s">
        <v>56</v>
      </c>
      <c r="I4" s="3">
        <v>5</v>
      </c>
    </row>
    <row r="5" spans="2:9" x14ac:dyDescent="0.2">
      <c r="D5" t="s">
        <v>58</v>
      </c>
      <c r="F5" s="2">
        <f>F4+7</f>
        <v>46032</v>
      </c>
    </row>
    <row r="6" spans="2:9" x14ac:dyDescent="0.2">
      <c r="B6" t="s">
        <v>264</v>
      </c>
      <c r="D6" t="s">
        <v>86</v>
      </c>
      <c r="F6" s="2">
        <f t="shared" ref="F6:F55" si="0">F5+7</f>
        <v>46039</v>
      </c>
    </row>
    <row r="7" spans="2:9" x14ac:dyDescent="0.2">
      <c r="B7" t="s">
        <v>92</v>
      </c>
      <c r="D7" t="s">
        <v>60</v>
      </c>
      <c r="F7" s="2">
        <f t="shared" si="0"/>
        <v>46046</v>
      </c>
    </row>
    <row r="8" spans="2:9" x14ac:dyDescent="0.2">
      <c r="B8" t="s">
        <v>175</v>
      </c>
      <c r="D8" t="s">
        <v>64</v>
      </c>
      <c r="F8" s="2">
        <f t="shared" si="0"/>
        <v>46053</v>
      </c>
    </row>
    <row r="9" spans="2:9" x14ac:dyDescent="0.2">
      <c r="B9" t="s">
        <v>265</v>
      </c>
      <c r="F9" s="2">
        <f t="shared" si="0"/>
        <v>46060</v>
      </c>
    </row>
    <row r="10" spans="2:9" x14ac:dyDescent="0.2">
      <c r="B10" t="s">
        <v>233</v>
      </c>
      <c r="F10" s="2">
        <f t="shared" si="0"/>
        <v>46067</v>
      </c>
    </row>
    <row r="11" spans="2:9" x14ac:dyDescent="0.2">
      <c r="B11" t="s">
        <v>152</v>
      </c>
      <c r="F11" s="2">
        <f t="shared" si="0"/>
        <v>46074</v>
      </c>
    </row>
    <row r="12" spans="2:9" x14ac:dyDescent="0.2">
      <c r="B12" t="s">
        <v>104</v>
      </c>
      <c r="F12" s="2">
        <f t="shared" si="0"/>
        <v>46081</v>
      </c>
    </row>
    <row r="13" spans="2:9" x14ac:dyDescent="0.2">
      <c r="B13" t="s">
        <v>119</v>
      </c>
      <c r="F13" s="2">
        <f t="shared" si="0"/>
        <v>46088</v>
      </c>
    </row>
    <row r="14" spans="2:9" x14ac:dyDescent="0.2">
      <c r="B14" t="s">
        <v>103</v>
      </c>
      <c r="D14" t="s">
        <v>47</v>
      </c>
      <c r="F14" s="2">
        <f t="shared" si="0"/>
        <v>46095</v>
      </c>
    </row>
    <row r="15" spans="2:9" x14ac:dyDescent="0.2">
      <c r="B15" t="s">
        <v>145</v>
      </c>
      <c r="D15" t="s">
        <v>54</v>
      </c>
      <c r="F15" s="2">
        <f t="shared" si="0"/>
        <v>46102</v>
      </c>
    </row>
    <row r="16" spans="2:9" x14ac:dyDescent="0.2">
      <c r="B16" t="s">
        <v>177</v>
      </c>
      <c r="D16" t="s">
        <v>57</v>
      </c>
      <c r="F16" s="2">
        <f t="shared" si="0"/>
        <v>46109</v>
      </c>
    </row>
    <row r="17" spans="2:6" x14ac:dyDescent="0.2">
      <c r="B17" t="s">
        <v>105</v>
      </c>
      <c r="D17" t="s">
        <v>59</v>
      </c>
      <c r="F17" s="2">
        <f t="shared" si="0"/>
        <v>46116</v>
      </c>
    </row>
    <row r="18" spans="2:6" x14ac:dyDescent="0.2">
      <c r="B18" t="s">
        <v>122</v>
      </c>
      <c r="D18" t="s">
        <v>63</v>
      </c>
      <c r="F18" s="2">
        <f t="shared" si="0"/>
        <v>46123</v>
      </c>
    </row>
    <row r="19" spans="2:6" x14ac:dyDescent="0.2">
      <c r="B19" t="s">
        <v>246</v>
      </c>
      <c r="F19" s="2">
        <f t="shared" si="0"/>
        <v>46130</v>
      </c>
    </row>
    <row r="20" spans="2:6" x14ac:dyDescent="0.2">
      <c r="B20" t="s">
        <v>268</v>
      </c>
      <c r="F20" s="2">
        <f t="shared" si="0"/>
        <v>46137</v>
      </c>
    </row>
    <row r="21" spans="2:6" x14ac:dyDescent="0.2">
      <c r="B21" t="s">
        <v>90</v>
      </c>
      <c r="F21" s="2">
        <f t="shared" si="0"/>
        <v>46144</v>
      </c>
    </row>
    <row r="22" spans="2:6" x14ac:dyDescent="0.2">
      <c r="B22" t="s">
        <v>267</v>
      </c>
      <c r="F22" s="2">
        <f t="shared" si="0"/>
        <v>46151</v>
      </c>
    </row>
    <row r="23" spans="2:6" x14ac:dyDescent="0.2">
      <c r="B23" t="s">
        <v>89</v>
      </c>
      <c r="F23" s="2">
        <f t="shared" si="0"/>
        <v>46158</v>
      </c>
    </row>
    <row r="24" spans="2:6" x14ac:dyDescent="0.2">
      <c r="B24" t="s">
        <v>261</v>
      </c>
      <c r="F24" s="2">
        <f t="shared" si="0"/>
        <v>46165</v>
      </c>
    </row>
    <row r="25" spans="2:6" x14ac:dyDescent="0.2">
      <c r="B25" t="s">
        <v>120</v>
      </c>
      <c r="F25" s="2">
        <f t="shared" si="0"/>
        <v>46172</v>
      </c>
    </row>
    <row r="26" spans="2:6" x14ac:dyDescent="0.2">
      <c r="B26" t="s">
        <v>88</v>
      </c>
      <c r="F26" s="2">
        <f t="shared" si="0"/>
        <v>46179</v>
      </c>
    </row>
    <row r="27" spans="2:6" x14ac:dyDescent="0.2">
      <c r="B27" t="s">
        <v>106</v>
      </c>
      <c r="F27" s="2">
        <f t="shared" si="0"/>
        <v>46186</v>
      </c>
    </row>
    <row r="28" spans="2:6" x14ac:dyDescent="0.2">
      <c r="B28" t="s">
        <v>107</v>
      </c>
      <c r="F28" s="2">
        <f t="shared" si="0"/>
        <v>46193</v>
      </c>
    </row>
    <row r="29" spans="2:6" x14ac:dyDescent="0.2">
      <c r="B29" t="s">
        <v>241</v>
      </c>
      <c r="F29" s="2">
        <f t="shared" si="0"/>
        <v>46200</v>
      </c>
    </row>
    <row r="30" spans="2:6" x14ac:dyDescent="0.2">
      <c r="B30" t="s">
        <v>176</v>
      </c>
      <c r="F30" s="2">
        <f t="shared" si="0"/>
        <v>46207</v>
      </c>
    </row>
    <row r="31" spans="2:6" x14ac:dyDescent="0.2">
      <c r="B31" t="s">
        <v>121</v>
      </c>
      <c r="F31" s="2">
        <f t="shared" si="0"/>
        <v>46214</v>
      </c>
    </row>
    <row r="32" spans="2:6" x14ac:dyDescent="0.2">
      <c r="B32" t="s">
        <v>93</v>
      </c>
      <c r="F32" s="2">
        <f t="shared" si="0"/>
        <v>46221</v>
      </c>
    </row>
    <row r="33" spans="2:6" x14ac:dyDescent="0.2">
      <c r="B33" t="s">
        <v>108</v>
      </c>
      <c r="F33" s="2">
        <f t="shared" si="0"/>
        <v>46228</v>
      </c>
    </row>
    <row r="34" spans="2:6" x14ac:dyDescent="0.2">
      <c r="B34" t="s">
        <v>195</v>
      </c>
      <c r="F34" s="2">
        <f t="shared" si="0"/>
        <v>46235</v>
      </c>
    </row>
    <row r="35" spans="2:6" x14ac:dyDescent="0.2">
      <c r="B35" t="s">
        <v>178</v>
      </c>
      <c r="F35" s="2">
        <f t="shared" si="0"/>
        <v>46242</v>
      </c>
    </row>
    <row r="36" spans="2:6" x14ac:dyDescent="0.2">
      <c r="B36" t="s">
        <v>109</v>
      </c>
      <c r="F36" s="2">
        <f t="shared" si="0"/>
        <v>46249</v>
      </c>
    </row>
    <row r="37" spans="2:6" x14ac:dyDescent="0.2">
      <c r="B37" t="s">
        <v>144</v>
      </c>
      <c r="F37" s="2">
        <f t="shared" si="0"/>
        <v>46256</v>
      </c>
    </row>
    <row r="38" spans="2:6" x14ac:dyDescent="0.2">
      <c r="B38" t="s">
        <v>262</v>
      </c>
      <c r="F38" s="2">
        <f t="shared" si="0"/>
        <v>46263</v>
      </c>
    </row>
    <row r="39" spans="2:6" x14ac:dyDescent="0.2">
      <c r="B39" t="s">
        <v>266</v>
      </c>
      <c r="F39" s="2">
        <f t="shared" si="0"/>
        <v>46270</v>
      </c>
    </row>
    <row r="40" spans="2:6" x14ac:dyDescent="0.2">
      <c r="B40" t="s">
        <v>249</v>
      </c>
      <c r="F40" s="2">
        <f t="shared" si="0"/>
        <v>46277</v>
      </c>
    </row>
    <row r="41" spans="2:6" x14ac:dyDescent="0.2">
      <c r="B41" t="s">
        <v>153</v>
      </c>
      <c r="F41" s="2">
        <f t="shared" si="0"/>
        <v>46284</v>
      </c>
    </row>
    <row r="42" spans="2:6" x14ac:dyDescent="0.2">
      <c r="B42" t="s">
        <v>91</v>
      </c>
      <c r="F42" s="2">
        <f t="shared" si="0"/>
        <v>46291</v>
      </c>
    </row>
    <row r="43" spans="2:6" x14ac:dyDescent="0.2">
      <c r="B43" t="s">
        <v>260</v>
      </c>
      <c r="F43" s="2">
        <f t="shared" si="0"/>
        <v>46298</v>
      </c>
    </row>
    <row r="44" spans="2:6" x14ac:dyDescent="0.2">
      <c r="B44" t="s">
        <v>298</v>
      </c>
      <c r="F44" s="2">
        <f t="shared" si="0"/>
        <v>46305</v>
      </c>
    </row>
    <row r="45" spans="2:6" x14ac:dyDescent="0.2">
      <c r="B45" t="s">
        <v>111</v>
      </c>
      <c r="F45" s="2">
        <f t="shared" si="0"/>
        <v>46312</v>
      </c>
    </row>
    <row r="46" spans="2:6" x14ac:dyDescent="0.2">
      <c r="B46" t="s">
        <v>112</v>
      </c>
      <c r="F46" s="2">
        <f t="shared" si="0"/>
        <v>46319</v>
      </c>
    </row>
    <row r="47" spans="2:6" x14ac:dyDescent="0.2">
      <c r="B47" t="s">
        <v>113</v>
      </c>
      <c r="F47" s="2">
        <f t="shared" si="0"/>
        <v>46326</v>
      </c>
    </row>
    <row r="48" spans="2:6" x14ac:dyDescent="0.2">
      <c r="B48" t="s">
        <v>146</v>
      </c>
      <c r="F48" s="2">
        <f t="shared" si="0"/>
        <v>46333</v>
      </c>
    </row>
    <row r="49" spans="2:6" x14ac:dyDescent="0.2">
      <c r="B49" t="s">
        <v>114</v>
      </c>
      <c r="F49" s="2">
        <f t="shared" si="0"/>
        <v>46340</v>
      </c>
    </row>
    <row r="50" spans="2:6" x14ac:dyDescent="0.2">
      <c r="B50" t="s">
        <v>101</v>
      </c>
      <c r="F50" s="2">
        <f t="shared" si="0"/>
        <v>46347</v>
      </c>
    </row>
    <row r="51" spans="2:6" x14ac:dyDescent="0.2">
      <c r="B51" t="s">
        <v>174</v>
      </c>
      <c r="F51" s="2">
        <f t="shared" si="0"/>
        <v>46354</v>
      </c>
    </row>
    <row r="52" spans="2:6" x14ac:dyDescent="0.2">
      <c r="B52" t="s">
        <v>115</v>
      </c>
      <c r="F52" s="2">
        <f t="shared" si="0"/>
        <v>46361</v>
      </c>
    </row>
    <row r="53" spans="2:6" x14ac:dyDescent="0.2">
      <c r="B53" t="s">
        <v>156</v>
      </c>
      <c r="F53" s="2">
        <f t="shared" si="0"/>
        <v>46368</v>
      </c>
    </row>
    <row r="54" spans="2:6" x14ac:dyDescent="0.2">
      <c r="B54" t="s">
        <v>18</v>
      </c>
      <c r="F54" s="2">
        <f t="shared" si="0"/>
        <v>46375</v>
      </c>
    </row>
    <row r="55" spans="2:6" x14ac:dyDescent="0.2">
      <c r="B55" t="s">
        <v>116</v>
      </c>
      <c r="F55" s="2">
        <f t="shared" si="0"/>
        <v>46382</v>
      </c>
    </row>
    <row r="56" spans="2:6" x14ac:dyDescent="0.2">
      <c r="B56" t="s">
        <v>194</v>
      </c>
    </row>
    <row r="57" spans="2:6" x14ac:dyDescent="0.2">
      <c r="B57" t="s">
        <v>154</v>
      </c>
    </row>
    <row r="58" spans="2:6" x14ac:dyDescent="0.2">
      <c r="B58" t="s">
        <v>242</v>
      </c>
    </row>
    <row r="59" spans="2:6" x14ac:dyDescent="0.2">
      <c r="B59" t="s">
        <v>186</v>
      </c>
    </row>
    <row r="60" spans="2:6" x14ac:dyDescent="0.2">
      <c r="B60" t="s">
        <v>117</v>
      </c>
    </row>
    <row r="61" spans="2:6" x14ac:dyDescent="0.2">
      <c r="B61" t="s">
        <v>234</v>
      </c>
    </row>
    <row r="62" spans="2:6" x14ac:dyDescent="0.2">
      <c r="B62" t="s">
        <v>15</v>
      </c>
    </row>
    <row r="63" spans="2:6" x14ac:dyDescent="0.2">
      <c r="B63" t="s">
        <v>118</v>
      </c>
    </row>
    <row r="64" spans="2:6" x14ac:dyDescent="0.2">
      <c r="B64" t="s">
        <v>62</v>
      </c>
    </row>
    <row r="65" spans="2:2" x14ac:dyDescent="0.2">
      <c r="B65" t="s">
        <v>232</v>
      </c>
    </row>
    <row r="66" spans="2:2" x14ac:dyDescent="0.2">
      <c r="B66" t="s">
        <v>243</v>
      </c>
    </row>
    <row r="67" spans="2:2" x14ac:dyDescent="0.2">
      <c r="B67" t="s">
        <v>273</v>
      </c>
    </row>
    <row r="68" spans="2:2" x14ac:dyDescent="0.2">
      <c r="B68" t="s">
        <v>274</v>
      </c>
    </row>
    <row r="69" spans="2:2" x14ac:dyDescent="0.2">
      <c r="B69" t="s">
        <v>279</v>
      </c>
    </row>
    <row r="70" spans="2:2" x14ac:dyDescent="0.2">
      <c r="B70" t="s">
        <v>297</v>
      </c>
    </row>
    <row r="71" spans="2:2" x14ac:dyDescent="0.2">
      <c r="B71" t="s">
        <v>306</v>
      </c>
    </row>
    <row r="72" spans="2:2" x14ac:dyDescent="0.2">
      <c r="B72" t="s">
        <v>311</v>
      </c>
    </row>
    <row r="73" spans="2:2" x14ac:dyDescent="0.2">
      <c r="B73" t="s">
        <v>313</v>
      </c>
    </row>
    <row r="74" spans="2:2" x14ac:dyDescent="0.2">
      <c r="B74" t="s">
        <v>314</v>
      </c>
    </row>
    <row r="75" spans="2:2" x14ac:dyDescent="0.2">
      <c r="B75">
        <v>1</v>
      </c>
    </row>
    <row r="76" spans="2:2" x14ac:dyDescent="0.2">
      <c r="B76">
        <v>2</v>
      </c>
    </row>
    <row r="77" spans="2:2" x14ac:dyDescent="0.2">
      <c r="B77">
        <v>3</v>
      </c>
    </row>
    <row r="78" spans="2:2" x14ac:dyDescent="0.2">
      <c r="B78">
        <v>4</v>
      </c>
    </row>
    <row r="79" spans="2:2" x14ac:dyDescent="0.2">
      <c r="B79">
        <v>5</v>
      </c>
    </row>
    <row r="80" spans="2:2" x14ac:dyDescent="0.2">
      <c r="B80">
        <v>6</v>
      </c>
    </row>
    <row r="81" spans="2:9" x14ac:dyDescent="0.2">
      <c r="B81">
        <v>7</v>
      </c>
    </row>
    <row r="82" spans="2:9" x14ac:dyDescent="0.2">
      <c r="B82">
        <v>8</v>
      </c>
    </row>
    <row r="83" spans="2:9" x14ac:dyDescent="0.2">
      <c r="B83">
        <v>9</v>
      </c>
    </row>
    <row r="84" spans="2:9" x14ac:dyDescent="0.2">
      <c r="B84">
        <v>10</v>
      </c>
    </row>
    <row r="85" spans="2:9" x14ac:dyDescent="0.2">
      <c r="B85">
        <v>11</v>
      </c>
    </row>
    <row r="86" spans="2:9" x14ac:dyDescent="0.2">
      <c r="B86">
        <v>12</v>
      </c>
    </row>
    <row r="87" spans="2:9" x14ac:dyDescent="0.2">
      <c r="B87">
        <v>13</v>
      </c>
    </row>
    <row r="88" spans="2:9" x14ac:dyDescent="0.2">
      <c r="B88">
        <v>14</v>
      </c>
    </row>
    <row r="89" spans="2:9" x14ac:dyDescent="0.2">
      <c r="B89">
        <v>15</v>
      </c>
    </row>
    <row r="90" spans="2:9" ht="12" thickBot="1" x14ac:dyDescent="0.25">
      <c r="B90">
        <v>16</v>
      </c>
      <c r="C90" s="203"/>
      <c r="D90" s="203"/>
      <c r="E90" s="203"/>
      <c r="F90" s="203"/>
      <c r="G90" s="203"/>
      <c r="H90" s="203"/>
      <c r="I90" s="203"/>
    </row>
    <row r="91" spans="2:9" x14ac:dyDescent="0.2">
      <c r="B91">
        <v>17</v>
      </c>
    </row>
    <row r="92" spans="2:9" x14ac:dyDescent="0.2">
      <c r="B92">
        <v>18</v>
      </c>
    </row>
    <row r="93" spans="2:9" x14ac:dyDescent="0.2">
      <c r="B93">
        <v>19</v>
      </c>
    </row>
    <row r="94" spans="2:9" x14ac:dyDescent="0.2">
      <c r="B94">
        <v>20</v>
      </c>
    </row>
    <row r="95" spans="2:9" x14ac:dyDescent="0.2">
      <c r="B95">
        <v>21</v>
      </c>
    </row>
    <row r="96" spans="2:9" x14ac:dyDescent="0.2">
      <c r="B96">
        <v>22</v>
      </c>
    </row>
    <row r="97" spans="2:2" x14ac:dyDescent="0.2">
      <c r="B97">
        <v>23</v>
      </c>
    </row>
    <row r="98" spans="2:2" x14ac:dyDescent="0.2">
      <c r="B98">
        <v>24</v>
      </c>
    </row>
    <row r="99" spans="2:2" x14ac:dyDescent="0.2">
      <c r="B99">
        <v>25</v>
      </c>
    </row>
    <row r="100" spans="2:2" x14ac:dyDescent="0.2">
      <c r="B100">
        <v>26</v>
      </c>
    </row>
    <row r="101" spans="2:2" x14ac:dyDescent="0.2">
      <c r="B101">
        <v>27</v>
      </c>
    </row>
    <row r="102" spans="2:2" x14ac:dyDescent="0.2">
      <c r="B102">
        <v>28</v>
      </c>
    </row>
    <row r="103" spans="2:2" x14ac:dyDescent="0.2">
      <c r="B103">
        <v>29</v>
      </c>
    </row>
    <row r="104" spans="2:2" x14ac:dyDescent="0.2">
      <c r="B104">
        <v>30</v>
      </c>
    </row>
    <row r="105" spans="2:2" x14ac:dyDescent="0.2">
      <c r="B105">
        <v>31</v>
      </c>
    </row>
  </sheetData>
  <pageMargins left="0.7" right="0.7" top="0.75" bottom="0.75" header="0.3" footer="0.3"/>
  <pageSetup paperSize="9" orientation="portrait" r:id="rId1"/>
  <headerFooter>
    <oddFooter>&amp;C&amp;1#&amp;"Calibri"&amp;10&amp;K000000PUBLIC</oddFooter>
  </headerFooter>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C918E-1026-4D6A-89E3-6510342D8C8F}">
  <dimension ref="A1:RQ116"/>
  <sheetViews>
    <sheetView zoomScale="80" zoomScaleNormal="80" workbookViewId="0">
      <pane xSplit="1" ySplit="5" topLeftCell="HI60" activePane="bottomRight" state="frozen"/>
      <selection pane="topRight" activeCell="B1" sqref="B1"/>
      <selection pane="bottomLeft" activeCell="A6" sqref="A6"/>
      <selection pane="bottomRight" activeCell="HQ40" sqref="HQ40"/>
    </sheetView>
  </sheetViews>
  <sheetFormatPr defaultColWidth="9.33203125" defaultRowHeight="11.25" x14ac:dyDescent="0.2"/>
  <cols>
    <col min="1" max="1" width="22.83203125" style="89" bestFit="1" customWidth="1"/>
    <col min="2" max="2" width="3.83203125" style="56" customWidth="1"/>
    <col min="3" max="3" width="6.6640625" style="56" customWidth="1"/>
    <col min="4" max="4" width="7.33203125" style="56" customWidth="1"/>
    <col min="5" max="5" width="7.1640625" style="56" customWidth="1"/>
    <col min="6" max="8" width="6.33203125" style="56" customWidth="1"/>
    <col min="9" max="9" width="5.33203125" style="56" customWidth="1"/>
    <col min="10" max="10" width="10.5" style="56" customWidth="1"/>
    <col min="11" max="11" width="1.5" style="56" customWidth="1"/>
    <col min="12" max="12" width="6.6640625" style="56" customWidth="1"/>
    <col min="13" max="13" width="7.33203125" style="56" customWidth="1"/>
    <col min="14" max="14" width="7.1640625" style="56" customWidth="1"/>
    <col min="15" max="17" width="6.33203125" style="56" customWidth="1"/>
    <col min="18" max="18" width="5.33203125" style="56" customWidth="1"/>
    <col min="19" max="19" width="10.5" style="56" customWidth="1"/>
    <col min="20" max="20" width="1.5" style="56" customWidth="1"/>
    <col min="21" max="21" width="6.6640625" style="56" customWidth="1"/>
    <col min="22" max="22" width="7.33203125" style="56" customWidth="1"/>
    <col min="23" max="23" width="7.1640625" style="56" customWidth="1"/>
    <col min="24" max="26" width="6.33203125" style="56" customWidth="1"/>
    <col min="27" max="27" width="5.33203125" style="56" customWidth="1"/>
    <col min="28" max="28" width="10.5" style="56" customWidth="1"/>
    <col min="29" max="29" width="1.5" style="56" customWidth="1"/>
    <col min="30" max="30" width="6.6640625" style="56" customWidth="1"/>
    <col min="31" max="31" width="7.33203125" style="56" customWidth="1"/>
    <col min="32" max="32" width="7.1640625" style="56" customWidth="1"/>
    <col min="33" max="35" width="6.33203125" style="56" customWidth="1"/>
    <col min="36" max="36" width="5.33203125" style="56" customWidth="1"/>
    <col min="37" max="37" width="10.5" style="56" customWidth="1"/>
    <col min="38" max="38" width="1.5" style="56" customWidth="1"/>
    <col min="39" max="39" width="6.6640625" style="56" customWidth="1"/>
    <col min="40" max="40" width="7.33203125" style="56" customWidth="1"/>
    <col min="41" max="41" width="7.1640625" style="56" customWidth="1"/>
    <col min="42" max="44" width="6.33203125" style="56" customWidth="1"/>
    <col min="45" max="45" width="6" style="56" bestFit="1" customWidth="1"/>
    <col min="46" max="46" width="10.5" style="56" customWidth="1"/>
    <col min="47" max="47" width="1.5" style="56" customWidth="1"/>
    <col min="48" max="48" width="6.6640625" style="56" customWidth="1"/>
    <col min="49" max="49" width="7.33203125" style="56" customWidth="1"/>
    <col min="50" max="50" width="7.1640625" style="56" customWidth="1"/>
    <col min="51" max="53" width="6.33203125" style="56" customWidth="1"/>
    <col min="54" max="54" width="5.33203125" style="56" customWidth="1"/>
    <col min="55" max="55" width="10.5" style="56" customWidth="1"/>
    <col min="56" max="56" width="1.5" style="56" customWidth="1"/>
    <col min="57" max="57" width="6.6640625" style="56" customWidth="1"/>
    <col min="58" max="58" width="7.33203125" style="56" customWidth="1"/>
    <col min="59" max="59" width="7.1640625" style="56" customWidth="1"/>
    <col min="60" max="62" width="6.33203125" style="56" customWidth="1"/>
    <col min="63" max="63" width="5.33203125" style="56" customWidth="1"/>
    <col min="64" max="64" width="10.5" style="56" customWidth="1"/>
    <col min="65" max="65" width="1.5" style="56" customWidth="1"/>
    <col min="66" max="66" width="6.6640625" style="56" customWidth="1"/>
    <col min="67" max="67" width="7.33203125" style="56" customWidth="1"/>
    <col min="68" max="68" width="7.1640625" style="56" customWidth="1"/>
    <col min="69" max="71" width="6.33203125" style="56" customWidth="1"/>
    <col min="72" max="72" width="5.33203125" style="56" customWidth="1"/>
    <col min="73" max="73" width="10.5" style="56" customWidth="1"/>
    <col min="74" max="74" width="1.5" style="56" customWidth="1"/>
    <col min="75" max="75" width="6.6640625" style="56" customWidth="1"/>
    <col min="76" max="76" width="7.33203125" style="56" customWidth="1"/>
    <col min="77" max="77" width="7.1640625" style="56" customWidth="1"/>
    <col min="78" max="80" width="6.33203125" style="56" customWidth="1"/>
    <col min="81" max="81" width="5.33203125" style="56" customWidth="1"/>
    <col min="82" max="82" width="10.5" style="56" customWidth="1"/>
    <col min="83" max="83" width="1.5" style="56" customWidth="1"/>
    <col min="84" max="84" width="6.6640625" style="56" customWidth="1"/>
    <col min="85" max="85" width="7.33203125" style="56" customWidth="1"/>
    <col min="86" max="86" width="7.1640625" style="56" customWidth="1"/>
    <col min="87" max="89" width="6.33203125" style="56" customWidth="1"/>
    <col min="90" max="90" width="5.33203125" style="56" customWidth="1"/>
    <col min="91" max="91" width="10.5" style="56" customWidth="1"/>
    <col min="92" max="92" width="1.5" style="56" customWidth="1"/>
    <col min="93" max="93" width="6.6640625" style="56" customWidth="1"/>
    <col min="94" max="94" width="7.33203125" style="56" customWidth="1"/>
    <col min="95" max="95" width="7.1640625" style="56" customWidth="1"/>
    <col min="96" max="98" width="6.33203125" style="56" customWidth="1"/>
    <col min="99" max="99" width="5.33203125" style="56" customWidth="1"/>
    <col min="100" max="100" width="10.5" style="56" customWidth="1"/>
    <col min="101" max="101" width="1.5" style="56" customWidth="1"/>
    <col min="102" max="102" width="6.6640625" style="56" customWidth="1"/>
    <col min="103" max="103" width="7.33203125" style="56" customWidth="1"/>
    <col min="104" max="104" width="7.1640625" style="56" customWidth="1"/>
    <col min="105" max="107" width="6.33203125" style="56" customWidth="1"/>
    <col min="108" max="108" width="5.33203125" style="56" customWidth="1"/>
    <col min="109" max="109" width="10.5" style="56" customWidth="1"/>
    <col min="110" max="110" width="1.5" style="56" customWidth="1"/>
    <col min="111" max="111" width="6.6640625" style="56" customWidth="1"/>
    <col min="112" max="112" width="7.33203125" style="56" customWidth="1"/>
    <col min="113" max="113" width="7.1640625" style="56" customWidth="1"/>
    <col min="114" max="116" width="6.33203125" style="56" customWidth="1"/>
    <col min="117" max="117" width="5.33203125" style="56" customWidth="1"/>
    <col min="118" max="118" width="10.5" style="56" customWidth="1"/>
    <col min="119" max="119" width="1.5" style="56" customWidth="1"/>
    <col min="120" max="120" width="6.6640625" style="56" customWidth="1"/>
    <col min="121" max="121" width="7.33203125" style="56" customWidth="1"/>
    <col min="122" max="122" width="7.1640625" style="56" customWidth="1"/>
    <col min="123" max="125" width="6.33203125" style="56" customWidth="1"/>
    <col min="126" max="126" width="5.33203125" style="56" customWidth="1"/>
    <col min="127" max="127" width="10.5" style="56" customWidth="1"/>
    <col min="128" max="128" width="1.5" style="56" customWidth="1"/>
    <col min="129" max="129" width="6.6640625" style="56" customWidth="1"/>
    <col min="130" max="130" width="7.33203125" style="56" customWidth="1"/>
    <col min="131" max="131" width="7.1640625" style="56" customWidth="1"/>
    <col min="132" max="134" width="6.33203125" style="56" customWidth="1"/>
    <col min="135" max="135" width="5.33203125" style="56" customWidth="1"/>
    <col min="136" max="136" width="10.5" style="56" customWidth="1"/>
    <col min="137" max="137" width="1.5" style="56" customWidth="1"/>
    <col min="138" max="138" width="6.6640625" style="56" customWidth="1"/>
    <col min="139" max="139" width="7.33203125" style="56" customWidth="1"/>
    <col min="140" max="140" width="7.1640625" style="56" customWidth="1"/>
    <col min="141" max="143" width="6.33203125" style="56" customWidth="1"/>
    <col min="144" max="144" width="5.33203125" style="56" customWidth="1"/>
    <col min="145" max="145" width="10.5" style="56" customWidth="1"/>
    <col min="146" max="146" width="1.5" style="56" customWidth="1"/>
    <col min="147" max="147" width="6.6640625" style="56" customWidth="1"/>
    <col min="148" max="148" width="7.33203125" style="56" customWidth="1"/>
    <col min="149" max="149" width="7.1640625" style="56" customWidth="1"/>
    <col min="150" max="152" width="6.33203125" style="56" customWidth="1"/>
    <col min="153" max="153" width="5.33203125" style="56" customWidth="1"/>
    <col min="154" max="154" width="10.5" style="56" customWidth="1"/>
    <col min="155" max="155" width="1.5" style="56" customWidth="1"/>
    <col min="156" max="156" width="6.6640625" style="56" customWidth="1"/>
    <col min="157" max="157" width="7.33203125" style="56" customWidth="1"/>
    <col min="158" max="158" width="7.1640625" style="56" customWidth="1"/>
    <col min="159" max="161" width="6.33203125" style="56" customWidth="1"/>
    <col min="162" max="162" width="5.33203125" style="56" customWidth="1"/>
    <col min="163" max="163" width="10.5" style="56" customWidth="1"/>
    <col min="164" max="164" width="1.5" style="56" customWidth="1"/>
    <col min="165" max="165" width="6.6640625" style="56" customWidth="1"/>
    <col min="166" max="166" width="7.33203125" style="56" customWidth="1"/>
    <col min="167" max="167" width="7.1640625" style="56" customWidth="1"/>
    <col min="168" max="170" width="6.33203125" style="56" customWidth="1"/>
    <col min="171" max="171" width="5.33203125" style="56" customWidth="1"/>
    <col min="172" max="172" width="10.5" style="56" customWidth="1"/>
    <col min="173" max="173" width="1.5" style="56" customWidth="1"/>
    <col min="174" max="174" width="6.6640625" style="56" customWidth="1"/>
    <col min="175" max="175" width="7.33203125" style="56" customWidth="1"/>
    <col min="176" max="176" width="7.1640625" style="56" customWidth="1"/>
    <col min="177" max="179" width="6.33203125" style="56" customWidth="1"/>
    <col min="180" max="180" width="5.33203125" style="56" customWidth="1"/>
    <col min="181" max="181" width="10.5" style="56" customWidth="1"/>
    <col min="182" max="182" width="1.5" style="56" customWidth="1"/>
    <col min="183" max="183" width="6.6640625" style="56" customWidth="1"/>
    <col min="184" max="184" width="7.33203125" style="56" customWidth="1"/>
    <col min="185" max="185" width="7.1640625" style="56" customWidth="1"/>
    <col min="186" max="188" width="6.33203125" style="56" customWidth="1"/>
    <col min="189" max="189" width="5.33203125" style="56" customWidth="1"/>
    <col min="190" max="190" width="10.5" style="56" customWidth="1"/>
    <col min="191" max="191" width="1.5" style="56" customWidth="1"/>
    <col min="192" max="192" width="6.6640625" style="56" customWidth="1"/>
    <col min="193" max="193" width="7.33203125" style="56" customWidth="1"/>
    <col min="194" max="194" width="7.1640625" style="56" customWidth="1"/>
    <col min="195" max="197" width="6.33203125" style="56" customWidth="1"/>
    <col min="198" max="198" width="6" style="56" bestFit="1" customWidth="1"/>
    <col min="199" max="199" width="10.5" style="56" customWidth="1"/>
    <col min="200" max="200" width="1.5" style="56" customWidth="1"/>
    <col min="201" max="201" width="6.6640625" style="56" customWidth="1"/>
    <col min="202" max="202" width="7.33203125" style="56" customWidth="1"/>
    <col min="203" max="203" width="7.1640625" style="56" customWidth="1"/>
    <col min="204" max="206" width="6.33203125" style="56" customWidth="1"/>
    <col min="207" max="207" width="5.33203125" style="56" customWidth="1"/>
    <col min="208" max="208" width="10.5" style="56" customWidth="1"/>
    <col min="209" max="209" width="1.5" style="56" customWidth="1"/>
    <col min="210" max="210" width="6.6640625" style="56" customWidth="1"/>
    <col min="211" max="211" width="7.33203125" style="56" customWidth="1"/>
    <col min="212" max="212" width="7.1640625" style="56" customWidth="1"/>
    <col min="213" max="215" width="6.33203125" style="56" customWidth="1"/>
    <col min="216" max="216" width="5.33203125" style="56" customWidth="1"/>
    <col min="217" max="217" width="10.5" style="56" customWidth="1"/>
    <col min="218" max="218" width="1.5" style="56" customWidth="1"/>
    <col min="219" max="219" width="6.6640625" style="56" customWidth="1"/>
    <col min="220" max="220" width="7.33203125" style="56" customWidth="1"/>
    <col min="221" max="221" width="7.1640625" style="56" customWidth="1"/>
    <col min="222" max="224" width="6.33203125" style="56" customWidth="1"/>
    <col min="225" max="225" width="5.33203125" style="56" customWidth="1"/>
    <col min="226" max="226" width="10.5" style="56" customWidth="1"/>
    <col min="227" max="227" width="1.5" style="56" customWidth="1"/>
    <col min="228" max="228" width="6.6640625" style="56" customWidth="1"/>
    <col min="229" max="229" width="7.33203125" style="56" customWidth="1"/>
    <col min="230" max="230" width="7.1640625" style="56" customWidth="1"/>
    <col min="231" max="233" width="6.33203125" style="56" customWidth="1"/>
    <col min="234" max="234" width="5.33203125" style="56" customWidth="1"/>
    <col min="235" max="235" width="10.5" style="56" customWidth="1"/>
    <col min="236" max="236" width="1.5" style="56" customWidth="1"/>
    <col min="237" max="237" width="6.6640625" style="56" customWidth="1"/>
    <col min="238" max="238" width="7.33203125" style="56" customWidth="1"/>
    <col min="239" max="239" width="7.1640625" style="56" customWidth="1"/>
    <col min="240" max="242" width="6.33203125" style="56" customWidth="1"/>
    <col min="243" max="243" width="5.33203125" style="56" customWidth="1"/>
    <col min="244" max="244" width="10.5" style="56" customWidth="1"/>
    <col min="245" max="245" width="1.5" style="56" customWidth="1"/>
    <col min="246" max="246" width="6.6640625" style="56" customWidth="1"/>
    <col min="247" max="247" width="7.33203125" style="56" customWidth="1"/>
    <col min="248" max="248" width="7.1640625" style="56" customWidth="1"/>
    <col min="249" max="251" width="6.33203125" style="56" customWidth="1"/>
    <col min="252" max="252" width="5.33203125" style="56" customWidth="1"/>
    <col min="253" max="253" width="10.5" style="56" customWidth="1"/>
    <col min="254" max="254" width="1.5" style="56" customWidth="1"/>
    <col min="255" max="255" width="6.6640625" style="56" customWidth="1"/>
    <col min="256" max="256" width="7.33203125" style="56" customWidth="1"/>
    <col min="257" max="257" width="7.1640625" style="56" customWidth="1"/>
    <col min="258" max="260" width="6.33203125" style="56" customWidth="1"/>
    <col min="261" max="261" width="5.33203125" style="56" customWidth="1"/>
    <col min="262" max="262" width="10.5" style="56" customWidth="1"/>
    <col min="263" max="263" width="1.5" style="56" customWidth="1"/>
    <col min="264" max="264" width="6.6640625" style="56" customWidth="1"/>
    <col min="265" max="265" width="7.33203125" style="56" customWidth="1"/>
    <col min="266" max="266" width="7.1640625" style="56" customWidth="1"/>
    <col min="267" max="269" width="6.33203125" style="56" customWidth="1"/>
    <col min="270" max="270" width="5.33203125" style="56" customWidth="1"/>
    <col min="271" max="271" width="10.5" style="56" customWidth="1"/>
    <col min="272" max="272" width="1.5" style="56" customWidth="1"/>
    <col min="273" max="273" width="6.6640625" style="56" customWidth="1"/>
    <col min="274" max="274" width="7.33203125" style="56" customWidth="1"/>
    <col min="275" max="275" width="7.1640625" style="56" customWidth="1"/>
    <col min="276" max="278" width="6.33203125" style="56" customWidth="1"/>
    <col min="279" max="279" width="5.33203125" style="56" customWidth="1"/>
    <col min="280" max="280" width="10.5" style="56" customWidth="1"/>
    <col min="281" max="281" width="1.5" style="56" customWidth="1"/>
    <col min="282" max="282" width="6.6640625" style="56" customWidth="1"/>
    <col min="283" max="283" width="7.33203125" style="56" customWidth="1"/>
    <col min="284" max="284" width="7.1640625" style="56" customWidth="1"/>
    <col min="285" max="287" width="6.33203125" style="56" customWidth="1"/>
    <col min="288" max="288" width="5.33203125" style="56" customWidth="1"/>
    <col min="289" max="289" width="10.5" style="56" customWidth="1"/>
    <col min="290" max="290" width="1.5" style="56" customWidth="1"/>
    <col min="291" max="291" width="6.6640625" style="56" customWidth="1"/>
    <col min="292" max="292" width="7.33203125" style="56" customWidth="1"/>
    <col min="293" max="293" width="7.1640625" style="56" customWidth="1"/>
    <col min="294" max="296" width="6.33203125" style="56" customWidth="1"/>
    <col min="297" max="297" width="5.33203125" style="56" customWidth="1"/>
    <col min="298" max="298" width="10.5" style="56" customWidth="1"/>
    <col min="299" max="299" width="1.5" style="56" customWidth="1"/>
    <col min="300" max="300" width="6.6640625" style="56" customWidth="1"/>
    <col min="301" max="301" width="7.33203125" style="56" customWidth="1"/>
    <col min="302" max="302" width="7.1640625" style="56" customWidth="1"/>
    <col min="303" max="305" width="6.33203125" style="56" customWidth="1"/>
    <col min="306" max="306" width="5.33203125" style="56" customWidth="1"/>
    <col min="307" max="307" width="10.5" style="56" customWidth="1"/>
    <col min="308" max="308" width="1.5" style="56" customWidth="1"/>
    <col min="309" max="309" width="6.6640625" style="56" customWidth="1"/>
    <col min="310" max="310" width="7.33203125" style="56" customWidth="1"/>
    <col min="311" max="311" width="7.1640625" style="56" customWidth="1"/>
    <col min="312" max="314" width="6.33203125" style="56" customWidth="1"/>
    <col min="315" max="315" width="5.33203125" style="56" customWidth="1"/>
    <col min="316" max="316" width="10.5" style="56" customWidth="1"/>
    <col min="317" max="317" width="1.5" style="56" customWidth="1"/>
    <col min="318" max="318" width="6.6640625" style="56" customWidth="1"/>
    <col min="319" max="319" width="8" style="56" customWidth="1"/>
    <col min="320" max="320" width="7.1640625" style="56" customWidth="1"/>
    <col min="321" max="323" width="6.33203125" style="56" customWidth="1"/>
    <col min="324" max="324" width="5.33203125" style="56" customWidth="1"/>
    <col min="325" max="325" width="10.5" style="56" customWidth="1"/>
    <col min="326" max="326" width="1.5" style="56" customWidth="1"/>
    <col min="327" max="327" width="6.6640625" style="56" customWidth="1"/>
    <col min="328" max="328" width="7.33203125" style="56" customWidth="1"/>
    <col min="329" max="329" width="7.1640625" style="56" customWidth="1"/>
    <col min="330" max="332" width="6.33203125" style="56" customWidth="1"/>
    <col min="333" max="333" width="5.33203125" style="56" customWidth="1"/>
    <col min="334" max="334" width="10.5" style="56" customWidth="1"/>
    <col min="335" max="335" width="1.5" style="56" customWidth="1"/>
    <col min="336" max="336" width="6.6640625" style="56" customWidth="1"/>
    <col min="337" max="337" width="7.33203125" style="56" customWidth="1"/>
    <col min="338" max="338" width="7.1640625" style="56" customWidth="1"/>
    <col min="339" max="341" width="6.33203125" style="56" customWidth="1"/>
    <col min="342" max="342" width="5.33203125" style="56" customWidth="1"/>
    <col min="343" max="343" width="10.5" style="56" customWidth="1"/>
    <col min="344" max="344" width="1.5" style="56" customWidth="1"/>
    <col min="345" max="345" width="6.6640625" style="56" customWidth="1"/>
    <col min="346" max="346" width="9.1640625" style="56" customWidth="1"/>
    <col min="347" max="347" width="7.1640625" style="56" customWidth="1"/>
    <col min="348" max="350" width="6.33203125" style="56" customWidth="1"/>
    <col min="351" max="351" width="5.33203125" style="56" customWidth="1"/>
    <col min="352" max="352" width="10.5" style="56" customWidth="1"/>
    <col min="353" max="353" width="1.5" style="56" customWidth="1"/>
    <col min="354" max="354" width="6.6640625" style="56" customWidth="1"/>
    <col min="355" max="355" width="7.33203125" style="56" customWidth="1"/>
    <col min="356" max="356" width="7.1640625" style="56" customWidth="1"/>
    <col min="357" max="359" width="6.33203125" style="56" customWidth="1"/>
    <col min="360" max="360" width="5.33203125" style="56" customWidth="1"/>
    <col min="361" max="361" width="10.5" style="56" customWidth="1"/>
    <col min="362" max="362" width="1.5" style="56" customWidth="1"/>
    <col min="363" max="363" width="6.6640625" style="56" customWidth="1"/>
    <col min="364" max="364" width="7.33203125" style="56" customWidth="1"/>
    <col min="365" max="365" width="7.1640625" style="56" customWidth="1"/>
    <col min="366" max="368" width="6.33203125" style="56" customWidth="1"/>
    <col min="369" max="369" width="5.33203125" style="56" customWidth="1"/>
    <col min="370" max="370" width="10.5" style="56" customWidth="1"/>
    <col min="371" max="371" width="1.5" style="56" customWidth="1"/>
    <col min="372" max="372" width="6.6640625" style="56" customWidth="1"/>
    <col min="373" max="373" width="7.33203125" style="56" customWidth="1"/>
    <col min="374" max="374" width="7.1640625" style="56" customWidth="1"/>
    <col min="375" max="377" width="6.33203125" style="56" customWidth="1"/>
    <col min="378" max="378" width="5.33203125" style="56" customWidth="1"/>
    <col min="379" max="379" width="10.5" style="56" customWidth="1"/>
    <col min="380" max="380" width="1.5" style="56" customWidth="1"/>
    <col min="381" max="381" width="6.6640625" style="56" customWidth="1"/>
    <col min="382" max="382" width="7.33203125" style="56" customWidth="1"/>
    <col min="383" max="383" width="7.1640625" style="56" customWidth="1"/>
    <col min="384" max="386" width="6.33203125" style="56" customWidth="1"/>
    <col min="387" max="387" width="5.33203125" style="56" customWidth="1"/>
    <col min="388" max="388" width="10.5" style="56" customWidth="1"/>
    <col min="389" max="389" width="1.5" style="56" customWidth="1"/>
    <col min="390" max="390" width="6.6640625" style="56" customWidth="1"/>
    <col min="391" max="391" width="7.33203125" style="56" customWidth="1"/>
    <col min="392" max="392" width="7.1640625" style="56" customWidth="1"/>
    <col min="393" max="395" width="6.33203125" style="56" customWidth="1"/>
    <col min="396" max="396" width="5.33203125" style="56" customWidth="1"/>
    <col min="397" max="397" width="10.5" style="56" customWidth="1"/>
    <col min="398" max="398" width="1.5" style="56" customWidth="1"/>
    <col min="399" max="399" width="6.6640625" style="56" customWidth="1"/>
    <col min="400" max="400" width="7.33203125" style="56" customWidth="1"/>
    <col min="401" max="401" width="7.1640625" style="56" customWidth="1"/>
    <col min="402" max="404" width="6.33203125" style="56" customWidth="1"/>
    <col min="405" max="405" width="5.33203125" style="56" customWidth="1"/>
    <col min="406" max="406" width="10.5" style="56" customWidth="1"/>
    <col min="407" max="407" width="1.5" style="56" customWidth="1"/>
    <col min="408" max="408" width="6.6640625" style="56" customWidth="1"/>
    <col min="409" max="409" width="7.33203125" style="56" customWidth="1"/>
    <col min="410" max="410" width="7.1640625" style="56" customWidth="1"/>
    <col min="411" max="413" width="6.33203125" style="56" customWidth="1"/>
    <col min="414" max="414" width="5.33203125" style="56" customWidth="1"/>
    <col min="415" max="415" width="10.5" style="56" customWidth="1"/>
    <col min="416" max="416" width="1.5" style="56" customWidth="1"/>
    <col min="417" max="417" width="6.6640625" style="56" customWidth="1"/>
    <col min="418" max="418" width="7.33203125" style="56" customWidth="1"/>
    <col min="419" max="419" width="7.1640625" style="56" customWidth="1"/>
    <col min="420" max="422" width="6.33203125" style="56" customWidth="1"/>
    <col min="423" max="423" width="5.33203125" style="56" customWidth="1"/>
    <col min="424" max="424" width="10.5" style="56" customWidth="1"/>
    <col min="425" max="425" width="1.5" style="56" customWidth="1"/>
    <col min="426" max="426" width="6.6640625" style="124" customWidth="1"/>
    <col min="427" max="427" width="7.33203125" style="124" customWidth="1"/>
    <col min="428" max="428" width="7.1640625" style="124" customWidth="1"/>
    <col min="429" max="431" width="6.33203125" style="124" customWidth="1"/>
    <col min="432" max="432" width="5.33203125" style="124" customWidth="1"/>
    <col min="433" max="433" width="10.5" style="124" customWidth="1"/>
    <col min="434" max="434" width="1.5" style="124" customWidth="1"/>
    <col min="435" max="435" width="6.6640625" style="124" customWidth="1"/>
    <col min="436" max="436" width="7.33203125" style="124" customWidth="1"/>
    <col min="437" max="437" width="7.1640625" style="124" customWidth="1"/>
    <col min="438" max="440" width="6.33203125" style="124" customWidth="1"/>
    <col min="441" max="441" width="5.33203125" style="124" customWidth="1"/>
    <col min="442" max="442" width="10.5" style="124" customWidth="1"/>
    <col min="443" max="443" width="1.5" style="124" customWidth="1"/>
    <col min="444" max="444" width="6.6640625" style="124" customWidth="1"/>
    <col min="445" max="445" width="7.33203125" style="124" customWidth="1"/>
    <col min="446" max="446" width="7.1640625" style="124" customWidth="1"/>
    <col min="447" max="449" width="6.33203125" style="124" customWidth="1"/>
    <col min="450" max="450" width="5.33203125" style="124" customWidth="1"/>
    <col min="451" max="451" width="10.5" style="124" customWidth="1"/>
    <col min="452" max="452" width="1.5" style="124" customWidth="1"/>
    <col min="453" max="453" width="6.6640625" style="124" customWidth="1"/>
    <col min="454" max="454" width="7.33203125" style="124" customWidth="1"/>
    <col min="455" max="455" width="7.1640625" style="124" customWidth="1"/>
    <col min="456" max="458" width="6.33203125" style="124" customWidth="1"/>
    <col min="459" max="459" width="5.33203125" style="124" customWidth="1"/>
    <col min="460" max="460" width="10.5" style="124" customWidth="1"/>
    <col min="461" max="461" width="2.1640625" style="56" customWidth="1"/>
    <col min="462" max="462" width="10.5" style="63" customWidth="1"/>
    <col min="463" max="465" width="8.6640625" style="63" customWidth="1"/>
    <col min="466" max="466" width="2.1640625" style="56" customWidth="1"/>
    <col min="467" max="467" width="15.1640625" style="56" customWidth="1"/>
    <col min="468" max="468" width="2.1640625" style="56" customWidth="1"/>
    <col min="469" max="469" width="10.33203125" style="56" customWidth="1"/>
    <col min="470" max="470" width="11.6640625" style="56" customWidth="1"/>
    <col min="471" max="474" width="12.33203125" style="56" customWidth="1"/>
    <col min="475" max="475" width="1.83203125" style="56" customWidth="1"/>
    <col min="476" max="477" width="12.33203125" style="56" customWidth="1"/>
    <col min="478" max="478" width="1.83203125" style="56" customWidth="1"/>
    <col min="479" max="479" width="9.83203125" style="56" customWidth="1"/>
    <col min="480" max="480" width="1.83203125" style="56" customWidth="1"/>
    <col min="481" max="482" width="9.83203125" style="56" customWidth="1"/>
    <col min="483" max="483" width="1.83203125" style="56" customWidth="1"/>
    <col min="484" max="485" width="9.33203125" style="56"/>
  </cols>
  <sheetData>
    <row r="1" spans="1:484" ht="12" thickBot="1" x14ac:dyDescent="0.25">
      <c r="F1" s="634"/>
      <c r="G1" s="634"/>
      <c r="H1" s="634"/>
      <c r="I1" s="634"/>
      <c r="J1" s="634"/>
      <c r="O1" s="634"/>
      <c r="P1" s="634"/>
      <c r="Q1" s="634"/>
      <c r="R1" s="634"/>
      <c r="S1" s="634"/>
      <c r="X1" s="634"/>
      <c r="Y1" s="634"/>
      <c r="Z1" s="634"/>
      <c r="AA1" s="634"/>
      <c r="AB1" s="634"/>
      <c r="AG1" s="634"/>
      <c r="AH1" s="634"/>
      <c r="AI1" s="634"/>
      <c r="AJ1" s="634"/>
      <c r="AK1" s="634"/>
      <c r="AP1" s="634"/>
      <c r="AQ1" s="634"/>
      <c r="AR1" s="634"/>
      <c r="AS1" s="634"/>
      <c r="AT1" s="634"/>
      <c r="AY1" s="634"/>
      <c r="AZ1" s="634"/>
      <c r="BA1" s="634"/>
      <c r="BB1" s="634"/>
      <c r="BC1" s="634"/>
      <c r="BH1" s="634"/>
      <c r="BI1" s="634"/>
      <c r="BJ1" s="634"/>
      <c r="BK1" s="634"/>
      <c r="BL1" s="634"/>
      <c r="BQ1" s="634"/>
      <c r="BR1" s="634"/>
      <c r="BS1" s="634"/>
      <c r="BT1" s="634"/>
      <c r="BU1" s="634"/>
      <c r="BZ1" s="634"/>
      <c r="CA1" s="634"/>
      <c r="CB1" s="634"/>
      <c r="CC1" s="634"/>
      <c r="CD1" s="634"/>
      <c r="CI1" s="634"/>
      <c r="CJ1" s="634"/>
      <c r="CK1" s="634"/>
      <c r="CL1" s="634"/>
      <c r="CM1" s="634"/>
      <c r="CR1" s="634"/>
      <c r="CS1" s="634"/>
      <c r="CT1" s="634"/>
      <c r="CU1" s="634"/>
      <c r="CV1" s="634"/>
      <c r="DA1" s="634"/>
      <c r="DB1" s="634"/>
      <c r="DC1" s="634"/>
      <c r="DD1" s="634"/>
      <c r="DE1" s="634"/>
      <c r="DJ1" s="634"/>
      <c r="DK1" s="634"/>
      <c r="DL1" s="634"/>
      <c r="DM1" s="634"/>
      <c r="DN1" s="634"/>
      <c r="DS1" s="634"/>
      <c r="DT1" s="634"/>
      <c r="DU1" s="634"/>
      <c r="DV1" s="634"/>
      <c r="DW1" s="634"/>
      <c r="EB1" s="634"/>
      <c r="EC1" s="634"/>
      <c r="ED1" s="634"/>
      <c r="EE1" s="634"/>
      <c r="EF1" s="634"/>
      <c r="EK1" s="634"/>
      <c r="EL1" s="634"/>
      <c r="EM1" s="634"/>
      <c r="EN1" s="634"/>
      <c r="EO1" s="634"/>
      <c r="ET1" s="634"/>
      <c r="EU1" s="634"/>
      <c r="EV1" s="634"/>
      <c r="EW1" s="634"/>
      <c r="EX1" s="634"/>
      <c r="FC1" s="634"/>
      <c r="FD1" s="634"/>
      <c r="FE1" s="634"/>
      <c r="FF1" s="634"/>
      <c r="FG1" s="634"/>
      <c r="FL1" s="634"/>
      <c r="FM1" s="634"/>
      <c r="FN1" s="634"/>
      <c r="FO1" s="634"/>
      <c r="FP1" s="634"/>
      <c r="FU1" s="634"/>
      <c r="FV1" s="634"/>
      <c r="FW1" s="634"/>
      <c r="FX1" s="634"/>
      <c r="FY1" s="634"/>
      <c r="GD1" s="634"/>
      <c r="GE1" s="634"/>
      <c r="GF1" s="634"/>
      <c r="GG1" s="634"/>
      <c r="GH1" s="634"/>
      <c r="GM1" s="634"/>
      <c r="GN1" s="634"/>
      <c r="GO1" s="634"/>
      <c r="GP1" s="634"/>
      <c r="GQ1" s="634"/>
      <c r="GV1" s="634"/>
      <c r="GW1" s="634"/>
      <c r="GX1" s="634"/>
      <c r="GY1" s="634"/>
      <c r="GZ1" s="634"/>
      <c r="HE1" s="634"/>
      <c r="HF1" s="634"/>
      <c r="HG1" s="634"/>
      <c r="HH1" s="634"/>
      <c r="HI1" s="634"/>
      <c r="HN1" s="634"/>
      <c r="HO1" s="634"/>
      <c r="HP1" s="634"/>
      <c r="HQ1" s="634"/>
      <c r="HR1" s="634"/>
      <c r="HW1" s="634"/>
      <c r="HX1" s="634"/>
      <c r="HY1" s="634"/>
      <c r="HZ1" s="634"/>
      <c r="IA1" s="634"/>
      <c r="IF1" s="634"/>
      <c r="IG1" s="634"/>
      <c r="IH1" s="634"/>
      <c r="II1" s="634"/>
      <c r="IJ1" s="634"/>
      <c r="IO1" s="634"/>
      <c r="IP1" s="634"/>
      <c r="IQ1" s="634"/>
      <c r="IR1" s="634"/>
      <c r="IS1" s="634"/>
      <c r="IX1" s="634"/>
      <c r="IY1" s="634"/>
      <c r="IZ1" s="634"/>
      <c r="JA1" s="634"/>
      <c r="JB1" s="634"/>
      <c r="JG1" s="634"/>
      <c r="JH1" s="634"/>
      <c r="JI1" s="634"/>
      <c r="JJ1" s="634"/>
      <c r="JK1" s="634"/>
      <c r="JP1" s="634"/>
      <c r="JQ1" s="634"/>
      <c r="JR1" s="634"/>
      <c r="JS1" s="634"/>
      <c r="JT1" s="634"/>
      <c r="JY1" s="634"/>
      <c r="JZ1" s="634"/>
      <c r="KA1" s="634"/>
      <c r="KB1" s="634"/>
      <c r="KC1" s="634"/>
      <c r="KH1" s="634"/>
      <c r="KI1" s="634"/>
      <c r="KJ1" s="634"/>
      <c r="KK1" s="634"/>
      <c r="KL1" s="634"/>
      <c r="KQ1" s="634"/>
      <c r="KR1" s="634"/>
      <c r="KS1" s="634"/>
      <c r="KT1" s="634"/>
      <c r="KU1" s="634"/>
      <c r="KZ1" s="634"/>
      <c r="LA1" s="634"/>
      <c r="LB1" s="634"/>
      <c r="LC1" s="634"/>
      <c r="LD1" s="634"/>
      <c r="LI1" s="634"/>
      <c r="LJ1" s="634"/>
      <c r="LK1" s="634"/>
      <c r="LL1" s="634"/>
      <c r="LM1" s="634"/>
      <c r="LR1" s="634"/>
      <c r="LS1" s="634"/>
      <c r="LT1" s="634"/>
      <c r="LU1" s="634"/>
      <c r="LV1" s="634"/>
      <c r="MA1" s="634"/>
      <c r="MB1" s="634"/>
      <c r="MC1" s="634"/>
      <c r="MD1" s="634"/>
      <c r="ME1" s="634"/>
      <c r="MJ1" s="634"/>
      <c r="MK1" s="634"/>
      <c r="ML1" s="634"/>
      <c r="MM1" s="634"/>
      <c r="MN1" s="634"/>
      <c r="MS1" s="634"/>
      <c r="MT1" s="634"/>
      <c r="MU1" s="634"/>
      <c r="MV1" s="634"/>
      <c r="MW1" s="634"/>
      <c r="NB1" s="634"/>
      <c r="NC1" s="634"/>
      <c r="ND1" s="634"/>
      <c r="NE1" s="634"/>
      <c r="NF1" s="634"/>
      <c r="NK1" s="634"/>
      <c r="NL1" s="634"/>
      <c r="NM1" s="634"/>
      <c r="NN1" s="634"/>
      <c r="NO1" s="634"/>
      <c r="NT1" s="634"/>
      <c r="NU1" s="634"/>
      <c r="NV1" s="634"/>
      <c r="NW1" s="634"/>
      <c r="NX1" s="634"/>
      <c r="OC1" s="634"/>
      <c r="OD1" s="634"/>
      <c r="OE1" s="634"/>
      <c r="OF1" s="634"/>
      <c r="OG1" s="634"/>
      <c r="OL1" s="634"/>
      <c r="OM1" s="634"/>
      <c r="ON1" s="634"/>
      <c r="OO1" s="634"/>
      <c r="OP1" s="634"/>
      <c r="OU1" s="634"/>
      <c r="OV1" s="634"/>
      <c r="OW1" s="634"/>
      <c r="OX1" s="634"/>
      <c r="OY1" s="634"/>
      <c r="PD1" s="634"/>
      <c r="PE1" s="634"/>
      <c r="PF1" s="634"/>
      <c r="PG1" s="634"/>
      <c r="PH1" s="634"/>
      <c r="PM1" s="662"/>
      <c r="PN1" s="662"/>
      <c r="PO1" s="662"/>
      <c r="PP1" s="662"/>
      <c r="PQ1" s="662"/>
      <c r="PV1" s="662"/>
      <c r="PW1" s="662"/>
      <c r="PX1" s="662"/>
      <c r="PY1" s="662"/>
      <c r="PZ1" s="662"/>
      <c r="QE1" s="662"/>
      <c r="QF1" s="662"/>
      <c r="QG1" s="662"/>
      <c r="QH1" s="662"/>
      <c r="QI1" s="662"/>
      <c r="QN1" s="662"/>
      <c r="QO1" s="662"/>
      <c r="QP1" s="662"/>
      <c r="QQ1" s="662"/>
      <c r="QR1" s="662"/>
      <c r="QS1" s="62"/>
      <c r="QT1" s="690" t="s">
        <v>239</v>
      </c>
      <c r="QU1" s="691"/>
      <c r="QV1" s="691"/>
      <c r="QW1" s="691"/>
      <c r="QY1" s="132" t="s">
        <v>240</v>
      </c>
      <c r="RK1" s="132" t="s">
        <v>240</v>
      </c>
    </row>
    <row r="2" spans="1:484" ht="10.5" customHeight="1" x14ac:dyDescent="0.2">
      <c r="C2" s="605">
        <f>$A$2+1</f>
        <v>1</v>
      </c>
      <c r="D2" s="606"/>
      <c r="E2" s="607"/>
      <c r="F2" s="622" t="s">
        <v>33</v>
      </c>
      <c r="G2" s="594" t="s">
        <v>34</v>
      </c>
      <c r="H2" s="594" t="s">
        <v>31</v>
      </c>
      <c r="I2" s="594" t="s">
        <v>35</v>
      </c>
      <c r="J2" s="597" t="s">
        <v>32</v>
      </c>
      <c r="L2" s="605">
        <f>$C$2+1</f>
        <v>2</v>
      </c>
      <c r="M2" s="606"/>
      <c r="N2" s="607"/>
      <c r="O2" s="622" t="s">
        <v>33</v>
      </c>
      <c r="P2" s="594" t="s">
        <v>34</v>
      </c>
      <c r="Q2" s="594" t="s">
        <v>31</v>
      </c>
      <c r="R2" s="594" t="s">
        <v>35</v>
      </c>
      <c r="S2" s="597" t="s">
        <v>32</v>
      </c>
      <c r="U2" s="625">
        <v>3</v>
      </c>
      <c r="V2" s="626"/>
      <c r="W2" s="627"/>
      <c r="X2" s="622" t="s">
        <v>33</v>
      </c>
      <c r="Y2" s="594" t="s">
        <v>34</v>
      </c>
      <c r="Z2" s="594" t="s">
        <v>31</v>
      </c>
      <c r="AA2" s="594" t="s">
        <v>35</v>
      </c>
      <c r="AB2" s="597" t="s">
        <v>32</v>
      </c>
      <c r="AD2" s="605">
        <v>4</v>
      </c>
      <c r="AE2" s="606"/>
      <c r="AF2" s="607"/>
      <c r="AG2" s="622" t="s">
        <v>33</v>
      </c>
      <c r="AH2" s="594" t="s">
        <v>34</v>
      </c>
      <c r="AI2" s="594" t="s">
        <v>31</v>
      </c>
      <c r="AJ2" s="594" t="s">
        <v>35</v>
      </c>
      <c r="AK2" s="597" t="s">
        <v>32</v>
      </c>
      <c r="AM2" s="605">
        <f>AD2+1</f>
        <v>5</v>
      </c>
      <c r="AN2" s="606"/>
      <c r="AO2" s="607"/>
      <c r="AP2" s="622" t="s">
        <v>33</v>
      </c>
      <c r="AQ2" s="594" t="s">
        <v>34</v>
      </c>
      <c r="AR2" s="594" t="s">
        <v>31</v>
      </c>
      <c r="AS2" s="594" t="s">
        <v>35</v>
      </c>
      <c r="AT2" s="597" t="s">
        <v>32</v>
      </c>
      <c r="AV2" s="641">
        <f>AM2+1</f>
        <v>6</v>
      </c>
      <c r="AW2" s="642"/>
      <c r="AX2" s="643"/>
      <c r="AY2" s="668" t="s">
        <v>33</v>
      </c>
      <c r="AZ2" s="669" t="s">
        <v>34</v>
      </c>
      <c r="BA2" s="669" t="s">
        <v>31</v>
      </c>
      <c r="BB2" s="669" t="s">
        <v>35</v>
      </c>
      <c r="BC2" s="670" t="s">
        <v>32</v>
      </c>
      <c r="BE2" s="625">
        <f>AV2+1</f>
        <v>7</v>
      </c>
      <c r="BF2" s="626"/>
      <c r="BG2" s="627"/>
      <c r="BH2" s="622" t="s">
        <v>33</v>
      </c>
      <c r="BI2" s="594" t="s">
        <v>34</v>
      </c>
      <c r="BJ2" s="594" t="s">
        <v>31</v>
      </c>
      <c r="BK2" s="594" t="s">
        <v>35</v>
      </c>
      <c r="BL2" s="597" t="s">
        <v>32</v>
      </c>
      <c r="BN2" s="605">
        <f>BE2+1</f>
        <v>8</v>
      </c>
      <c r="BO2" s="606"/>
      <c r="BP2" s="607"/>
      <c r="BQ2" s="622" t="s">
        <v>33</v>
      </c>
      <c r="BR2" s="594" t="s">
        <v>34</v>
      </c>
      <c r="BS2" s="594" t="s">
        <v>31</v>
      </c>
      <c r="BT2" s="594" t="s">
        <v>35</v>
      </c>
      <c r="BU2" s="597" t="s">
        <v>32</v>
      </c>
      <c r="BW2" s="605">
        <f>BN2+1</f>
        <v>9</v>
      </c>
      <c r="BX2" s="606"/>
      <c r="BY2" s="607"/>
      <c r="BZ2" s="622" t="s">
        <v>33</v>
      </c>
      <c r="CA2" s="594" t="s">
        <v>34</v>
      </c>
      <c r="CB2" s="594" t="s">
        <v>31</v>
      </c>
      <c r="CC2" s="594" t="s">
        <v>35</v>
      </c>
      <c r="CD2" s="597" t="s">
        <v>32</v>
      </c>
      <c r="CF2" s="635">
        <f>BW2+1</f>
        <v>10</v>
      </c>
      <c r="CG2" s="636"/>
      <c r="CH2" s="637"/>
      <c r="CI2" s="622" t="s">
        <v>33</v>
      </c>
      <c r="CJ2" s="594" t="s">
        <v>34</v>
      </c>
      <c r="CK2" s="594" t="s">
        <v>31</v>
      </c>
      <c r="CL2" s="594" t="s">
        <v>35</v>
      </c>
      <c r="CM2" s="597" t="s">
        <v>32</v>
      </c>
      <c r="CO2" s="625">
        <f>CF2+1</f>
        <v>11</v>
      </c>
      <c r="CP2" s="626"/>
      <c r="CQ2" s="627"/>
      <c r="CR2" s="622" t="s">
        <v>33</v>
      </c>
      <c r="CS2" s="594" t="s">
        <v>34</v>
      </c>
      <c r="CT2" s="594" t="s">
        <v>31</v>
      </c>
      <c r="CU2" s="594" t="s">
        <v>35</v>
      </c>
      <c r="CV2" s="597" t="s">
        <v>32</v>
      </c>
      <c r="CX2" s="605">
        <f>CO2+1</f>
        <v>12</v>
      </c>
      <c r="CY2" s="606"/>
      <c r="CZ2" s="607"/>
      <c r="DA2" s="622" t="s">
        <v>33</v>
      </c>
      <c r="DB2" s="594" t="s">
        <v>34</v>
      </c>
      <c r="DC2" s="594" t="s">
        <v>31</v>
      </c>
      <c r="DD2" s="594" t="s">
        <v>35</v>
      </c>
      <c r="DE2" s="597" t="s">
        <v>32</v>
      </c>
      <c r="DG2" s="605">
        <f>CX2+1</f>
        <v>13</v>
      </c>
      <c r="DH2" s="606"/>
      <c r="DI2" s="607"/>
      <c r="DJ2" s="622" t="s">
        <v>33</v>
      </c>
      <c r="DK2" s="594" t="s">
        <v>34</v>
      </c>
      <c r="DL2" s="594" t="s">
        <v>31</v>
      </c>
      <c r="DM2" s="594" t="s">
        <v>35</v>
      </c>
      <c r="DN2" s="597" t="s">
        <v>32</v>
      </c>
      <c r="DP2" s="605">
        <f>DG2+1</f>
        <v>14</v>
      </c>
      <c r="DQ2" s="606"/>
      <c r="DR2" s="607"/>
      <c r="DS2" s="622" t="s">
        <v>33</v>
      </c>
      <c r="DT2" s="594" t="s">
        <v>34</v>
      </c>
      <c r="DU2" s="594" t="s">
        <v>31</v>
      </c>
      <c r="DV2" s="594" t="s">
        <v>35</v>
      </c>
      <c r="DW2" s="597" t="s">
        <v>32</v>
      </c>
      <c r="DY2" s="605">
        <f>DP2+1</f>
        <v>15</v>
      </c>
      <c r="DZ2" s="606"/>
      <c r="EA2" s="607"/>
      <c r="EB2" s="622" t="s">
        <v>33</v>
      </c>
      <c r="EC2" s="594" t="s">
        <v>34</v>
      </c>
      <c r="ED2" s="594" t="s">
        <v>31</v>
      </c>
      <c r="EE2" s="594" t="s">
        <v>35</v>
      </c>
      <c r="EF2" s="597" t="s">
        <v>32</v>
      </c>
      <c r="EH2" s="605">
        <f>DY2+1</f>
        <v>16</v>
      </c>
      <c r="EI2" s="606"/>
      <c r="EJ2" s="607"/>
      <c r="EK2" s="622" t="s">
        <v>33</v>
      </c>
      <c r="EL2" s="594" t="s">
        <v>34</v>
      </c>
      <c r="EM2" s="594" t="s">
        <v>31</v>
      </c>
      <c r="EN2" s="594" t="s">
        <v>35</v>
      </c>
      <c r="EO2" s="597" t="s">
        <v>32</v>
      </c>
      <c r="EQ2" s="672">
        <f>EH2+1</f>
        <v>17</v>
      </c>
      <c r="ER2" s="673"/>
      <c r="ES2" s="674"/>
      <c r="ET2" s="622" t="s">
        <v>33</v>
      </c>
      <c r="EU2" s="594" t="s">
        <v>34</v>
      </c>
      <c r="EV2" s="594" t="s">
        <v>31</v>
      </c>
      <c r="EW2" s="594" t="s">
        <v>35</v>
      </c>
      <c r="EX2" s="597" t="s">
        <v>32</v>
      </c>
      <c r="EZ2" s="635">
        <f>EQ2+1</f>
        <v>18</v>
      </c>
      <c r="FA2" s="636"/>
      <c r="FB2" s="637"/>
      <c r="FC2" s="622" t="s">
        <v>33</v>
      </c>
      <c r="FD2" s="594" t="s">
        <v>34</v>
      </c>
      <c r="FE2" s="594" t="s">
        <v>31</v>
      </c>
      <c r="FF2" s="594" t="s">
        <v>35</v>
      </c>
      <c r="FG2" s="597" t="s">
        <v>32</v>
      </c>
      <c r="FI2" s="605">
        <f>EZ2+1</f>
        <v>19</v>
      </c>
      <c r="FJ2" s="606"/>
      <c r="FK2" s="607"/>
      <c r="FL2" s="622" t="s">
        <v>33</v>
      </c>
      <c r="FM2" s="594" t="s">
        <v>34</v>
      </c>
      <c r="FN2" s="594" t="s">
        <v>31</v>
      </c>
      <c r="FO2" s="594" t="s">
        <v>35</v>
      </c>
      <c r="FP2" s="597" t="s">
        <v>32</v>
      </c>
      <c r="FR2" s="605">
        <f>FI2+1</f>
        <v>20</v>
      </c>
      <c r="FS2" s="606"/>
      <c r="FT2" s="607"/>
      <c r="FU2" s="622" t="s">
        <v>33</v>
      </c>
      <c r="FV2" s="594" t="s">
        <v>34</v>
      </c>
      <c r="FW2" s="594" t="s">
        <v>31</v>
      </c>
      <c r="FX2" s="594" t="s">
        <v>35</v>
      </c>
      <c r="FY2" s="597" t="s">
        <v>32</v>
      </c>
      <c r="GA2" s="605">
        <f>FR2+1</f>
        <v>21</v>
      </c>
      <c r="GB2" s="606"/>
      <c r="GC2" s="607"/>
      <c r="GD2" s="622" t="s">
        <v>33</v>
      </c>
      <c r="GE2" s="594" t="s">
        <v>34</v>
      </c>
      <c r="GF2" s="594" t="s">
        <v>31</v>
      </c>
      <c r="GG2" s="594" t="s">
        <v>35</v>
      </c>
      <c r="GH2" s="597" t="s">
        <v>32</v>
      </c>
      <c r="GJ2" s="605">
        <f>GA2+1</f>
        <v>22</v>
      </c>
      <c r="GK2" s="606"/>
      <c r="GL2" s="607"/>
      <c r="GM2" s="622" t="s">
        <v>33</v>
      </c>
      <c r="GN2" s="594" t="s">
        <v>34</v>
      </c>
      <c r="GO2" s="594" t="s">
        <v>31</v>
      </c>
      <c r="GP2" s="594" t="s">
        <v>35</v>
      </c>
      <c r="GQ2" s="597" t="s">
        <v>32</v>
      </c>
      <c r="GS2" s="635">
        <f>GJ2+1</f>
        <v>23</v>
      </c>
      <c r="GT2" s="636"/>
      <c r="GU2" s="637"/>
      <c r="GV2" s="622" t="s">
        <v>33</v>
      </c>
      <c r="GW2" s="594" t="s">
        <v>34</v>
      </c>
      <c r="GX2" s="594" t="s">
        <v>31</v>
      </c>
      <c r="GY2" s="594" t="s">
        <v>35</v>
      </c>
      <c r="GZ2" s="597" t="s">
        <v>32</v>
      </c>
      <c r="HB2" s="605">
        <f>GS2+1</f>
        <v>24</v>
      </c>
      <c r="HC2" s="606"/>
      <c r="HD2" s="607"/>
      <c r="HE2" s="622" t="s">
        <v>33</v>
      </c>
      <c r="HF2" s="594" t="s">
        <v>34</v>
      </c>
      <c r="HG2" s="594" t="s">
        <v>31</v>
      </c>
      <c r="HH2" s="594" t="s">
        <v>35</v>
      </c>
      <c r="HI2" s="597" t="s">
        <v>32</v>
      </c>
      <c r="HK2" s="625">
        <f>HB2+1</f>
        <v>25</v>
      </c>
      <c r="HL2" s="626"/>
      <c r="HM2" s="627"/>
      <c r="HN2" s="622" t="s">
        <v>33</v>
      </c>
      <c r="HO2" s="594" t="s">
        <v>34</v>
      </c>
      <c r="HP2" s="594" t="s">
        <v>31</v>
      </c>
      <c r="HQ2" s="594" t="s">
        <v>35</v>
      </c>
      <c r="HR2" s="597" t="s">
        <v>32</v>
      </c>
      <c r="HT2" s="635">
        <f>HK2+1</f>
        <v>26</v>
      </c>
      <c r="HU2" s="636"/>
      <c r="HV2" s="637"/>
      <c r="HW2" s="622" t="s">
        <v>33</v>
      </c>
      <c r="HX2" s="594" t="s">
        <v>34</v>
      </c>
      <c r="HY2" s="594" t="s">
        <v>31</v>
      </c>
      <c r="HZ2" s="594" t="s">
        <v>35</v>
      </c>
      <c r="IA2" s="597" t="s">
        <v>32</v>
      </c>
      <c r="IC2" s="672">
        <f>HT2+1</f>
        <v>27</v>
      </c>
      <c r="ID2" s="673"/>
      <c r="IE2" s="674"/>
      <c r="IF2" s="622" t="s">
        <v>33</v>
      </c>
      <c r="IG2" s="594" t="s">
        <v>34</v>
      </c>
      <c r="IH2" s="594" t="s">
        <v>31</v>
      </c>
      <c r="II2" s="594" t="s">
        <v>35</v>
      </c>
      <c r="IJ2" s="597" t="s">
        <v>32</v>
      </c>
      <c r="IL2" s="605">
        <f>IC2+1</f>
        <v>28</v>
      </c>
      <c r="IM2" s="606"/>
      <c r="IN2" s="607"/>
      <c r="IO2" s="622" t="s">
        <v>33</v>
      </c>
      <c r="IP2" s="594" t="s">
        <v>34</v>
      </c>
      <c r="IQ2" s="594" t="s">
        <v>31</v>
      </c>
      <c r="IR2" s="594" t="s">
        <v>35</v>
      </c>
      <c r="IS2" s="597" t="s">
        <v>32</v>
      </c>
      <c r="IU2" s="605">
        <f>IL2+1</f>
        <v>29</v>
      </c>
      <c r="IV2" s="606"/>
      <c r="IW2" s="607"/>
      <c r="IX2" s="622" t="s">
        <v>33</v>
      </c>
      <c r="IY2" s="594" t="s">
        <v>34</v>
      </c>
      <c r="IZ2" s="594" t="s">
        <v>31</v>
      </c>
      <c r="JA2" s="594" t="s">
        <v>35</v>
      </c>
      <c r="JB2" s="597" t="s">
        <v>32</v>
      </c>
      <c r="JD2" s="605">
        <f>IU2+1</f>
        <v>30</v>
      </c>
      <c r="JE2" s="606"/>
      <c r="JF2" s="607"/>
      <c r="JG2" s="622" t="s">
        <v>33</v>
      </c>
      <c r="JH2" s="594" t="s">
        <v>34</v>
      </c>
      <c r="JI2" s="594" t="s">
        <v>31</v>
      </c>
      <c r="JJ2" s="594" t="s">
        <v>35</v>
      </c>
      <c r="JK2" s="597" t="s">
        <v>32</v>
      </c>
      <c r="JM2" s="605">
        <f>JD2+1</f>
        <v>31</v>
      </c>
      <c r="JN2" s="606"/>
      <c r="JO2" s="607"/>
      <c r="JP2" s="622" t="s">
        <v>33</v>
      </c>
      <c r="JQ2" s="594" t="s">
        <v>34</v>
      </c>
      <c r="JR2" s="594" t="s">
        <v>31</v>
      </c>
      <c r="JS2" s="594" t="s">
        <v>35</v>
      </c>
      <c r="JT2" s="597" t="s">
        <v>32</v>
      </c>
      <c r="JV2" s="605">
        <f>JM2+1</f>
        <v>32</v>
      </c>
      <c r="JW2" s="606"/>
      <c r="JX2" s="607"/>
      <c r="JY2" s="622" t="s">
        <v>33</v>
      </c>
      <c r="JZ2" s="594" t="s">
        <v>34</v>
      </c>
      <c r="KA2" s="594" t="s">
        <v>31</v>
      </c>
      <c r="KB2" s="594" t="s">
        <v>35</v>
      </c>
      <c r="KC2" s="597" t="s">
        <v>32</v>
      </c>
      <c r="KE2" s="605">
        <f>JV2+1</f>
        <v>33</v>
      </c>
      <c r="KF2" s="606"/>
      <c r="KG2" s="607"/>
      <c r="KH2" s="622" t="s">
        <v>33</v>
      </c>
      <c r="KI2" s="594" t="s">
        <v>34</v>
      </c>
      <c r="KJ2" s="594" t="s">
        <v>31</v>
      </c>
      <c r="KK2" s="594" t="s">
        <v>35</v>
      </c>
      <c r="KL2" s="597" t="s">
        <v>32</v>
      </c>
      <c r="KN2" s="635">
        <f>KE2+1</f>
        <v>34</v>
      </c>
      <c r="KO2" s="636"/>
      <c r="KP2" s="637"/>
      <c r="KQ2" s="622" t="s">
        <v>33</v>
      </c>
      <c r="KR2" s="594" t="s">
        <v>34</v>
      </c>
      <c r="KS2" s="594" t="s">
        <v>31</v>
      </c>
      <c r="KT2" s="594" t="s">
        <v>35</v>
      </c>
      <c r="KU2" s="597" t="s">
        <v>32</v>
      </c>
      <c r="KW2" s="605">
        <f>KN2+1</f>
        <v>35</v>
      </c>
      <c r="KX2" s="606"/>
      <c r="KY2" s="607"/>
      <c r="KZ2" s="622" t="s">
        <v>33</v>
      </c>
      <c r="LA2" s="594" t="s">
        <v>34</v>
      </c>
      <c r="LB2" s="594" t="s">
        <v>31</v>
      </c>
      <c r="LC2" s="594" t="s">
        <v>35</v>
      </c>
      <c r="LD2" s="597" t="s">
        <v>32</v>
      </c>
      <c r="LF2" s="625">
        <f>KW2+1</f>
        <v>36</v>
      </c>
      <c r="LG2" s="626"/>
      <c r="LH2" s="627"/>
      <c r="LI2" s="622" t="s">
        <v>33</v>
      </c>
      <c r="LJ2" s="594" t="s">
        <v>34</v>
      </c>
      <c r="LK2" s="594" t="s">
        <v>31</v>
      </c>
      <c r="LL2" s="594" t="s">
        <v>35</v>
      </c>
      <c r="LM2" s="597" t="s">
        <v>32</v>
      </c>
      <c r="LO2" s="605">
        <f>LF2+1</f>
        <v>37</v>
      </c>
      <c r="LP2" s="606"/>
      <c r="LQ2" s="607"/>
      <c r="LR2" s="622" t="s">
        <v>33</v>
      </c>
      <c r="LS2" s="594" t="s">
        <v>34</v>
      </c>
      <c r="LT2" s="594" t="s">
        <v>31</v>
      </c>
      <c r="LU2" s="594" t="s">
        <v>35</v>
      </c>
      <c r="LV2" s="597" t="s">
        <v>32</v>
      </c>
      <c r="LX2" s="605">
        <f>LO2+1</f>
        <v>38</v>
      </c>
      <c r="LY2" s="606"/>
      <c r="LZ2" s="607"/>
      <c r="MA2" s="622" t="s">
        <v>33</v>
      </c>
      <c r="MB2" s="594" t="s">
        <v>34</v>
      </c>
      <c r="MC2" s="594" t="s">
        <v>31</v>
      </c>
      <c r="MD2" s="594" t="s">
        <v>35</v>
      </c>
      <c r="ME2" s="597" t="s">
        <v>32</v>
      </c>
      <c r="MG2" s="605">
        <f>LX2+1</f>
        <v>39</v>
      </c>
      <c r="MH2" s="606"/>
      <c r="MI2" s="607"/>
      <c r="MJ2" s="622" t="s">
        <v>33</v>
      </c>
      <c r="MK2" s="594" t="s">
        <v>34</v>
      </c>
      <c r="ML2" s="594" t="s">
        <v>31</v>
      </c>
      <c r="MM2" s="594" t="s">
        <v>35</v>
      </c>
      <c r="MN2" s="597" t="s">
        <v>32</v>
      </c>
      <c r="MP2" s="605">
        <f>MG2+1</f>
        <v>40</v>
      </c>
      <c r="MQ2" s="606"/>
      <c r="MR2" s="607"/>
      <c r="MS2" s="622" t="s">
        <v>33</v>
      </c>
      <c r="MT2" s="594" t="s">
        <v>34</v>
      </c>
      <c r="MU2" s="594" t="s">
        <v>31</v>
      </c>
      <c r="MV2" s="594" t="s">
        <v>35</v>
      </c>
      <c r="MW2" s="597" t="s">
        <v>32</v>
      </c>
      <c r="MY2" s="605">
        <f>MP2+1</f>
        <v>41</v>
      </c>
      <c r="MZ2" s="606"/>
      <c r="NA2" s="607"/>
      <c r="NB2" s="622" t="s">
        <v>33</v>
      </c>
      <c r="NC2" s="594" t="s">
        <v>34</v>
      </c>
      <c r="ND2" s="594" t="s">
        <v>31</v>
      </c>
      <c r="NE2" s="594" t="s">
        <v>35</v>
      </c>
      <c r="NF2" s="597" t="s">
        <v>32</v>
      </c>
      <c r="NH2" s="605">
        <f>MY2+1</f>
        <v>42</v>
      </c>
      <c r="NI2" s="606"/>
      <c r="NJ2" s="607"/>
      <c r="NK2" s="622" t="s">
        <v>33</v>
      </c>
      <c r="NL2" s="594" t="s">
        <v>34</v>
      </c>
      <c r="NM2" s="594" t="s">
        <v>31</v>
      </c>
      <c r="NN2" s="594" t="s">
        <v>35</v>
      </c>
      <c r="NO2" s="597" t="s">
        <v>32</v>
      </c>
      <c r="NQ2" s="605">
        <f>NH2+1</f>
        <v>43</v>
      </c>
      <c r="NR2" s="606"/>
      <c r="NS2" s="607"/>
      <c r="NT2" s="622" t="s">
        <v>33</v>
      </c>
      <c r="NU2" s="594" t="s">
        <v>34</v>
      </c>
      <c r="NV2" s="594" t="s">
        <v>31</v>
      </c>
      <c r="NW2" s="594" t="s">
        <v>35</v>
      </c>
      <c r="NX2" s="597" t="s">
        <v>32</v>
      </c>
      <c r="NZ2" s="625">
        <f>NQ2+1</f>
        <v>44</v>
      </c>
      <c r="OA2" s="626"/>
      <c r="OB2" s="627"/>
      <c r="OC2" s="622" t="s">
        <v>33</v>
      </c>
      <c r="OD2" s="594" t="s">
        <v>34</v>
      </c>
      <c r="OE2" s="594" t="s">
        <v>31</v>
      </c>
      <c r="OF2" s="594" t="s">
        <v>35</v>
      </c>
      <c r="OG2" s="597" t="s">
        <v>32</v>
      </c>
      <c r="OI2" s="605">
        <f>NZ2+1</f>
        <v>45</v>
      </c>
      <c r="OJ2" s="606"/>
      <c r="OK2" s="607"/>
      <c r="OL2" s="622" t="s">
        <v>33</v>
      </c>
      <c r="OM2" s="594" t="s">
        <v>34</v>
      </c>
      <c r="ON2" s="594" t="s">
        <v>31</v>
      </c>
      <c r="OO2" s="594" t="s">
        <v>35</v>
      </c>
      <c r="OP2" s="597" t="s">
        <v>32</v>
      </c>
      <c r="OR2" s="625">
        <f>OI2+1</f>
        <v>46</v>
      </c>
      <c r="OS2" s="626"/>
      <c r="OT2" s="627"/>
      <c r="OU2" s="622" t="s">
        <v>33</v>
      </c>
      <c r="OV2" s="594" t="s">
        <v>34</v>
      </c>
      <c r="OW2" s="594" t="s">
        <v>31</v>
      </c>
      <c r="OX2" s="594" t="s">
        <v>35</v>
      </c>
      <c r="OY2" s="597" t="s">
        <v>32</v>
      </c>
      <c r="PA2" s="605">
        <f>OR2+1</f>
        <v>47</v>
      </c>
      <c r="PB2" s="606"/>
      <c r="PC2" s="607"/>
      <c r="PD2" s="622" t="s">
        <v>33</v>
      </c>
      <c r="PE2" s="594" t="s">
        <v>34</v>
      </c>
      <c r="PF2" s="594" t="s">
        <v>31</v>
      </c>
      <c r="PG2" s="594" t="s">
        <v>35</v>
      </c>
      <c r="PH2" s="597" t="s">
        <v>32</v>
      </c>
      <c r="PJ2" s="663">
        <f>PA2+1</f>
        <v>48</v>
      </c>
      <c r="PK2" s="664"/>
      <c r="PL2" s="665"/>
      <c r="PM2" s="628" t="s">
        <v>33</v>
      </c>
      <c r="PN2" s="631" t="s">
        <v>34</v>
      </c>
      <c r="PO2" s="631" t="s">
        <v>31</v>
      </c>
      <c r="PP2" s="631" t="s">
        <v>35</v>
      </c>
      <c r="PQ2" s="666" t="s">
        <v>32</v>
      </c>
      <c r="PS2" s="687">
        <f>PJ2+1</f>
        <v>49</v>
      </c>
      <c r="PT2" s="688"/>
      <c r="PU2" s="689"/>
      <c r="PV2" s="628" t="s">
        <v>33</v>
      </c>
      <c r="PW2" s="631" t="s">
        <v>34</v>
      </c>
      <c r="PX2" s="631" t="s">
        <v>31</v>
      </c>
      <c r="PY2" s="631" t="s">
        <v>35</v>
      </c>
      <c r="PZ2" s="666" t="s">
        <v>32</v>
      </c>
      <c r="QB2" s="694">
        <f>PS2+1</f>
        <v>50</v>
      </c>
      <c r="QC2" s="695"/>
      <c r="QD2" s="696"/>
      <c r="QE2" s="628" t="s">
        <v>33</v>
      </c>
      <c r="QF2" s="631" t="s">
        <v>34</v>
      </c>
      <c r="QG2" s="631" t="s">
        <v>31</v>
      </c>
      <c r="QH2" s="631" t="s">
        <v>35</v>
      </c>
      <c r="QI2" s="666" t="s">
        <v>32</v>
      </c>
      <c r="QK2" s="663">
        <f>QB2+1</f>
        <v>51</v>
      </c>
      <c r="QL2" s="664"/>
      <c r="QM2" s="665"/>
      <c r="QN2" s="628" t="s">
        <v>33</v>
      </c>
      <c r="QO2" s="631" t="s">
        <v>34</v>
      </c>
      <c r="QP2" s="631" t="s">
        <v>31</v>
      </c>
      <c r="QQ2" s="631" t="s">
        <v>35</v>
      </c>
      <c r="QR2" s="666" t="s">
        <v>32</v>
      </c>
      <c r="QS2" s="104"/>
      <c r="QT2" s="658" t="s">
        <v>33</v>
      </c>
      <c r="QU2" s="660" t="s">
        <v>34</v>
      </c>
      <c r="QV2" s="660" t="s">
        <v>31</v>
      </c>
      <c r="QW2" s="697" t="s">
        <v>35</v>
      </c>
      <c r="QY2" s="699" t="s">
        <v>125</v>
      </c>
      <c r="RA2" s="701" t="s">
        <v>36</v>
      </c>
      <c r="RB2" s="703" t="s">
        <v>37</v>
      </c>
      <c r="RC2" s="703" t="s">
        <v>38</v>
      </c>
      <c r="RD2" s="703" t="s">
        <v>39</v>
      </c>
      <c r="RE2" s="703" t="s">
        <v>40</v>
      </c>
      <c r="RF2" s="705" t="s">
        <v>41</v>
      </c>
      <c r="RG2" s="105"/>
      <c r="RH2" s="707" t="s">
        <v>42</v>
      </c>
      <c r="RI2" s="692" t="s">
        <v>43</v>
      </c>
      <c r="RJ2" s="105"/>
      <c r="RK2" s="653" t="s">
        <v>44</v>
      </c>
      <c r="RL2" s="105"/>
      <c r="RM2" s="654" t="s">
        <v>45</v>
      </c>
      <c r="RN2" s="656" t="s">
        <v>46</v>
      </c>
      <c r="RO2" s="105"/>
      <c r="RP2" s="608" t="s">
        <v>133</v>
      </c>
    </row>
    <row r="3" spans="1:484" ht="12" customHeight="1" x14ac:dyDescent="0.2">
      <c r="B3" s="64"/>
      <c r="C3" s="610">
        <v>46025</v>
      </c>
      <c r="D3" s="611"/>
      <c r="E3" s="612"/>
      <c r="F3" s="623"/>
      <c r="G3" s="595"/>
      <c r="H3" s="595"/>
      <c r="I3" s="595"/>
      <c r="J3" s="598"/>
      <c r="L3" s="610">
        <v>46032</v>
      </c>
      <c r="M3" s="611"/>
      <c r="N3" s="612"/>
      <c r="O3" s="623"/>
      <c r="P3" s="595"/>
      <c r="Q3" s="595"/>
      <c r="R3" s="595"/>
      <c r="S3" s="598"/>
      <c r="U3" s="616">
        <v>46039</v>
      </c>
      <c r="V3" s="617"/>
      <c r="W3" s="618"/>
      <c r="X3" s="623"/>
      <c r="Y3" s="595"/>
      <c r="Z3" s="595"/>
      <c r="AA3" s="595"/>
      <c r="AB3" s="598"/>
      <c r="AD3" s="610">
        <v>46046</v>
      </c>
      <c r="AE3" s="611"/>
      <c r="AF3" s="612"/>
      <c r="AG3" s="623"/>
      <c r="AH3" s="595"/>
      <c r="AI3" s="595"/>
      <c r="AJ3" s="595"/>
      <c r="AK3" s="598"/>
      <c r="AM3" s="610">
        <f>AD3+7</f>
        <v>46053</v>
      </c>
      <c r="AN3" s="611"/>
      <c r="AO3" s="612"/>
      <c r="AP3" s="623"/>
      <c r="AQ3" s="595"/>
      <c r="AR3" s="595"/>
      <c r="AS3" s="595"/>
      <c r="AT3" s="598"/>
      <c r="AV3" s="638">
        <f>AM3+7</f>
        <v>46060</v>
      </c>
      <c r="AW3" s="639"/>
      <c r="AX3" s="640"/>
      <c r="AY3" s="623"/>
      <c r="AZ3" s="595"/>
      <c r="BA3" s="595"/>
      <c r="BB3" s="595"/>
      <c r="BC3" s="671"/>
      <c r="BE3" s="616">
        <f>AV3+7</f>
        <v>46067</v>
      </c>
      <c r="BF3" s="617"/>
      <c r="BG3" s="618"/>
      <c r="BH3" s="623"/>
      <c r="BI3" s="595"/>
      <c r="BJ3" s="595"/>
      <c r="BK3" s="595"/>
      <c r="BL3" s="598"/>
      <c r="BN3" s="610">
        <f>BE3+7</f>
        <v>46074</v>
      </c>
      <c r="BO3" s="611"/>
      <c r="BP3" s="612"/>
      <c r="BQ3" s="623"/>
      <c r="BR3" s="595"/>
      <c r="BS3" s="595"/>
      <c r="BT3" s="595"/>
      <c r="BU3" s="598"/>
      <c r="BW3" s="610">
        <f>BN3+7</f>
        <v>46081</v>
      </c>
      <c r="BX3" s="611"/>
      <c r="BY3" s="612"/>
      <c r="BZ3" s="623"/>
      <c r="CA3" s="595"/>
      <c r="CB3" s="595"/>
      <c r="CC3" s="595"/>
      <c r="CD3" s="598"/>
      <c r="CF3" s="647">
        <f>BW3+7</f>
        <v>46088</v>
      </c>
      <c r="CG3" s="648"/>
      <c r="CH3" s="649"/>
      <c r="CI3" s="623"/>
      <c r="CJ3" s="595"/>
      <c r="CK3" s="595"/>
      <c r="CL3" s="595"/>
      <c r="CM3" s="598"/>
      <c r="CO3" s="616">
        <f>CF3+7</f>
        <v>46095</v>
      </c>
      <c r="CP3" s="617"/>
      <c r="CQ3" s="618"/>
      <c r="CR3" s="623"/>
      <c r="CS3" s="595"/>
      <c r="CT3" s="595"/>
      <c r="CU3" s="595"/>
      <c r="CV3" s="598"/>
      <c r="CX3" s="610">
        <f>CO3+7</f>
        <v>46102</v>
      </c>
      <c r="CY3" s="611"/>
      <c r="CZ3" s="612"/>
      <c r="DA3" s="623"/>
      <c r="DB3" s="595"/>
      <c r="DC3" s="595"/>
      <c r="DD3" s="595"/>
      <c r="DE3" s="598"/>
      <c r="DG3" s="610">
        <f>CX3+7</f>
        <v>46109</v>
      </c>
      <c r="DH3" s="611"/>
      <c r="DI3" s="612"/>
      <c r="DJ3" s="623"/>
      <c r="DK3" s="595"/>
      <c r="DL3" s="595"/>
      <c r="DM3" s="595"/>
      <c r="DN3" s="598"/>
      <c r="DP3" s="610">
        <f>DG3+7</f>
        <v>46116</v>
      </c>
      <c r="DQ3" s="611"/>
      <c r="DR3" s="612"/>
      <c r="DS3" s="623"/>
      <c r="DT3" s="595"/>
      <c r="DU3" s="595"/>
      <c r="DV3" s="595"/>
      <c r="DW3" s="598"/>
      <c r="DY3" s="610">
        <f>DP3+7</f>
        <v>46123</v>
      </c>
      <c r="DZ3" s="611"/>
      <c r="EA3" s="612"/>
      <c r="EB3" s="623"/>
      <c r="EC3" s="595"/>
      <c r="ED3" s="595"/>
      <c r="EE3" s="595"/>
      <c r="EF3" s="598"/>
      <c r="EH3" s="610">
        <f>DY3+7</f>
        <v>46130</v>
      </c>
      <c r="EI3" s="611"/>
      <c r="EJ3" s="612"/>
      <c r="EK3" s="623"/>
      <c r="EL3" s="595"/>
      <c r="EM3" s="595"/>
      <c r="EN3" s="595"/>
      <c r="EO3" s="598"/>
      <c r="EQ3" s="675">
        <f>EH3+7</f>
        <v>46137</v>
      </c>
      <c r="ER3" s="676"/>
      <c r="ES3" s="677"/>
      <c r="ET3" s="623"/>
      <c r="EU3" s="595"/>
      <c r="EV3" s="595"/>
      <c r="EW3" s="595"/>
      <c r="EX3" s="598"/>
      <c r="EZ3" s="647">
        <f>EQ3+7</f>
        <v>46144</v>
      </c>
      <c r="FA3" s="648"/>
      <c r="FB3" s="649"/>
      <c r="FC3" s="623"/>
      <c r="FD3" s="595"/>
      <c r="FE3" s="595"/>
      <c r="FF3" s="595"/>
      <c r="FG3" s="598"/>
      <c r="FI3" s="610">
        <f>EZ3+7</f>
        <v>46151</v>
      </c>
      <c r="FJ3" s="611"/>
      <c r="FK3" s="612"/>
      <c r="FL3" s="623"/>
      <c r="FM3" s="595"/>
      <c r="FN3" s="595"/>
      <c r="FO3" s="595"/>
      <c r="FP3" s="598"/>
      <c r="FR3" s="610">
        <f>FI3+7</f>
        <v>46158</v>
      </c>
      <c r="FS3" s="611"/>
      <c r="FT3" s="612"/>
      <c r="FU3" s="623"/>
      <c r="FV3" s="595"/>
      <c r="FW3" s="595"/>
      <c r="FX3" s="595"/>
      <c r="FY3" s="598"/>
      <c r="GA3" s="610">
        <f>FR3+7</f>
        <v>46165</v>
      </c>
      <c r="GB3" s="611"/>
      <c r="GC3" s="612"/>
      <c r="GD3" s="623"/>
      <c r="GE3" s="595"/>
      <c r="GF3" s="595"/>
      <c r="GG3" s="595"/>
      <c r="GH3" s="598"/>
      <c r="GJ3" s="610">
        <f>GA3+7</f>
        <v>46172</v>
      </c>
      <c r="GK3" s="611"/>
      <c r="GL3" s="612"/>
      <c r="GM3" s="623"/>
      <c r="GN3" s="595"/>
      <c r="GO3" s="595"/>
      <c r="GP3" s="595"/>
      <c r="GQ3" s="598"/>
      <c r="GS3" s="647">
        <f>GJ3+7</f>
        <v>46179</v>
      </c>
      <c r="GT3" s="648"/>
      <c r="GU3" s="649"/>
      <c r="GV3" s="623"/>
      <c r="GW3" s="595"/>
      <c r="GX3" s="595"/>
      <c r="GY3" s="595"/>
      <c r="GZ3" s="598"/>
      <c r="HB3" s="610">
        <f>GS3+7</f>
        <v>46186</v>
      </c>
      <c r="HC3" s="611"/>
      <c r="HD3" s="612"/>
      <c r="HE3" s="623"/>
      <c r="HF3" s="595"/>
      <c r="HG3" s="595"/>
      <c r="HH3" s="595"/>
      <c r="HI3" s="598"/>
      <c r="HK3" s="616">
        <f>HB3+7</f>
        <v>46193</v>
      </c>
      <c r="HL3" s="617"/>
      <c r="HM3" s="618"/>
      <c r="HN3" s="623"/>
      <c r="HO3" s="595"/>
      <c r="HP3" s="595"/>
      <c r="HQ3" s="595"/>
      <c r="HR3" s="598"/>
      <c r="HT3" s="647">
        <f>HK3+7</f>
        <v>46200</v>
      </c>
      <c r="HU3" s="648"/>
      <c r="HV3" s="649"/>
      <c r="HW3" s="623"/>
      <c r="HX3" s="595"/>
      <c r="HY3" s="595"/>
      <c r="HZ3" s="595"/>
      <c r="IA3" s="598"/>
      <c r="IC3" s="675">
        <f>HT3+7</f>
        <v>46207</v>
      </c>
      <c r="ID3" s="676"/>
      <c r="IE3" s="677"/>
      <c r="IF3" s="623"/>
      <c r="IG3" s="595"/>
      <c r="IH3" s="595"/>
      <c r="II3" s="595"/>
      <c r="IJ3" s="598"/>
      <c r="IL3" s="610">
        <f>IC3+7</f>
        <v>46214</v>
      </c>
      <c r="IM3" s="611"/>
      <c r="IN3" s="612"/>
      <c r="IO3" s="623"/>
      <c r="IP3" s="595"/>
      <c r="IQ3" s="595"/>
      <c r="IR3" s="595"/>
      <c r="IS3" s="598"/>
      <c r="IU3" s="610">
        <f>IL3+7</f>
        <v>46221</v>
      </c>
      <c r="IV3" s="611"/>
      <c r="IW3" s="612"/>
      <c r="IX3" s="623"/>
      <c r="IY3" s="595"/>
      <c r="IZ3" s="595"/>
      <c r="JA3" s="595"/>
      <c r="JB3" s="598"/>
      <c r="JD3" s="610">
        <f>IU3+7</f>
        <v>46228</v>
      </c>
      <c r="JE3" s="611"/>
      <c r="JF3" s="612"/>
      <c r="JG3" s="623"/>
      <c r="JH3" s="595"/>
      <c r="JI3" s="595"/>
      <c r="JJ3" s="595"/>
      <c r="JK3" s="598"/>
      <c r="JM3" s="610">
        <f>JD3+7</f>
        <v>46235</v>
      </c>
      <c r="JN3" s="611"/>
      <c r="JO3" s="612"/>
      <c r="JP3" s="623"/>
      <c r="JQ3" s="595"/>
      <c r="JR3" s="595"/>
      <c r="JS3" s="595"/>
      <c r="JT3" s="598"/>
      <c r="JV3" s="610">
        <f>JM3+7</f>
        <v>46242</v>
      </c>
      <c r="JW3" s="611"/>
      <c r="JX3" s="612"/>
      <c r="JY3" s="623"/>
      <c r="JZ3" s="595"/>
      <c r="KA3" s="595"/>
      <c r="KB3" s="595"/>
      <c r="KC3" s="598"/>
      <c r="KE3" s="610">
        <f>JV3+7</f>
        <v>46249</v>
      </c>
      <c r="KF3" s="611"/>
      <c r="KG3" s="612"/>
      <c r="KH3" s="623"/>
      <c r="KI3" s="595"/>
      <c r="KJ3" s="595"/>
      <c r="KK3" s="595"/>
      <c r="KL3" s="598"/>
      <c r="KN3" s="647">
        <f>KE3+7</f>
        <v>46256</v>
      </c>
      <c r="KO3" s="648"/>
      <c r="KP3" s="649"/>
      <c r="KQ3" s="623"/>
      <c r="KR3" s="595"/>
      <c r="KS3" s="595"/>
      <c r="KT3" s="595"/>
      <c r="KU3" s="598"/>
      <c r="KW3" s="610">
        <f>KN3+7</f>
        <v>46263</v>
      </c>
      <c r="KX3" s="611"/>
      <c r="KY3" s="612"/>
      <c r="KZ3" s="623"/>
      <c r="LA3" s="595"/>
      <c r="LB3" s="595"/>
      <c r="LC3" s="595"/>
      <c r="LD3" s="598"/>
      <c r="LF3" s="616">
        <f>KW3+7</f>
        <v>46270</v>
      </c>
      <c r="LG3" s="617"/>
      <c r="LH3" s="618"/>
      <c r="LI3" s="623"/>
      <c r="LJ3" s="595"/>
      <c r="LK3" s="595"/>
      <c r="LL3" s="595"/>
      <c r="LM3" s="598"/>
      <c r="LO3" s="610">
        <f>LF3+7</f>
        <v>46277</v>
      </c>
      <c r="LP3" s="611"/>
      <c r="LQ3" s="612"/>
      <c r="LR3" s="623"/>
      <c r="LS3" s="595"/>
      <c r="LT3" s="595"/>
      <c r="LU3" s="595"/>
      <c r="LV3" s="598"/>
      <c r="LX3" s="610">
        <f>LO3+7</f>
        <v>46284</v>
      </c>
      <c r="LY3" s="611"/>
      <c r="LZ3" s="612"/>
      <c r="MA3" s="623"/>
      <c r="MB3" s="595"/>
      <c r="MC3" s="595"/>
      <c r="MD3" s="595"/>
      <c r="ME3" s="598"/>
      <c r="MG3" s="610">
        <f>LX3+7</f>
        <v>46291</v>
      </c>
      <c r="MH3" s="611"/>
      <c r="MI3" s="612"/>
      <c r="MJ3" s="623"/>
      <c r="MK3" s="595"/>
      <c r="ML3" s="595"/>
      <c r="MM3" s="595"/>
      <c r="MN3" s="598"/>
      <c r="MP3" s="610">
        <f>MG3+7</f>
        <v>46298</v>
      </c>
      <c r="MQ3" s="611"/>
      <c r="MR3" s="612"/>
      <c r="MS3" s="623"/>
      <c r="MT3" s="595"/>
      <c r="MU3" s="595"/>
      <c r="MV3" s="595"/>
      <c r="MW3" s="598"/>
      <c r="MY3" s="610">
        <f>MP3+7</f>
        <v>46305</v>
      </c>
      <c r="MZ3" s="611"/>
      <c r="NA3" s="612"/>
      <c r="NB3" s="623"/>
      <c r="NC3" s="595"/>
      <c r="ND3" s="595"/>
      <c r="NE3" s="595"/>
      <c r="NF3" s="598"/>
      <c r="NH3" s="610">
        <f>MY3+7</f>
        <v>46312</v>
      </c>
      <c r="NI3" s="611"/>
      <c r="NJ3" s="612"/>
      <c r="NK3" s="623"/>
      <c r="NL3" s="595"/>
      <c r="NM3" s="595"/>
      <c r="NN3" s="595"/>
      <c r="NO3" s="598"/>
      <c r="NQ3" s="599">
        <f>NH3+7</f>
        <v>46319</v>
      </c>
      <c r="NR3" s="600"/>
      <c r="NS3" s="601"/>
      <c r="NT3" s="623"/>
      <c r="NU3" s="595"/>
      <c r="NV3" s="595"/>
      <c r="NW3" s="595"/>
      <c r="NX3" s="598"/>
      <c r="NZ3" s="616">
        <v>46326</v>
      </c>
      <c r="OA3" s="617"/>
      <c r="OB3" s="618"/>
      <c r="OC3" s="623"/>
      <c r="OD3" s="595"/>
      <c r="OE3" s="595"/>
      <c r="OF3" s="595"/>
      <c r="OG3" s="598"/>
      <c r="OI3" s="610">
        <f>NZ3+7</f>
        <v>46333</v>
      </c>
      <c r="OJ3" s="611"/>
      <c r="OK3" s="612"/>
      <c r="OL3" s="623"/>
      <c r="OM3" s="595"/>
      <c r="ON3" s="595"/>
      <c r="OO3" s="595"/>
      <c r="OP3" s="598"/>
      <c r="OR3" s="616">
        <f>OI3+7</f>
        <v>46340</v>
      </c>
      <c r="OS3" s="617"/>
      <c r="OT3" s="618"/>
      <c r="OU3" s="623"/>
      <c r="OV3" s="595"/>
      <c r="OW3" s="595"/>
      <c r="OX3" s="595"/>
      <c r="OY3" s="598"/>
      <c r="PA3" s="610">
        <f>OR3+7</f>
        <v>46347</v>
      </c>
      <c r="PB3" s="611"/>
      <c r="PC3" s="612"/>
      <c r="PD3" s="623"/>
      <c r="PE3" s="595"/>
      <c r="PF3" s="595"/>
      <c r="PG3" s="595"/>
      <c r="PH3" s="598"/>
      <c r="PJ3" s="647">
        <f>PA3+7</f>
        <v>46354</v>
      </c>
      <c r="PK3" s="648"/>
      <c r="PL3" s="649"/>
      <c r="PM3" s="629"/>
      <c r="PN3" s="632"/>
      <c r="PO3" s="632"/>
      <c r="PP3" s="632"/>
      <c r="PQ3" s="667"/>
      <c r="PS3" s="681">
        <f>PJ3+7</f>
        <v>46361</v>
      </c>
      <c r="PT3" s="682"/>
      <c r="PU3" s="683"/>
      <c r="PV3" s="629"/>
      <c r="PW3" s="632"/>
      <c r="PX3" s="632"/>
      <c r="PY3" s="632"/>
      <c r="PZ3" s="667"/>
      <c r="QB3" s="616">
        <f>PS3+7</f>
        <v>46368</v>
      </c>
      <c r="QC3" s="617"/>
      <c r="QD3" s="618"/>
      <c r="QE3" s="629"/>
      <c r="QF3" s="632"/>
      <c r="QG3" s="632"/>
      <c r="QH3" s="632"/>
      <c r="QI3" s="667"/>
      <c r="QK3" s="647">
        <f>QB3+7</f>
        <v>46375</v>
      </c>
      <c r="QL3" s="648"/>
      <c r="QM3" s="649"/>
      <c r="QN3" s="629"/>
      <c r="QO3" s="632"/>
      <c r="QP3" s="632"/>
      <c r="QQ3" s="632"/>
      <c r="QR3" s="667"/>
      <c r="QS3" s="104"/>
      <c r="QT3" s="659"/>
      <c r="QU3" s="661"/>
      <c r="QV3" s="661"/>
      <c r="QW3" s="698"/>
      <c r="QY3" s="700"/>
      <c r="RA3" s="702"/>
      <c r="RB3" s="704"/>
      <c r="RC3" s="704"/>
      <c r="RD3" s="704"/>
      <c r="RE3" s="704"/>
      <c r="RF3" s="706"/>
      <c r="RG3" s="105"/>
      <c r="RH3" s="708"/>
      <c r="RI3" s="693"/>
      <c r="RJ3" s="105"/>
      <c r="RK3" s="609"/>
      <c r="RL3" s="105"/>
      <c r="RM3" s="655"/>
      <c r="RN3" s="657"/>
      <c r="RO3" s="105"/>
      <c r="RP3" s="609"/>
    </row>
    <row r="4" spans="1:484" x14ac:dyDescent="0.2">
      <c r="B4" s="64"/>
      <c r="C4" s="613" t="s">
        <v>54</v>
      </c>
      <c r="D4" s="614"/>
      <c r="E4" s="615"/>
      <c r="F4" s="623"/>
      <c r="G4" s="595"/>
      <c r="H4" s="595"/>
      <c r="I4" s="595"/>
      <c r="J4" s="598"/>
      <c r="L4" s="613" t="s">
        <v>54</v>
      </c>
      <c r="M4" s="614"/>
      <c r="N4" s="615"/>
      <c r="O4" s="623"/>
      <c r="P4" s="595"/>
      <c r="Q4" s="595"/>
      <c r="R4" s="595"/>
      <c r="S4" s="598"/>
      <c r="U4" s="619" t="s">
        <v>57</v>
      </c>
      <c r="V4" s="620"/>
      <c r="W4" s="621"/>
      <c r="X4" s="623"/>
      <c r="Y4" s="595"/>
      <c r="Z4" s="595"/>
      <c r="AA4" s="595"/>
      <c r="AB4" s="598"/>
      <c r="AD4" s="613" t="s">
        <v>54</v>
      </c>
      <c r="AE4" s="614"/>
      <c r="AF4" s="615"/>
      <c r="AG4" s="623"/>
      <c r="AH4" s="595"/>
      <c r="AI4" s="595"/>
      <c r="AJ4" s="595"/>
      <c r="AK4" s="598"/>
      <c r="AM4" s="613" t="s">
        <v>54</v>
      </c>
      <c r="AN4" s="614"/>
      <c r="AO4" s="615"/>
      <c r="AP4" s="623"/>
      <c r="AQ4" s="595"/>
      <c r="AR4" s="595"/>
      <c r="AS4" s="595"/>
      <c r="AT4" s="598"/>
      <c r="AV4" s="644" t="s">
        <v>57</v>
      </c>
      <c r="AW4" s="645"/>
      <c r="AX4" s="646"/>
      <c r="AY4" s="623"/>
      <c r="AZ4" s="595"/>
      <c r="BA4" s="595"/>
      <c r="BB4" s="595"/>
      <c r="BC4" s="671"/>
      <c r="BE4" s="619" t="s">
        <v>54</v>
      </c>
      <c r="BF4" s="620"/>
      <c r="BG4" s="621"/>
      <c r="BH4" s="623"/>
      <c r="BI4" s="595"/>
      <c r="BJ4" s="595"/>
      <c r="BK4" s="595"/>
      <c r="BL4" s="598"/>
      <c r="BN4" s="613" t="s">
        <v>54</v>
      </c>
      <c r="BO4" s="614"/>
      <c r="BP4" s="615"/>
      <c r="BQ4" s="623"/>
      <c r="BR4" s="595"/>
      <c r="BS4" s="595"/>
      <c r="BT4" s="595"/>
      <c r="BU4" s="598"/>
      <c r="BW4" s="613" t="s">
        <v>54</v>
      </c>
      <c r="BX4" s="614"/>
      <c r="BY4" s="615"/>
      <c r="BZ4" s="623"/>
      <c r="CA4" s="595"/>
      <c r="CB4" s="595"/>
      <c r="CC4" s="595"/>
      <c r="CD4" s="598"/>
      <c r="CF4" s="650" t="s">
        <v>63</v>
      </c>
      <c r="CG4" s="651"/>
      <c r="CH4" s="652"/>
      <c r="CI4" s="623"/>
      <c r="CJ4" s="595"/>
      <c r="CK4" s="595"/>
      <c r="CL4" s="595"/>
      <c r="CM4" s="598"/>
      <c r="CO4" s="619" t="s">
        <v>57</v>
      </c>
      <c r="CP4" s="620"/>
      <c r="CQ4" s="621"/>
      <c r="CR4" s="623"/>
      <c r="CS4" s="595"/>
      <c r="CT4" s="595"/>
      <c r="CU4" s="595"/>
      <c r="CV4" s="598"/>
      <c r="CX4" s="613" t="s">
        <v>54</v>
      </c>
      <c r="CY4" s="614"/>
      <c r="CZ4" s="615"/>
      <c r="DA4" s="623"/>
      <c r="DB4" s="595"/>
      <c r="DC4" s="595"/>
      <c r="DD4" s="595"/>
      <c r="DE4" s="598"/>
      <c r="DG4" s="613" t="s">
        <v>54</v>
      </c>
      <c r="DH4" s="614"/>
      <c r="DI4" s="615"/>
      <c r="DJ4" s="623"/>
      <c r="DK4" s="595"/>
      <c r="DL4" s="595"/>
      <c r="DM4" s="595"/>
      <c r="DN4" s="598"/>
      <c r="DP4" s="613" t="s">
        <v>54</v>
      </c>
      <c r="DQ4" s="614"/>
      <c r="DR4" s="615"/>
      <c r="DS4" s="623"/>
      <c r="DT4" s="595"/>
      <c r="DU4" s="595"/>
      <c r="DV4" s="595"/>
      <c r="DW4" s="598"/>
      <c r="DY4" s="613" t="s">
        <v>54</v>
      </c>
      <c r="DZ4" s="614"/>
      <c r="EA4" s="615"/>
      <c r="EB4" s="623"/>
      <c r="EC4" s="595"/>
      <c r="ED4" s="595"/>
      <c r="EE4" s="595"/>
      <c r="EF4" s="598"/>
      <c r="EH4" s="613" t="s">
        <v>54</v>
      </c>
      <c r="EI4" s="614"/>
      <c r="EJ4" s="615"/>
      <c r="EK4" s="623"/>
      <c r="EL4" s="595"/>
      <c r="EM4" s="595"/>
      <c r="EN4" s="595"/>
      <c r="EO4" s="598"/>
      <c r="EQ4" s="678" t="s">
        <v>59</v>
      </c>
      <c r="ER4" s="679"/>
      <c r="ES4" s="680"/>
      <c r="ET4" s="623"/>
      <c r="EU4" s="595"/>
      <c r="EV4" s="595"/>
      <c r="EW4" s="595"/>
      <c r="EX4" s="598"/>
      <c r="EZ4" s="650" t="s">
        <v>63</v>
      </c>
      <c r="FA4" s="651"/>
      <c r="FB4" s="652"/>
      <c r="FC4" s="623"/>
      <c r="FD4" s="595"/>
      <c r="FE4" s="595"/>
      <c r="FF4" s="595"/>
      <c r="FG4" s="598"/>
      <c r="FI4" s="613" t="s">
        <v>54</v>
      </c>
      <c r="FJ4" s="614"/>
      <c r="FK4" s="615"/>
      <c r="FL4" s="623"/>
      <c r="FM4" s="595"/>
      <c r="FN4" s="595"/>
      <c r="FO4" s="595"/>
      <c r="FP4" s="598"/>
      <c r="FR4" s="613" t="s">
        <v>54</v>
      </c>
      <c r="FS4" s="614"/>
      <c r="FT4" s="615"/>
      <c r="FU4" s="623"/>
      <c r="FV4" s="595"/>
      <c r="FW4" s="595"/>
      <c r="FX4" s="595"/>
      <c r="FY4" s="598"/>
      <c r="GA4" s="613" t="s">
        <v>54</v>
      </c>
      <c r="GB4" s="614"/>
      <c r="GC4" s="615"/>
      <c r="GD4" s="623"/>
      <c r="GE4" s="595"/>
      <c r="GF4" s="595"/>
      <c r="GG4" s="595"/>
      <c r="GH4" s="598"/>
      <c r="GJ4" s="613" t="s">
        <v>54</v>
      </c>
      <c r="GK4" s="614"/>
      <c r="GL4" s="615"/>
      <c r="GM4" s="623"/>
      <c r="GN4" s="595"/>
      <c r="GO4" s="595"/>
      <c r="GP4" s="595"/>
      <c r="GQ4" s="598"/>
      <c r="GS4" s="650" t="s">
        <v>63</v>
      </c>
      <c r="GT4" s="651"/>
      <c r="GU4" s="652"/>
      <c r="GV4" s="623"/>
      <c r="GW4" s="595"/>
      <c r="GX4" s="595"/>
      <c r="GY4" s="595"/>
      <c r="GZ4" s="598"/>
      <c r="HB4" s="613" t="s">
        <v>54</v>
      </c>
      <c r="HC4" s="614"/>
      <c r="HD4" s="615"/>
      <c r="HE4" s="623"/>
      <c r="HF4" s="595"/>
      <c r="HG4" s="595"/>
      <c r="HH4" s="595"/>
      <c r="HI4" s="598"/>
      <c r="HK4" s="619" t="s">
        <v>57</v>
      </c>
      <c r="HL4" s="620"/>
      <c r="HM4" s="621"/>
      <c r="HN4" s="623"/>
      <c r="HO4" s="595"/>
      <c r="HP4" s="595"/>
      <c r="HQ4" s="595"/>
      <c r="HR4" s="598"/>
      <c r="HT4" s="650" t="s">
        <v>63</v>
      </c>
      <c r="HU4" s="651"/>
      <c r="HV4" s="652"/>
      <c r="HW4" s="623"/>
      <c r="HX4" s="595"/>
      <c r="HY4" s="595"/>
      <c r="HZ4" s="595"/>
      <c r="IA4" s="598"/>
      <c r="IC4" s="678" t="s">
        <v>59</v>
      </c>
      <c r="ID4" s="679"/>
      <c r="IE4" s="680"/>
      <c r="IF4" s="623"/>
      <c r="IG4" s="595"/>
      <c r="IH4" s="595"/>
      <c r="II4" s="595"/>
      <c r="IJ4" s="598"/>
      <c r="IL4" s="613" t="s">
        <v>54</v>
      </c>
      <c r="IM4" s="614"/>
      <c r="IN4" s="615"/>
      <c r="IO4" s="623"/>
      <c r="IP4" s="595"/>
      <c r="IQ4" s="595"/>
      <c r="IR4" s="595"/>
      <c r="IS4" s="598"/>
      <c r="IU4" s="613" t="s">
        <v>54</v>
      </c>
      <c r="IV4" s="614"/>
      <c r="IW4" s="615"/>
      <c r="IX4" s="623"/>
      <c r="IY4" s="595"/>
      <c r="IZ4" s="595"/>
      <c r="JA4" s="595"/>
      <c r="JB4" s="598"/>
      <c r="JD4" s="613" t="s">
        <v>54</v>
      </c>
      <c r="JE4" s="614"/>
      <c r="JF4" s="615"/>
      <c r="JG4" s="623"/>
      <c r="JH4" s="595"/>
      <c r="JI4" s="595"/>
      <c r="JJ4" s="595"/>
      <c r="JK4" s="598"/>
      <c r="JM4" s="613" t="s">
        <v>54</v>
      </c>
      <c r="JN4" s="614"/>
      <c r="JO4" s="615"/>
      <c r="JP4" s="623"/>
      <c r="JQ4" s="595"/>
      <c r="JR4" s="595"/>
      <c r="JS4" s="595"/>
      <c r="JT4" s="598"/>
      <c r="JV4" s="613" t="s">
        <v>54</v>
      </c>
      <c r="JW4" s="614"/>
      <c r="JX4" s="615"/>
      <c r="JY4" s="623"/>
      <c r="JZ4" s="595"/>
      <c r="KA4" s="595"/>
      <c r="KB4" s="595"/>
      <c r="KC4" s="598"/>
      <c r="KE4" s="613" t="s">
        <v>54</v>
      </c>
      <c r="KF4" s="614"/>
      <c r="KG4" s="615"/>
      <c r="KH4" s="623"/>
      <c r="KI4" s="595"/>
      <c r="KJ4" s="595"/>
      <c r="KK4" s="595"/>
      <c r="KL4" s="598"/>
      <c r="KN4" s="650" t="s">
        <v>63</v>
      </c>
      <c r="KO4" s="651"/>
      <c r="KP4" s="652"/>
      <c r="KQ4" s="623"/>
      <c r="KR4" s="595"/>
      <c r="KS4" s="595"/>
      <c r="KT4" s="595"/>
      <c r="KU4" s="598"/>
      <c r="KW4" s="613" t="s">
        <v>54</v>
      </c>
      <c r="KX4" s="614"/>
      <c r="KY4" s="615"/>
      <c r="KZ4" s="623"/>
      <c r="LA4" s="595"/>
      <c r="LB4" s="595"/>
      <c r="LC4" s="595"/>
      <c r="LD4" s="598"/>
      <c r="LF4" s="619" t="s">
        <v>57</v>
      </c>
      <c r="LG4" s="620"/>
      <c r="LH4" s="621"/>
      <c r="LI4" s="623"/>
      <c r="LJ4" s="595"/>
      <c r="LK4" s="595"/>
      <c r="LL4" s="595"/>
      <c r="LM4" s="598"/>
      <c r="LO4" s="613" t="s">
        <v>54</v>
      </c>
      <c r="LP4" s="614"/>
      <c r="LQ4" s="615"/>
      <c r="LR4" s="623"/>
      <c r="LS4" s="595"/>
      <c r="LT4" s="595"/>
      <c r="LU4" s="595"/>
      <c r="LV4" s="598"/>
      <c r="LX4" s="613" t="s">
        <v>54</v>
      </c>
      <c r="LY4" s="614"/>
      <c r="LZ4" s="615"/>
      <c r="MA4" s="623"/>
      <c r="MB4" s="595"/>
      <c r="MC4" s="595"/>
      <c r="MD4" s="595"/>
      <c r="ME4" s="598"/>
      <c r="MG4" s="613" t="s">
        <v>54</v>
      </c>
      <c r="MH4" s="614"/>
      <c r="MI4" s="615"/>
      <c r="MJ4" s="623"/>
      <c r="MK4" s="595"/>
      <c r="ML4" s="595"/>
      <c r="MM4" s="595"/>
      <c r="MN4" s="598"/>
      <c r="MP4" s="613" t="s">
        <v>54</v>
      </c>
      <c r="MQ4" s="614"/>
      <c r="MR4" s="615"/>
      <c r="MS4" s="623"/>
      <c r="MT4" s="595"/>
      <c r="MU4" s="595"/>
      <c r="MV4" s="595"/>
      <c r="MW4" s="598"/>
      <c r="MY4" s="613" t="s">
        <v>54</v>
      </c>
      <c r="MZ4" s="614"/>
      <c r="NA4" s="615"/>
      <c r="NB4" s="623"/>
      <c r="NC4" s="595"/>
      <c r="ND4" s="595"/>
      <c r="NE4" s="595"/>
      <c r="NF4" s="598"/>
      <c r="NH4" s="613" t="s">
        <v>54</v>
      </c>
      <c r="NI4" s="614"/>
      <c r="NJ4" s="615"/>
      <c r="NK4" s="623"/>
      <c r="NL4" s="595"/>
      <c r="NM4" s="595"/>
      <c r="NN4" s="595"/>
      <c r="NO4" s="598"/>
      <c r="NQ4" s="602" t="s">
        <v>54</v>
      </c>
      <c r="NR4" s="603"/>
      <c r="NS4" s="604"/>
      <c r="NT4" s="623"/>
      <c r="NU4" s="595"/>
      <c r="NV4" s="595"/>
      <c r="NW4" s="595"/>
      <c r="NX4" s="598"/>
      <c r="NZ4" s="619" t="s">
        <v>57</v>
      </c>
      <c r="OA4" s="620"/>
      <c r="OB4" s="621"/>
      <c r="OC4" s="623"/>
      <c r="OD4" s="595"/>
      <c r="OE4" s="595"/>
      <c r="OF4" s="595"/>
      <c r="OG4" s="598"/>
      <c r="OI4" s="613" t="s">
        <v>54</v>
      </c>
      <c r="OJ4" s="614"/>
      <c r="OK4" s="615"/>
      <c r="OL4" s="623"/>
      <c r="OM4" s="595"/>
      <c r="ON4" s="595"/>
      <c r="OO4" s="595"/>
      <c r="OP4" s="598"/>
      <c r="OR4" s="619" t="s">
        <v>57</v>
      </c>
      <c r="OS4" s="620"/>
      <c r="OT4" s="621"/>
      <c r="OU4" s="623"/>
      <c r="OV4" s="595"/>
      <c r="OW4" s="595"/>
      <c r="OX4" s="595"/>
      <c r="OY4" s="598"/>
      <c r="PA4" s="613" t="s">
        <v>54</v>
      </c>
      <c r="PB4" s="614"/>
      <c r="PC4" s="615"/>
      <c r="PD4" s="623"/>
      <c r="PE4" s="595"/>
      <c r="PF4" s="595"/>
      <c r="PG4" s="595"/>
      <c r="PH4" s="598"/>
      <c r="PJ4" s="650" t="s">
        <v>63</v>
      </c>
      <c r="PK4" s="651"/>
      <c r="PL4" s="652"/>
      <c r="PM4" s="629"/>
      <c r="PN4" s="632"/>
      <c r="PO4" s="632"/>
      <c r="PP4" s="632"/>
      <c r="PQ4" s="667"/>
      <c r="PS4" s="684" t="s">
        <v>54</v>
      </c>
      <c r="PT4" s="685"/>
      <c r="PU4" s="686"/>
      <c r="PV4" s="629"/>
      <c r="PW4" s="632"/>
      <c r="PX4" s="632"/>
      <c r="PY4" s="632"/>
      <c r="PZ4" s="667"/>
      <c r="QB4" s="619" t="s">
        <v>57</v>
      </c>
      <c r="QC4" s="620"/>
      <c r="QD4" s="621"/>
      <c r="QE4" s="629"/>
      <c r="QF4" s="632"/>
      <c r="QG4" s="632"/>
      <c r="QH4" s="632"/>
      <c r="QI4" s="667"/>
      <c r="QK4" s="650" t="s">
        <v>63</v>
      </c>
      <c r="QL4" s="651"/>
      <c r="QM4" s="652"/>
      <c r="QN4" s="629"/>
      <c r="QO4" s="632"/>
      <c r="QP4" s="632"/>
      <c r="QQ4" s="632"/>
      <c r="QR4" s="667"/>
      <c r="QS4" s="104"/>
      <c r="QT4" s="659"/>
      <c r="QU4" s="661"/>
      <c r="QV4" s="661"/>
      <c r="QW4" s="698"/>
      <c r="QY4" s="700"/>
      <c r="RA4" s="702"/>
      <c r="RB4" s="704"/>
      <c r="RC4" s="704"/>
      <c r="RD4" s="704"/>
      <c r="RE4" s="704"/>
      <c r="RF4" s="706"/>
      <c r="RG4" s="105"/>
      <c r="RH4" s="708"/>
      <c r="RI4" s="693"/>
      <c r="RJ4" s="105"/>
      <c r="RK4" s="609"/>
      <c r="RL4" s="105"/>
      <c r="RM4" s="655"/>
      <c r="RN4" s="657"/>
      <c r="RO4" s="105"/>
      <c r="RP4" s="609"/>
    </row>
    <row r="5" spans="1:484" ht="12" thickBot="1" x14ac:dyDescent="0.25">
      <c r="A5" s="90" t="s">
        <v>49</v>
      </c>
      <c r="C5" s="95" t="s">
        <v>50</v>
      </c>
      <c r="D5" s="96" t="s">
        <v>51</v>
      </c>
      <c r="E5" s="97" t="s">
        <v>52</v>
      </c>
      <c r="F5" s="624"/>
      <c r="G5" s="596"/>
      <c r="H5" s="596"/>
      <c r="I5" s="596"/>
      <c r="J5" s="598"/>
      <c r="L5" s="95" t="s">
        <v>50</v>
      </c>
      <c r="M5" s="96" t="s">
        <v>51</v>
      </c>
      <c r="N5" s="97" t="s">
        <v>52</v>
      </c>
      <c r="O5" s="624"/>
      <c r="P5" s="596"/>
      <c r="Q5" s="596"/>
      <c r="R5" s="596"/>
      <c r="S5" s="598"/>
      <c r="U5" s="65" t="s">
        <v>50</v>
      </c>
      <c r="V5" s="66" t="s">
        <v>51</v>
      </c>
      <c r="W5" s="94" t="s">
        <v>52</v>
      </c>
      <c r="X5" s="624"/>
      <c r="Y5" s="596"/>
      <c r="Z5" s="596"/>
      <c r="AA5" s="596"/>
      <c r="AB5" s="598"/>
      <c r="AD5" s="95" t="s">
        <v>50</v>
      </c>
      <c r="AE5" s="96" t="s">
        <v>51</v>
      </c>
      <c r="AF5" s="97" t="s">
        <v>52</v>
      </c>
      <c r="AG5" s="624"/>
      <c r="AH5" s="596"/>
      <c r="AI5" s="596"/>
      <c r="AJ5" s="596"/>
      <c r="AK5" s="598"/>
      <c r="AM5" s="95" t="s">
        <v>50</v>
      </c>
      <c r="AN5" s="96" t="s">
        <v>51</v>
      </c>
      <c r="AO5" s="97" t="s">
        <v>52</v>
      </c>
      <c r="AP5" s="624"/>
      <c r="AQ5" s="596"/>
      <c r="AR5" s="596"/>
      <c r="AS5" s="596"/>
      <c r="AT5" s="598"/>
      <c r="AV5" s="455" t="s">
        <v>50</v>
      </c>
      <c r="AW5" s="397" t="s">
        <v>51</v>
      </c>
      <c r="AX5" s="398" t="s">
        <v>52</v>
      </c>
      <c r="AY5" s="624"/>
      <c r="AZ5" s="596"/>
      <c r="BA5" s="596"/>
      <c r="BB5" s="596"/>
      <c r="BC5" s="671"/>
      <c r="BE5" s="65" t="s">
        <v>50</v>
      </c>
      <c r="BF5" s="66" t="s">
        <v>51</v>
      </c>
      <c r="BG5" s="94" t="s">
        <v>52</v>
      </c>
      <c r="BH5" s="624"/>
      <c r="BI5" s="596"/>
      <c r="BJ5" s="596"/>
      <c r="BK5" s="596"/>
      <c r="BL5" s="598"/>
      <c r="BN5" s="95" t="s">
        <v>50</v>
      </c>
      <c r="BO5" s="96" t="s">
        <v>51</v>
      </c>
      <c r="BP5" s="97" t="s">
        <v>52</v>
      </c>
      <c r="BQ5" s="624"/>
      <c r="BR5" s="596"/>
      <c r="BS5" s="596"/>
      <c r="BT5" s="596"/>
      <c r="BU5" s="598"/>
      <c r="BW5" s="95" t="s">
        <v>50</v>
      </c>
      <c r="BX5" s="96" t="s">
        <v>51</v>
      </c>
      <c r="BY5" s="97" t="s">
        <v>52</v>
      </c>
      <c r="BZ5" s="624"/>
      <c r="CA5" s="596"/>
      <c r="CB5" s="596"/>
      <c r="CC5" s="596"/>
      <c r="CD5" s="598"/>
      <c r="CF5" s="109" t="s">
        <v>50</v>
      </c>
      <c r="CG5" s="110" t="s">
        <v>51</v>
      </c>
      <c r="CH5" s="485" t="s">
        <v>52</v>
      </c>
      <c r="CI5" s="623"/>
      <c r="CJ5" s="595"/>
      <c r="CK5" s="595"/>
      <c r="CL5" s="595"/>
      <c r="CM5" s="598"/>
      <c r="CO5" s="65" t="s">
        <v>50</v>
      </c>
      <c r="CP5" s="66" t="s">
        <v>51</v>
      </c>
      <c r="CQ5" s="94" t="s">
        <v>52</v>
      </c>
      <c r="CR5" s="624"/>
      <c r="CS5" s="596"/>
      <c r="CT5" s="596"/>
      <c r="CU5" s="596"/>
      <c r="CV5" s="598"/>
      <c r="CX5" s="95" t="s">
        <v>50</v>
      </c>
      <c r="CY5" s="96" t="s">
        <v>51</v>
      </c>
      <c r="CZ5" s="97" t="s">
        <v>52</v>
      </c>
      <c r="DA5" s="624"/>
      <c r="DB5" s="596"/>
      <c r="DC5" s="596"/>
      <c r="DD5" s="596"/>
      <c r="DE5" s="598"/>
      <c r="DG5" s="95" t="s">
        <v>50</v>
      </c>
      <c r="DH5" s="96" t="s">
        <v>51</v>
      </c>
      <c r="DI5" s="97" t="s">
        <v>52</v>
      </c>
      <c r="DJ5" s="624"/>
      <c r="DK5" s="596"/>
      <c r="DL5" s="596"/>
      <c r="DM5" s="596"/>
      <c r="DN5" s="598"/>
      <c r="DP5" s="95" t="s">
        <v>50</v>
      </c>
      <c r="DQ5" s="96" t="s">
        <v>51</v>
      </c>
      <c r="DR5" s="97" t="s">
        <v>52</v>
      </c>
      <c r="DS5" s="624"/>
      <c r="DT5" s="596"/>
      <c r="DU5" s="596"/>
      <c r="DV5" s="596"/>
      <c r="DW5" s="598"/>
      <c r="DY5" s="95" t="s">
        <v>50</v>
      </c>
      <c r="DZ5" s="96" t="s">
        <v>51</v>
      </c>
      <c r="EA5" s="97" t="s">
        <v>52</v>
      </c>
      <c r="EB5" s="624"/>
      <c r="EC5" s="596"/>
      <c r="ED5" s="596"/>
      <c r="EE5" s="596"/>
      <c r="EF5" s="598"/>
      <c r="EH5" s="95" t="s">
        <v>50</v>
      </c>
      <c r="EI5" s="96" t="s">
        <v>51</v>
      </c>
      <c r="EJ5" s="97" t="s">
        <v>52</v>
      </c>
      <c r="EK5" s="624"/>
      <c r="EL5" s="596"/>
      <c r="EM5" s="596"/>
      <c r="EN5" s="596"/>
      <c r="EO5" s="598"/>
      <c r="EQ5" s="112" t="s">
        <v>50</v>
      </c>
      <c r="ER5" s="113" t="s">
        <v>51</v>
      </c>
      <c r="ES5" s="114" t="s">
        <v>52</v>
      </c>
      <c r="ET5" s="624"/>
      <c r="EU5" s="596"/>
      <c r="EV5" s="596"/>
      <c r="EW5" s="596"/>
      <c r="EX5" s="598"/>
      <c r="EZ5" s="109" t="s">
        <v>50</v>
      </c>
      <c r="FA5" s="110" t="s">
        <v>51</v>
      </c>
      <c r="FB5" s="111" t="s">
        <v>52</v>
      </c>
      <c r="FC5" s="624"/>
      <c r="FD5" s="596"/>
      <c r="FE5" s="596"/>
      <c r="FF5" s="596"/>
      <c r="FG5" s="598"/>
      <c r="FI5" s="95" t="s">
        <v>50</v>
      </c>
      <c r="FJ5" s="96" t="s">
        <v>51</v>
      </c>
      <c r="FK5" s="97" t="s">
        <v>52</v>
      </c>
      <c r="FL5" s="624"/>
      <c r="FM5" s="596"/>
      <c r="FN5" s="596"/>
      <c r="FO5" s="596"/>
      <c r="FP5" s="598"/>
      <c r="FR5" s="95" t="s">
        <v>50</v>
      </c>
      <c r="FS5" s="96" t="s">
        <v>51</v>
      </c>
      <c r="FT5" s="97" t="s">
        <v>52</v>
      </c>
      <c r="FU5" s="624"/>
      <c r="FV5" s="596"/>
      <c r="FW5" s="596"/>
      <c r="FX5" s="596"/>
      <c r="FY5" s="598"/>
      <c r="GA5" s="95" t="s">
        <v>50</v>
      </c>
      <c r="GB5" s="96" t="s">
        <v>51</v>
      </c>
      <c r="GC5" s="97" t="s">
        <v>52</v>
      </c>
      <c r="GD5" s="624"/>
      <c r="GE5" s="596"/>
      <c r="GF5" s="596"/>
      <c r="GG5" s="596"/>
      <c r="GH5" s="598"/>
      <c r="GJ5" s="95" t="s">
        <v>50</v>
      </c>
      <c r="GK5" s="96" t="s">
        <v>51</v>
      </c>
      <c r="GL5" s="97" t="s">
        <v>52</v>
      </c>
      <c r="GM5" s="624"/>
      <c r="GN5" s="596"/>
      <c r="GO5" s="596"/>
      <c r="GP5" s="596"/>
      <c r="GQ5" s="598"/>
      <c r="GS5" s="109" t="s">
        <v>50</v>
      </c>
      <c r="GT5" s="110" t="s">
        <v>51</v>
      </c>
      <c r="GU5" s="111" t="s">
        <v>52</v>
      </c>
      <c r="GV5" s="624"/>
      <c r="GW5" s="596"/>
      <c r="GX5" s="596"/>
      <c r="GY5" s="596"/>
      <c r="GZ5" s="598"/>
      <c r="HB5" s="95" t="s">
        <v>50</v>
      </c>
      <c r="HC5" s="96" t="s">
        <v>51</v>
      </c>
      <c r="HD5" s="97" t="s">
        <v>52</v>
      </c>
      <c r="HE5" s="624"/>
      <c r="HF5" s="596"/>
      <c r="HG5" s="596"/>
      <c r="HH5" s="596"/>
      <c r="HI5" s="598"/>
      <c r="HK5" s="65" t="s">
        <v>50</v>
      </c>
      <c r="HL5" s="66" t="s">
        <v>51</v>
      </c>
      <c r="HM5" s="94" t="s">
        <v>52</v>
      </c>
      <c r="HN5" s="624"/>
      <c r="HO5" s="596"/>
      <c r="HP5" s="596"/>
      <c r="HQ5" s="596"/>
      <c r="HR5" s="598"/>
      <c r="HT5" s="109" t="s">
        <v>50</v>
      </c>
      <c r="HU5" s="110" t="s">
        <v>51</v>
      </c>
      <c r="HV5" s="111" t="s">
        <v>52</v>
      </c>
      <c r="HW5" s="624"/>
      <c r="HX5" s="596"/>
      <c r="HY5" s="596"/>
      <c r="HZ5" s="596"/>
      <c r="IA5" s="598"/>
      <c r="IC5" s="112" t="s">
        <v>50</v>
      </c>
      <c r="ID5" s="113" t="s">
        <v>51</v>
      </c>
      <c r="IE5" s="114" t="s">
        <v>52</v>
      </c>
      <c r="IF5" s="624"/>
      <c r="IG5" s="596"/>
      <c r="IH5" s="596"/>
      <c r="II5" s="596"/>
      <c r="IJ5" s="598"/>
      <c r="IL5" s="95" t="s">
        <v>50</v>
      </c>
      <c r="IM5" s="96" t="s">
        <v>51</v>
      </c>
      <c r="IN5" s="97" t="s">
        <v>52</v>
      </c>
      <c r="IO5" s="624"/>
      <c r="IP5" s="596"/>
      <c r="IQ5" s="596"/>
      <c r="IR5" s="596"/>
      <c r="IS5" s="598"/>
      <c r="IU5" s="95" t="s">
        <v>50</v>
      </c>
      <c r="IV5" s="96" t="s">
        <v>51</v>
      </c>
      <c r="IW5" s="97" t="s">
        <v>52</v>
      </c>
      <c r="IX5" s="624"/>
      <c r="IY5" s="596"/>
      <c r="IZ5" s="596"/>
      <c r="JA5" s="596"/>
      <c r="JB5" s="598"/>
      <c r="JD5" s="95" t="s">
        <v>50</v>
      </c>
      <c r="JE5" s="96" t="s">
        <v>51</v>
      </c>
      <c r="JF5" s="97" t="s">
        <v>52</v>
      </c>
      <c r="JG5" s="624"/>
      <c r="JH5" s="596"/>
      <c r="JI5" s="596"/>
      <c r="JJ5" s="596"/>
      <c r="JK5" s="598"/>
      <c r="JM5" s="95" t="s">
        <v>50</v>
      </c>
      <c r="JN5" s="96" t="s">
        <v>51</v>
      </c>
      <c r="JO5" s="97" t="s">
        <v>52</v>
      </c>
      <c r="JP5" s="624"/>
      <c r="JQ5" s="596"/>
      <c r="JR5" s="596"/>
      <c r="JS5" s="596"/>
      <c r="JT5" s="598"/>
      <c r="JV5" s="95" t="s">
        <v>50</v>
      </c>
      <c r="JW5" s="96" t="s">
        <v>51</v>
      </c>
      <c r="JX5" s="97" t="s">
        <v>52</v>
      </c>
      <c r="JY5" s="624"/>
      <c r="JZ5" s="596"/>
      <c r="KA5" s="596"/>
      <c r="KB5" s="596"/>
      <c r="KC5" s="598"/>
      <c r="KE5" s="95" t="s">
        <v>50</v>
      </c>
      <c r="KF5" s="96" t="s">
        <v>51</v>
      </c>
      <c r="KG5" s="97" t="s">
        <v>52</v>
      </c>
      <c r="KH5" s="624"/>
      <c r="KI5" s="596"/>
      <c r="KJ5" s="596"/>
      <c r="KK5" s="596"/>
      <c r="KL5" s="598"/>
      <c r="KN5" s="109" t="s">
        <v>50</v>
      </c>
      <c r="KO5" s="110" t="s">
        <v>51</v>
      </c>
      <c r="KP5" s="111" t="s">
        <v>52</v>
      </c>
      <c r="KQ5" s="624"/>
      <c r="KR5" s="596"/>
      <c r="KS5" s="596"/>
      <c r="KT5" s="596"/>
      <c r="KU5" s="598"/>
      <c r="KW5" s="95" t="s">
        <v>50</v>
      </c>
      <c r="KX5" s="96" t="s">
        <v>51</v>
      </c>
      <c r="KY5" s="97" t="s">
        <v>52</v>
      </c>
      <c r="KZ5" s="624"/>
      <c r="LA5" s="596"/>
      <c r="LB5" s="596"/>
      <c r="LC5" s="596"/>
      <c r="LD5" s="598"/>
      <c r="LF5" s="65" t="s">
        <v>50</v>
      </c>
      <c r="LG5" s="66" t="s">
        <v>51</v>
      </c>
      <c r="LH5" s="94" t="s">
        <v>52</v>
      </c>
      <c r="LI5" s="624"/>
      <c r="LJ5" s="596"/>
      <c r="LK5" s="596"/>
      <c r="LL5" s="596"/>
      <c r="LM5" s="598"/>
      <c r="LO5" s="95" t="s">
        <v>50</v>
      </c>
      <c r="LP5" s="96" t="s">
        <v>51</v>
      </c>
      <c r="LQ5" s="97" t="s">
        <v>52</v>
      </c>
      <c r="LR5" s="624"/>
      <c r="LS5" s="596"/>
      <c r="LT5" s="596"/>
      <c r="LU5" s="596"/>
      <c r="LV5" s="598"/>
      <c r="LX5" s="95" t="s">
        <v>50</v>
      </c>
      <c r="LY5" s="96" t="s">
        <v>51</v>
      </c>
      <c r="LZ5" s="97" t="s">
        <v>52</v>
      </c>
      <c r="MA5" s="624"/>
      <c r="MB5" s="596"/>
      <c r="MC5" s="596"/>
      <c r="MD5" s="596"/>
      <c r="ME5" s="598"/>
      <c r="MG5" s="95" t="s">
        <v>50</v>
      </c>
      <c r="MH5" s="96" t="s">
        <v>51</v>
      </c>
      <c r="MI5" s="97" t="s">
        <v>52</v>
      </c>
      <c r="MJ5" s="624"/>
      <c r="MK5" s="596"/>
      <c r="ML5" s="596"/>
      <c r="MM5" s="596"/>
      <c r="MN5" s="598"/>
      <c r="MP5" s="95" t="s">
        <v>50</v>
      </c>
      <c r="MQ5" s="96" t="s">
        <v>51</v>
      </c>
      <c r="MR5" s="97" t="s">
        <v>52</v>
      </c>
      <c r="MS5" s="624"/>
      <c r="MT5" s="596"/>
      <c r="MU5" s="596"/>
      <c r="MV5" s="596"/>
      <c r="MW5" s="598"/>
      <c r="MY5" s="95" t="s">
        <v>50</v>
      </c>
      <c r="MZ5" s="96" t="s">
        <v>51</v>
      </c>
      <c r="NA5" s="97" t="s">
        <v>52</v>
      </c>
      <c r="NB5" s="624"/>
      <c r="NC5" s="596"/>
      <c r="ND5" s="596"/>
      <c r="NE5" s="596"/>
      <c r="NF5" s="598"/>
      <c r="NH5" s="95" t="s">
        <v>50</v>
      </c>
      <c r="NI5" s="96" t="s">
        <v>51</v>
      </c>
      <c r="NJ5" s="97" t="s">
        <v>52</v>
      </c>
      <c r="NK5" s="624"/>
      <c r="NL5" s="596"/>
      <c r="NM5" s="596"/>
      <c r="NN5" s="596"/>
      <c r="NO5" s="598"/>
      <c r="NQ5" s="95" t="s">
        <v>50</v>
      </c>
      <c r="NR5" s="96" t="s">
        <v>51</v>
      </c>
      <c r="NS5" s="97" t="s">
        <v>52</v>
      </c>
      <c r="NT5" s="624"/>
      <c r="NU5" s="596"/>
      <c r="NV5" s="596"/>
      <c r="NW5" s="596"/>
      <c r="NX5" s="598"/>
      <c r="NZ5" s="65" t="s">
        <v>50</v>
      </c>
      <c r="OA5" s="66" t="s">
        <v>51</v>
      </c>
      <c r="OB5" s="94" t="s">
        <v>52</v>
      </c>
      <c r="OC5" s="624"/>
      <c r="OD5" s="596"/>
      <c r="OE5" s="596"/>
      <c r="OF5" s="596"/>
      <c r="OG5" s="598"/>
      <c r="OI5" s="95" t="s">
        <v>50</v>
      </c>
      <c r="OJ5" s="96" t="s">
        <v>51</v>
      </c>
      <c r="OK5" s="97" t="s">
        <v>52</v>
      </c>
      <c r="OL5" s="624"/>
      <c r="OM5" s="596"/>
      <c r="ON5" s="596"/>
      <c r="OO5" s="596"/>
      <c r="OP5" s="598"/>
      <c r="OR5" s="65" t="s">
        <v>50</v>
      </c>
      <c r="OS5" s="66" t="s">
        <v>51</v>
      </c>
      <c r="OT5" s="94" t="s">
        <v>52</v>
      </c>
      <c r="OU5" s="624"/>
      <c r="OV5" s="596"/>
      <c r="OW5" s="596"/>
      <c r="OX5" s="596"/>
      <c r="OY5" s="598"/>
      <c r="PA5" s="95" t="s">
        <v>50</v>
      </c>
      <c r="PB5" s="96" t="s">
        <v>51</v>
      </c>
      <c r="PC5" s="97" t="s">
        <v>52</v>
      </c>
      <c r="PD5" s="624"/>
      <c r="PE5" s="596"/>
      <c r="PF5" s="596"/>
      <c r="PG5" s="596"/>
      <c r="PH5" s="598"/>
      <c r="PJ5" s="109" t="s">
        <v>50</v>
      </c>
      <c r="PK5" s="110" t="s">
        <v>51</v>
      </c>
      <c r="PL5" s="111" t="s">
        <v>52</v>
      </c>
      <c r="PM5" s="630"/>
      <c r="PN5" s="633"/>
      <c r="PO5" s="633"/>
      <c r="PP5" s="633"/>
      <c r="PQ5" s="667"/>
      <c r="PS5" s="121" t="s">
        <v>50</v>
      </c>
      <c r="PT5" s="122" t="s">
        <v>51</v>
      </c>
      <c r="PU5" s="123" t="s">
        <v>52</v>
      </c>
      <c r="PV5" s="630"/>
      <c r="PW5" s="633"/>
      <c r="PX5" s="633"/>
      <c r="PY5" s="633"/>
      <c r="PZ5" s="667"/>
      <c r="QB5" s="65" t="s">
        <v>50</v>
      </c>
      <c r="QC5" s="66" t="s">
        <v>51</v>
      </c>
      <c r="QD5" s="94" t="s">
        <v>52</v>
      </c>
      <c r="QE5" s="630"/>
      <c r="QF5" s="633"/>
      <c r="QG5" s="633"/>
      <c r="QH5" s="633"/>
      <c r="QI5" s="667"/>
      <c r="QK5" s="109" t="s">
        <v>50</v>
      </c>
      <c r="QL5" s="110" t="s">
        <v>51</v>
      </c>
      <c r="QM5" s="111" t="s">
        <v>52</v>
      </c>
      <c r="QN5" s="630"/>
      <c r="QO5" s="633"/>
      <c r="QP5" s="633"/>
      <c r="QQ5" s="633"/>
      <c r="QR5" s="667"/>
      <c r="QS5" s="104"/>
      <c r="QT5" s="659"/>
      <c r="QU5" s="661"/>
      <c r="QV5" s="661"/>
      <c r="QW5" s="698"/>
      <c r="QY5" s="700"/>
      <c r="RA5" s="702"/>
      <c r="RB5" s="704"/>
      <c r="RC5" s="704"/>
      <c r="RD5" s="704"/>
      <c r="RE5" s="704"/>
      <c r="RF5" s="706"/>
      <c r="RG5" s="105"/>
      <c r="RH5" s="708"/>
      <c r="RI5" s="693"/>
      <c r="RJ5" s="105"/>
      <c r="RK5" s="609"/>
      <c r="RL5" s="105"/>
      <c r="RM5" s="655"/>
      <c r="RN5" s="657"/>
      <c r="RO5" s="105"/>
      <c r="RP5" s="609"/>
    </row>
    <row r="6" spans="1:484" x14ac:dyDescent="0.2">
      <c r="A6" s="89" t="str">
        <f>'Name List'!B6</f>
        <v>Stuart Anderson</v>
      </c>
      <c r="C6" s="327"/>
      <c r="D6" s="328"/>
      <c r="E6" s="329" t="str">
        <f t="shared" ref="E6:E69" si="0">IF(C6=0,"",C6+D6)</f>
        <v/>
      </c>
      <c r="F6" s="384"/>
      <c r="G6" s="385"/>
      <c r="H6" s="385"/>
      <c r="I6" s="386"/>
      <c r="J6" s="333" t="str">
        <f>IF(E6="","",'Name List'!$I$4)</f>
        <v/>
      </c>
      <c r="K6" s="132"/>
      <c r="L6" s="327"/>
      <c r="M6" s="328"/>
      <c r="N6" s="329" t="str">
        <f t="shared" ref="N6" si="1">IF(L6=0,"",L6+M6)</f>
        <v/>
      </c>
      <c r="O6" s="330"/>
      <c r="P6" s="331"/>
      <c r="Q6" s="331"/>
      <c r="R6" s="332"/>
      <c r="S6" s="333" t="str">
        <f>IF(N6="","",'Name List'!$I$4)</f>
        <v/>
      </c>
      <c r="T6" s="132"/>
      <c r="U6" s="381"/>
      <c r="V6" s="382"/>
      <c r="W6" s="396" t="str">
        <f t="shared" ref="W6:W68" si="2">IF(U6=0,"",U6+V6)</f>
        <v/>
      </c>
      <c r="X6" s="330"/>
      <c r="Y6" s="331"/>
      <c r="Z6" s="331"/>
      <c r="AA6" s="332"/>
      <c r="AB6" s="333" t="str">
        <f>IF(W6="","",'Name List'!$I$4)</f>
        <v/>
      </c>
      <c r="AC6" s="132"/>
      <c r="AD6" s="327"/>
      <c r="AE6" s="328"/>
      <c r="AF6" s="329" t="str">
        <f t="shared" ref="AF6:AF69" si="3">IF(AD6=0,"",AD6+AE6)</f>
        <v/>
      </c>
      <c r="AG6" s="330"/>
      <c r="AH6" s="331"/>
      <c r="AI6" s="331"/>
      <c r="AJ6" s="332"/>
      <c r="AK6" s="333" t="str">
        <f>IF(AF6="","",'Name List'!$I$4)</f>
        <v/>
      </c>
      <c r="AL6" s="132"/>
      <c r="AM6" s="327"/>
      <c r="AN6" s="328"/>
      <c r="AO6" s="329" t="str">
        <f t="shared" ref="AO6:AO69" si="4">IF(AM6=0,"",AM6+AN6)</f>
        <v/>
      </c>
      <c r="AP6" s="330"/>
      <c r="AQ6" s="331"/>
      <c r="AR6" s="331"/>
      <c r="AS6" s="332"/>
      <c r="AT6" s="333" t="str">
        <f>IF(AO6="","",'Name List'!$I$4)</f>
        <v/>
      </c>
      <c r="AU6" s="132"/>
      <c r="AV6" s="456"/>
      <c r="AW6" s="399"/>
      <c r="AX6" s="400" t="str">
        <f t="shared" ref="AX6:AX69" si="5">IF(AV6=0,"",AV6+AW6)</f>
        <v/>
      </c>
      <c r="AY6" s="330"/>
      <c r="AZ6" s="331"/>
      <c r="BA6" s="331"/>
      <c r="BB6" s="332"/>
      <c r="BC6" s="457" t="str">
        <f>IF(AX6="","",'Name List'!$I$4)</f>
        <v/>
      </c>
      <c r="BD6" s="132"/>
      <c r="BE6" s="381"/>
      <c r="BF6" s="382"/>
      <c r="BG6" s="383" t="str">
        <f t="shared" ref="BG6:BG69" si="6">IF(BE6=0,"",BE6+BF6)</f>
        <v/>
      </c>
      <c r="BH6" s="330"/>
      <c r="BI6" s="331"/>
      <c r="BJ6" s="331"/>
      <c r="BK6" s="332"/>
      <c r="BL6" s="333" t="str">
        <f>IF(BG6="","",'Name List'!$I$4)</f>
        <v/>
      </c>
      <c r="BM6" s="132"/>
      <c r="BN6" s="327"/>
      <c r="BO6" s="328"/>
      <c r="BP6" s="329" t="str">
        <f t="shared" ref="BP6" si="7">IF(BN6=0,"",BN6+BO6)</f>
        <v/>
      </c>
      <c r="BQ6" s="330"/>
      <c r="BR6" s="331"/>
      <c r="BS6" s="331"/>
      <c r="BT6" s="332"/>
      <c r="BU6" s="333" t="str">
        <f>IF(BP6="","",'Name List'!$I$4)</f>
        <v/>
      </c>
      <c r="BV6" s="132"/>
      <c r="BW6" s="327"/>
      <c r="BX6" s="328"/>
      <c r="BY6" s="329" t="str">
        <f t="shared" ref="BY6:BY69" si="8">IF(BW6=0,"",BW6+BX6)</f>
        <v/>
      </c>
      <c r="BZ6" s="330"/>
      <c r="CA6" s="331"/>
      <c r="CB6" s="331"/>
      <c r="CC6" s="332"/>
      <c r="CD6" s="333" t="str">
        <f>IF(BY6="","",'Name List'!$I$4)</f>
        <v/>
      </c>
      <c r="CE6" s="132"/>
      <c r="CF6" s="280"/>
      <c r="CG6" s="281"/>
      <c r="CH6" s="486" t="str">
        <f>IF(CF6=0,"",CF6+CG6)</f>
        <v/>
      </c>
      <c r="CI6" s="487"/>
      <c r="CJ6" s="488"/>
      <c r="CK6" s="488"/>
      <c r="CL6" s="489"/>
      <c r="CM6" s="490" t="str">
        <f>IF(CH6="","",'Name List'!$I$4)</f>
        <v/>
      </c>
      <c r="CN6" s="132"/>
      <c r="CO6" s="381"/>
      <c r="CP6" s="382"/>
      <c r="CQ6" s="383" t="str">
        <f t="shared" ref="CQ6:CQ69" si="9">IF(CO6=0,"",CO6+CP6)</f>
        <v/>
      </c>
      <c r="CR6" s="330"/>
      <c r="CS6" s="331"/>
      <c r="CT6" s="331"/>
      <c r="CU6" s="332"/>
      <c r="CV6" s="333" t="str">
        <f>IF(CQ6="","",'Name List'!$I$4)</f>
        <v/>
      </c>
      <c r="CW6" s="132"/>
      <c r="CX6" s="327"/>
      <c r="CY6" s="328"/>
      <c r="CZ6" s="329" t="str">
        <f t="shared" ref="CZ6:CZ69" si="10">IF(CX6=0,"",CX6+CY6)</f>
        <v/>
      </c>
      <c r="DA6" s="330"/>
      <c r="DB6" s="331"/>
      <c r="DC6" s="331"/>
      <c r="DD6" s="332"/>
      <c r="DE6" s="333" t="str">
        <f>IF(CZ6="","",'Name List'!$I$4)</f>
        <v/>
      </c>
      <c r="DF6" s="132"/>
      <c r="DG6" s="327"/>
      <c r="DH6" s="328"/>
      <c r="DI6" s="329" t="str">
        <f t="shared" ref="DI6:DI69" si="11">IF(DG6=0,"",DG6+DH6)</f>
        <v/>
      </c>
      <c r="DJ6" s="330"/>
      <c r="DK6" s="331"/>
      <c r="DL6" s="331"/>
      <c r="DM6" s="332"/>
      <c r="DN6" s="333" t="str">
        <f>IF(DI6="","",'Name List'!$I$4)</f>
        <v/>
      </c>
      <c r="DO6" s="132"/>
      <c r="DP6" s="327"/>
      <c r="DQ6" s="328"/>
      <c r="DR6" s="329" t="str">
        <f t="shared" ref="DR6:DR69" si="12">IF(DP6=0,"",DP6+DQ6)</f>
        <v/>
      </c>
      <c r="DS6" s="330"/>
      <c r="DT6" s="331"/>
      <c r="DU6" s="331"/>
      <c r="DV6" s="332"/>
      <c r="DW6" s="333" t="str">
        <f>IF(DR6="","",'Name List'!$I$4)</f>
        <v/>
      </c>
      <c r="DX6" s="132"/>
      <c r="DY6" s="327"/>
      <c r="DZ6" s="328"/>
      <c r="EA6" s="329" t="str">
        <f t="shared" ref="EA6:EA69" si="13">IF(DY6=0,"",DY6+DZ6)</f>
        <v/>
      </c>
      <c r="EB6" s="330"/>
      <c r="EC6" s="331"/>
      <c r="ED6" s="331"/>
      <c r="EE6" s="332"/>
      <c r="EF6" s="333" t="str">
        <f>IF(EA6="","",'Name List'!$I$4)</f>
        <v/>
      </c>
      <c r="EG6" s="132"/>
      <c r="EH6" s="327"/>
      <c r="EI6" s="328"/>
      <c r="EJ6" s="329" t="str">
        <f t="shared" ref="EJ6:EJ69" si="14">IF(EH6=0,"",EH6+EI6)</f>
        <v/>
      </c>
      <c r="EK6" s="330"/>
      <c r="EL6" s="331"/>
      <c r="EM6" s="331"/>
      <c r="EN6" s="332"/>
      <c r="EO6" s="333" t="str">
        <f>IF(EJ6="","",'Name List'!$I$4)</f>
        <v/>
      </c>
      <c r="EP6" s="132"/>
      <c r="EQ6" s="388"/>
      <c r="ER6" s="389"/>
      <c r="ES6" s="390"/>
      <c r="ET6" s="330"/>
      <c r="EU6" s="331"/>
      <c r="EV6" s="331"/>
      <c r="EW6" s="332"/>
      <c r="EX6" s="333" t="str">
        <f>IF(ES6="","",'Name List'!$I$4)</f>
        <v/>
      </c>
      <c r="EY6" s="132"/>
      <c r="EZ6" s="280"/>
      <c r="FA6" s="281"/>
      <c r="FB6" s="282" t="str">
        <f t="shared" ref="FB6" si="15">IF(EZ6=0,"",EZ6+FA6)</f>
        <v/>
      </c>
      <c r="FC6" s="330"/>
      <c r="FD6" s="331"/>
      <c r="FE6" s="331"/>
      <c r="FF6" s="332"/>
      <c r="FG6" s="333" t="str">
        <f>IF(FB6="","",'Name List'!$I$4)</f>
        <v/>
      </c>
      <c r="FH6" s="132"/>
      <c r="FI6" s="327"/>
      <c r="FJ6" s="328"/>
      <c r="FK6" s="329" t="str">
        <f t="shared" ref="FK6:FK69" si="16">IF(FI6=0,"",FI6+FJ6)</f>
        <v/>
      </c>
      <c r="FL6" s="330"/>
      <c r="FM6" s="331"/>
      <c r="FN6" s="331"/>
      <c r="FO6" s="332"/>
      <c r="FP6" s="333" t="str">
        <f>IF(FK6="","",'Name List'!$I$4)</f>
        <v/>
      </c>
      <c r="FQ6" s="132"/>
      <c r="FR6" s="327"/>
      <c r="FS6" s="328"/>
      <c r="FT6" s="329" t="str">
        <f t="shared" ref="FT6:FT69" si="17">IF(FR6=0,"",FR6+FS6)</f>
        <v/>
      </c>
      <c r="FU6" s="330"/>
      <c r="FV6" s="331"/>
      <c r="FW6" s="331"/>
      <c r="FX6" s="332"/>
      <c r="FY6" s="333" t="str">
        <f>IF(FT6="","",'Name List'!$I$4)</f>
        <v/>
      </c>
      <c r="FZ6" s="132"/>
      <c r="GA6" s="327"/>
      <c r="GB6" s="328"/>
      <c r="GC6" s="329" t="str">
        <f t="shared" ref="GC6:GC69" si="18">IF(GA6=0,"",GA6+GB6)</f>
        <v/>
      </c>
      <c r="GD6" s="330"/>
      <c r="GE6" s="331"/>
      <c r="GF6" s="331"/>
      <c r="GG6" s="332"/>
      <c r="GH6" s="333" t="str">
        <f>IF(GC6="","",'Name List'!$I$4)</f>
        <v/>
      </c>
      <c r="GI6" s="132"/>
      <c r="GJ6" s="327"/>
      <c r="GK6" s="328"/>
      <c r="GL6" s="329" t="str">
        <f t="shared" ref="GL6:GL69" si="19">IF(GJ6=0,"",GJ6+GK6)</f>
        <v/>
      </c>
      <c r="GM6" s="330"/>
      <c r="GN6" s="331"/>
      <c r="GO6" s="331"/>
      <c r="GP6" s="332"/>
      <c r="GQ6" s="333" t="str">
        <f>IF(GL6="","",'Name List'!$I$4)</f>
        <v/>
      </c>
      <c r="GR6" s="132"/>
      <c r="GS6" s="280"/>
      <c r="GT6" s="281"/>
      <c r="GU6" s="282" t="str">
        <f t="shared" ref="GU6" si="20">IF(GS6=0,"",GS6+GT6)</f>
        <v/>
      </c>
      <c r="GV6" s="330"/>
      <c r="GW6" s="331"/>
      <c r="GX6" s="331"/>
      <c r="GY6" s="332"/>
      <c r="GZ6" s="333" t="str">
        <f>IF(GU6="","",'Name List'!$I$4)</f>
        <v/>
      </c>
      <c r="HA6" s="132"/>
      <c r="HB6" s="327"/>
      <c r="HC6" s="328"/>
      <c r="HD6" s="329" t="str">
        <f t="shared" ref="HD6:HD69" si="21">IF(HB6=0,"",HB6+HC6)</f>
        <v/>
      </c>
      <c r="HE6" s="330"/>
      <c r="HF6" s="331"/>
      <c r="HG6" s="331"/>
      <c r="HH6" s="332"/>
      <c r="HI6" s="333" t="str">
        <f>IF(HD6="","",'Name List'!$I$4)</f>
        <v/>
      </c>
      <c r="HJ6" s="132"/>
      <c r="HK6" s="381"/>
      <c r="HL6" s="382"/>
      <c r="HM6" s="383" t="str">
        <f t="shared" ref="HM6:HM69" si="22">IF(HK6=0,"",HK6+HL6)</f>
        <v/>
      </c>
      <c r="HN6" s="330"/>
      <c r="HO6" s="331"/>
      <c r="HP6" s="331"/>
      <c r="HQ6" s="332"/>
      <c r="HR6" s="333" t="str">
        <f>IF(HM6="","",'Name List'!$I$4)</f>
        <v/>
      </c>
      <c r="HS6" s="132"/>
      <c r="HT6" s="280"/>
      <c r="HU6" s="281"/>
      <c r="HV6" s="282" t="str">
        <f t="shared" ref="HV6" si="23">IF(HT6=0,"",HT6+HU6)</f>
        <v/>
      </c>
      <c r="HW6" s="330"/>
      <c r="HX6" s="331"/>
      <c r="HY6" s="331"/>
      <c r="HZ6" s="332"/>
      <c r="IA6" s="333" t="str">
        <f>IF(HV6="","",'Name List'!$I$4)</f>
        <v/>
      </c>
      <c r="IB6" s="132"/>
      <c r="IC6" s="388"/>
      <c r="ID6" s="389"/>
      <c r="IE6" s="390"/>
      <c r="IF6" s="330"/>
      <c r="IG6" s="331"/>
      <c r="IH6" s="331"/>
      <c r="II6" s="332"/>
      <c r="IJ6" s="333" t="str">
        <f>IF(IE6="","",'Name List'!$I$4)</f>
        <v/>
      </c>
      <c r="IK6" s="132"/>
      <c r="IL6" s="327"/>
      <c r="IM6" s="328"/>
      <c r="IN6" s="329" t="str">
        <f t="shared" ref="IN6" si="24">IF(IL6=0,"",IL6+IM6)</f>
        <v/>
      </c>
      <c r="IO6" s="330"/>
      <c r="IP6" s="331"/>
      <c r="IQ6" s="331"/>
      <c r="IR6" s="332"/>
      <c r="IS6" s="333" t="str">
        <f>IF(IN6="","",'Name List'!$I$4)</f>
        <v/>
      </c>
      <c r="IT6" s="132"/>
      <c r="IU6" s="327"/>
      <c r="IV6" s="328"/>
      <c r="IW6" s="329" t="str">
        <f t="shared" ref="IW6" si="25">IF(IU6=0,"",IU6+IV6)</f>
        <v/>
      </c>
      <c r="IX6" s="330"/>
      <c r="IY6" s="331"/>
      <c r="IZ6" s="331"/>
      <c r="JA6" s="332"/>
      <c r="JB6" s="333" t="str">
        <f>IF(IW6="","",'Name List'!$I$4)</f>
        <v/>
      </c>
      <c r="JC6" s="132"/>
      <c r="JD6" s="327"/>
      <c r="JE6" s="328"/>
      <c r="JF6" s="329" t="str">
        <f t="shared" ref="JF6" si="26">IF(JD6=0,"",JD6+JE6)</f>
        <v/>
      </c>
      <c r="JG6" s="330"/>
      <c r="JH6" s="331"/>
      <c r="JI6" s="331"/>
      <c r="JJ6" s="332"/>
      <c r="JK6" s="333" t="str">
        <f>IF(JF6="","",'Name List'!$I$4)</f>
        <v/>
      </c>
      <c r="JL6" s="132"/>
      <c r="JM6" s="327"/>
      <c r="JN6" s="328"/>
      <c r="JO6" s="387" t="str">
        <f>IF(JM6=0,"",JM6+JN6)</f>
        <v/>
      </c>
      <c r="JP6" s="330"/>
      <c r="JQ6" s="331"/>
      <c r="JR6" s="331"/>
      <c r="JS6" s="332"/>
      <c r="JT6" s="333" t="str">
        <f>IF(JO6="","",'Name List'!$I$4)</f>
        <v/>
      </c>
      <c r="JU6" s="132"/>
      <c r="JV6" s="327"/>
      <c r="JW6" s="328"/>
      <c r="JX6" s="329" t="str">
        <f t="shared" ref="JX6" si="27">IF(JV6=0,"",JV6+JW6)</f>
        <v/>
      </c>
      <c r="JY6" s="330"/>
      <c r="JZ6" s="331"/>
      <c r="KA6" s="331"/>
      <c r="KB6" s="332"/>
      <c r="KC6" s="333" t="str">
        <f>IF(JX6="","",'Name List'!$I$4)</f>
        <v/>
      </c>
      <c r="KD6" s="132"/>
      <c r="KE6" s="327"/>
      <c r="KF6" s="328"/>
      <c r="KG6" s="329" t="str">
        <f t="shared" ref="KG6" si="28">IF(KE6=0,"",KE6+KF6)</f>
        <v/>
      </c>
      <c r="KH6" s="330"/>
      <c r="KI6" s="331"/>
      <c r="KJ6" s="331"/>
      <c r="KK6" s="332"/>
      <c r="KL6" s="333" t="str">
        <f>IF(KG6="","",'Name List'!$I$4)</f>
        <v/>
      </c>
      <c r="KM6" s="132"/>
      <c r="KN6" s="280"/>
      <c r="KO6" s="281"/>
      <c r="KP6" s="282" t="str">
        <f t="shared" ref="KP6" si="29">IF(KN6=0,"",KN6+KO6)</f>
        <v/>
      </c>
      <c r="KQ6" s="330"/>
      <c r="KR6" s="331"/>
      <c r="KS6" s="331"/>
      <c r="KT6" s="332"/>
      <c r="KU6" s="333" t="str">
        <f>IF(KP6="","",'Name List'!$I$4)</f>
        <v/>
      </c>
      <c r="KV6" s="132"/>
      <c r="KW6" s="327"/>
      <c r="KX6" s="328"/>
      <c r="KY6" s="329" t="str">
        <f t="shared" ref="KY6" si="30">IF(KW6=0,"",KW6+KX6)</f>
        <v/>
      </c>
      <c r="KZ6" s="330"/>
      <c r="LA6" s="331"/>
      <c r="LB6" s="331"/>
      <c r="LC6" s="332"/>
      <c r="LD6" s="333" t="str">
        <f>IF(KY6="","",'Name List'!$I$4)</f>
        <v/>
      </c>
      <c r="LE6" s="132"/>
      <c r="LF6" s="381"/>
      <c r="LG6" s="382"/>
      <c r="LH6" s="383" t="str">
        <f t="shared" ref="LH6" si="31">IF(LF6=0,"",LF6+LG6)</f>
        <v/>
      </c>
      <c r="LI6" s="330"/>
      <c r="LJ6" s="331"/>
      <c r="LK6" s="331"/>
      <c r="LL6" s="332"/>
      <c r="LM6" s="333" t="str">
        <f>IF(LH6="","",'Name List'!$I$4)</f>
        <v/>
      </c>
      <c r="LN6" s="132"/>
      <c r="LO6" s="327"/>
      <c r="LP6" s="328"/>
      <c r="LQ6" s="329" t="str">
        <f>IF(LO6=0,"",LO6+LP6)</f>
        <v/>
      </c>
      <c r="LR6" s="330"/>
      <c r="LS6" s="331"/>
      <c r="LT6" s="331"/>
      <c r="LU6" s="332"/>
      <c r="LV6" s="333" t="str">
        <f>IF(LQ6="","",'Name List'!$I$4)</f>
        <v/>
      </c>
      <c r="LW6" s="132"/>
      <c r="LX6" s="327"/>
      <c r="LY6" s="328"/>
      <c r="LZ6" s="329" t="str">
        <f t="shared" ref="LZ6" si="32">IF(LX6=0,"",LX6+LY6)</f>
        <v/>
      </c>
      <c r="MA6" s="330"/>
      <c r="MB6" s="331"/>
      <c r="MC6" s="331"/>
      <c r="MD6" s="332"/>
      <c r="ME6" s="333" t="str">
        <f>IF(LZ6="","",'Name List'!$I$4)</f>
        <v/>
      </c>
      <c r="MF6" s="132"/>
      <c r="MG6" s="327"/>
      <c r="MH6" s="328"/>
      <c r="MI6" s="329" t="str">
        <f t="shared" ref="MI6" si="33">IF(MG6=0,"",MG6+MH6)</f>
        <v/>
      </c>
      <c r="MJ6" s="330"/>
      <c r="MK6" s="331"/>
      <c r="ML6" s="331"/>
      <c r="MM6" s="332"/>
      <c r="MN6" s="333" t="str">
        <f>IF(MI6="","",'Name List'!$I$4)</f>
        <v/>
      </c>
      <c r="MO6" s="132"/>
      <c r="MP6" s="327"/>
      <c r="MQ6" s="328"/>
      <c r="MR6" s="329" t="str">
        <f t="shared" ref="MR6" si="34">IF(MP6=0,"",MP6+MQ6)</f>
        <v/>
      </c>
      <c r="MS6" s="330"/>
      <c r="MT6" s="331"/>
      <c r="MU6" s="331"/>
      <c r="MV6" s="332"/>
      <c r="MW6" s="333" t="str">
        <f>IF(MR6="","",'Name List'!$I$4)</f>
        <v/>
      </c>
      <c r="MX6" s="132"/>
      <c r="MY6" s="327"/>
      <c r="MZ6" s="328"/>
      <c r="NA6" s="329" t="str">
        <f t="shared" ref="NA6" si="35">IF(MY6=0,"",MY6+MZ6)</f>
        <v/>
      </c>
      <c r="NB6" s="330"/>
      <c r="NC6" s="331"/>
      <c r="ND6" s="331"/>
      <c r="NE6" s="332"/>
      <c r="NF6" s="333" t="str">
        <f>IF(NA6="","",'Name List'!$I$4)</f>
        <v/>
      </c>
      <c r="NG6" s="132"/>
      <c r="NH6" s="327"/>
      <c r="NI6" s="328"/>
      <c r="NJ6" s="329" t="str">
        <f t="shared" ref="NJ6" si="36">IF(NH6=0,"",NH6+NI6)</f>
        <v/>
      </c>
      <c r="NK6" s="330"/>
      <c r="NL6" s="331"/>
      <c r="NM6" s="331"/>
      <c r="NN6" s="332"/>
      <c r="NO6" s="333" t="str">
        <f>IF(NJ6="","",'Name List'!$I$4)</f>
        <v/>
      </c>
      <c r="NP6" s="132"/>
      <c r="NQ6" s="327"/>
      <c r="NR6" s="328"/>
      <c r="NS6" s="100" t="str">
        <f t="shared" ref="NS6" si="37">IF(NQ6=0,"",NQ6+NR6)</f>
        <v/>
      </c>
      <c r="NT6" s="330"/>
      <c r="NU6" s="331"/>
      <c r="NV6" s="331"/>
      <c r="NW6" s="332"/>
      <c r="NX6" s="333" t="str">
        <f>IF(NS6="","",'Name List'!$I$4)</f>
        <v/>
      </c>
      <c r="NY6" s="132"/>
      <c r="NZ6" s="381"/>
      <c r="OA6" s="382"/>
      <c r="OB6" s="383" t="str">
        <f t="shared" ref="OB6" si="38">IF(NZ6=0,"",NZ6+OA6)</f>
        <v/>
      </c>
      <c r="OC6" s="330"/>
      <c r="OD6" s="331"/>
      <c r="OE6" s="331"/>
      <c r="OF6" s="332"/>
      <c r="OG6" s="333" t="str">
        <f>IF(OB6="","",'Name List'!$I$4)</f>
        <v/>
      </c>
      <c r="OH6" s="132"/>
      <c r="OI6" s="327"/>
      <c r="OJ6" s="328"/>
      <c r="OK6" s="329" t="str">
        <f>IF(OI6=0,"",OI6+OJ6)</f>
        <v/>
      </c>
      <c r="OL6" s="330"/>
      <c r="OM6" s="331"/>
      <c r="ON6" s="331"/>
      <c r="OO6" s="332"/>
      <c r="OP6" s="333" t="str">
        <f>IF(OK6="","",'Name List'!$I$4)</f>
        <v/>
      </c>
      <c r="OQ6" s="132"/>
      <c r="OR6" s="381"/>
      <c r="OS6" s="382"/>
      <c r="OT6" s="383" t="str">
        <f t="shared" ref="OT6" si="39">IF(OR6=0,"",OR6+OS6)</f>
        <v/>
      </c>
      <c r="OU6" s="330"/>
      <c r="OV6" s="331"/>
      <c r="OW6" s="331"/>
      <c r="OX6" s="332"/>
      <c r="OY6" s="333" t="str">
        <f>IF(OT6="","",'Name List'!$I$4)</f>
        <v/>
      </c>
      <c r="OZ6" s="132"/>
      <c r="PA6" s="327"/>
      <c r="PB6" s="328"/>
      <c r="PC6" s="329" t="str">
        <f t="shared" ref="PC6" si="40">IF(PA6=0,"",PA6+PB6)</f>
        <v/>
      </c>
      <c r="PD6" s="330"/>
      <c r="PE6" s="331"/>
      <c r="PF6" s="331"/>
      <c r="PG6" s="332"/>
      <c r="PH6" s="333" t="str">
        <f>IF(PC6="","",'Name List'!$I$4)</f>
        <v/>
      </c>
      <c r="PI6" s="132"/>
      <c r="PJ6" s="280"/>
      <c r="PK6" s="281"/>
      <c r="PL6" s="282" t="str">
        <f t="shared" ref="PL6" si="41">IF(PJ6=0,"",PJ6+PK6)</f>
        <v/>
      </c>
      <c r="PM6" s="330"/>
      <c r="PN6" s="331"/>
      <c r="PO6" s="331"/>
      <c r="PP6" s="332"/>
      <c r="PQ6" s="333" t="str">
        <f>IF(PL6="","",'Name List'!$I$4)</f>
        <v/>
      </c>
      <c r="PR6" s="132"/>
      <c r="PS6" s="391"/>
      <c r="PT6" s="392"/>
      <c r="PU6" s="393" t="str">
        <f t="shared" ref="PU6" si="42">IF(PS6=0,"",PS6+PT6)</f>
        <v/>
      </c>
      <c r="PV6" s="330"/>
      <c r="PW6" s="331"/>
      <c r="PX6" s="331"/>
      <c r="PY6" s="332"/>
      <c r="PZ6" s="333" t="str">
        <f>IF(PU6="","",'Name List'!$I$4)</f>
        <v/>
      </c>
      <c r="QA6" s="132"/>
      <c r="QB6" s="381"/>
      <c r="QC6" s="382"/>
      <c r="QD6" s="383" t="str">
        <f t="shared" ref="QD6" si="43">IF(QB6=0,"",QB6+QC6)</f>
        <v/>
      </c>
      <c r="QE6" s="330"/>
      <c r="QF6" s="331"/>
      <c r="QG6" s="331"/>
      <c r="QH6" s="332"/>
      <c r="QI6" s="333" t="str">
        <f>IF(QD6="","",'Name List'!$I$4)</f>
        <v/>
      </c>
      <c r="QJ6" s="132"/>
      <c r="QK6" s="280"/>
      <c r="QL6" s="281"/>
      <c r="QM6" s="282" t="str">
        <f t="shared" ref="QM6" si="44">IF(QK6=0,"",QK6+QL6)</f>
        <v/>
      </c>
      <c r="QN6" s="330"/>
      <c r="QO6" s="331"/>
      <c r="QP6" s="331"/>
      <c r="QQ6" s="332"/>
      <c r="QR6" s="333" t="str">
        <f>IF(QM6="","",'Name List'!$I$4)</f>
        <v/>
      </c>
      <c r="QS6" s="91"/>
      <c r="QT6" s="107">
        <f t="shared" ref="QT6" si="45">SUM(F6+O6+X6+AG6+AP6+AY6+BH6+BQ6+BZ6+CI6+CR6+DA6+DJ6+DS6+EB6+EK6+ET6+FC6+FL6+FU6+GD6+GM6+GV6+HE6+HN6+HW6+IF6+IO6+IX6+JG6+JP6+JY6+KH6+KQ6+KZ6+LI6+LR6+MA6+MJ6+MS6+NB6+NK6+NT6+OC6+OL6+OU6+PD6+PM6+PV6+QE6+QN6)</f>
        <v>0</v>
      </c>
      <c r="QU6" s="130">
        <f t="shared" ref="QU6" si="46">SUM(G6+P6+Y6+AH6+AQ6+AZ6+BI6+BR6+CA6+CJ6+CS6+DB6+DK6+DT6+EC6+EL6+EU6+FD6+FM6+FV6+GE6+GN6+GW6+HF6+HO6+HX6+IG6+IP6+IY6+JH6+JQ6+JZ6+KI6+KR6+LA6+LJ6+LS6+MB6+MK6+MT6+NC6+NL6+NU6+OD6+OM6+OV6+PE6+PN6+PW6+QF6+QO6)</f>
        <v>0</v>
      </c>
      <c r="QV6" s="130">
        <f t="shared" ref="QV6" si="47">SUM(H6+Q6+Z6+AI6+AR6+BA6+BJ6+BS6+CB6+CK6+CT6+DC6+DL6+DU6+ED6+EM6+EV6+FE6+FN6+FW6+GF6+GO6+GX6+HG6+HP6+HY6+IH6+IQ6+IZ6+JI6+JR6+KA6+KJ6+KS6+LB6+LK6+LT6+MC6+ML6+MU6+ND6+NM6+NV6+OE6+ON6+OW6+PF6+PO6+PX6+QG6+QP6)</f>
        <v>0</v>
      </c>
      <c r="QW6" s="108">
        <f t="shared" ref="QW6" si="48">SUM(I6+R6+AA6+AJ6+AS6+BB6+BK6+BT6+CC6+CL6+CU6+DD6+DM6+DV6+EE6+EN6+EW6+FF6+FO6+FX6+GG6+GP6+GY6+HH6+HQ6+HZ6+II6+IR6+JA6+JJ6+JS6+KB6+KK6+KT6+LC6+LL6+LU6+MD6+MM6+MV6+NE6+NN6+NW6+OF6+OO6+OX6+PG6+PP6+PY6+QH6+QQ6)</f>
        <v>0</v>
      </c>
      <c r="QY6" s="375">
        <f>SUM(J6,S6,AB6,AK6,AT6,BC6,BL6,BU6,CD6,CM6,CV6,DE6,DN6,DW6,EF6,EO6,FP6,FY6,GH6,GQ6,HI6,HR6,IS6,JB6,JK6,JT6,KC6,KL6,KU6,LD6,LM6,LV6,ME6,MN6,MW6,NF6,NO6,NX6,OG6,OP6,OY6,PH6,PZ6)/5</f>
        <v>0</v>
      </c>
      <c r="RA6" s="376">
        <f>MAX(C6,L6,AD6,AM6,AV6,BN6,BW6,CF6,CX6,DG6,DP6,DY6,EH6,FI6,FR6,GA6,GJ6,HB6,IL6,IU6,JD6,JM6,JV6,KE6,KW6,LO6,LX6,MG6,MP6,MY6,NH6,NQ6,OI6,PA6,PS6)</f>
        <v>0</v>
      </c>
      <c r="RB6" s="377">
        <f>MAX(D6,M6,AE6,AN6,AW6,BO6,BX6,CG6,CY6,DH6,DQ6,DZ6,EI6,FJ6,FS6,GB6,GK6,HC6,IM6,IV6,JE6,JN6,JW6,KF6,KX6,LP6,LY6,MH6,MQ6,MZ6,NI6,NR6,OJ6,PB6,PT6)</f>
        <v>0</v>
      </c>
      <c r="RC6" s="377">
        <f>MAX(E6,N6,AF6,AO6,AX6,BP6,BY6,CH6,CZ6,DI6,DR6,EA6,EJ6,FK6,FT6,GC6,GL6,HD6,IN6,IW6,JF6,JO6,JX6,KG6,KY6,LQ6,LZ6,MI6,MR6,NA6,NJ6,NS6,OK6,PC6,PU6)</f>
        <v>0</v>
      </c>
      <c r="RD6" s="377">
        <f>MIN(C6,L6,AD6,AM6,AV6,BN6,BW6,CF6,CX6,DG6,DP6,DY6,EH6,FI6,FR6,GA6,GJ6,HB6,IL6,IU6,JD6,JM6,JV6,KE6,KW6,LO6,LX6,MG6,MP6,MY6,NH6,NQ6,OI6,PA6,PS6)</f>
        <v>0</v>
      </c>
      <c r="RE6" s="377">
        <f>MIN(D6,M6,AE6,AN6,AW6,BO6,BX6,CG6,CY6,DH6,DQ6,DZ6,EI6,FJ6,FS6,GB6,GK6,HC6,IM6,IV6,JE6,JN6,JW6,KF6,KX6,LP6,LY6,MH6,MQ6,MZ6,NI6,NR6,OJ6,PB6,PT6)</f>
        <v>0</v>
      </c>
      <c r="RF6" s="378">
        <f>MIN(E6,N6,AF6,AO6,AX6,BP6,BY6,CH6,CZ6,DI6,DR6,EA6,EJ6,FK6,FT6,GC6,GL6,HD6,IN6,IW6,JF6,JO6,JX6,KG6,KY6,LQ6,LZ6,MI6,MR6,NA6,NJ6,NS6,OK6,PC6,PU6)</f>
        <v>0</v>
      </c>
      <c r="RG6" s="106"/>
      <c r="RH6" s="421">
        <f>MAX(W6,BG6,CQ6,HM6,LH6,OB6,OT6)</f>
        <v>0</v>
      </c>
      <c r="RI6" s="422">
        <f>MIN(W6,BG6,CQ6,HM6,LH6,OB6,OT6)</f>
        <v>0</v>
      </c>
      <c r="RJ6" s="106"/>
      <c r="RK6" s="431">
        <f>IFERROR(SUM(E6,N6,W6,AF6,AO6,AX6,BG6,BP6,BY6,CH6,CQ6,CZ6,DI6,DR6,EA6,EJ6,FK6,GC6,GL6,HD6,HM6,IN6,IW6,JF6,JO6,JX6,KG6,KY6,LH6,LQ6,LZ6,MI6,MR6,NA6,NJ6,NS6,OB6,OK6,OT6,PC6,)/QY6,0)</f>
        <v>0</v>
      </c>
      <c r="RL6" s="106"/>
      <c r="RM6" s="425">
        <f>MAX(ES6,IE6)</f>
        <v>0</v>
      </c>
      <c r="RN6" s="426">
        <f>MIN(ES6,IE6)</f>
        <v>0</v>
      </c>
      <c r="RO6" s="106"/>
      <c r="RP6" s="429">
        <f>SUM(EX6,IJ6)/5</f>
        <v>0</v>
      </c>
    </row>
    <row r="7" spans="1:484" x14ac:dyDescent="0.2">
      <c r="A7" s="89" t="str">
        <f>'Name List'!B7</f>
        <v>Max Ball</v>
      </c>
      <c r="C7" s="98"/>
      <c r="D7" s="99"/>
      <c r="E7" s="329" t="str">
        <f t="shared" si="0"/>
        <v/>
      </c>
      <c r="F7" s="74"/>
      <c r="G7" s="75"/>
      <c r="H7" s="75"/>
      <c r="I7" s="76"/>
      <c r="J7" s="333" t="str">
        <f>IF(E7="","",'Name List'!$I$4)</f>
        <v/>
      </c>
      <c r="L7" s="98"/>
      <c r="M7" s="99"/>
      <c r="N7" s="100"/>
      <c r="O7" s="77"/>
      <c r="P7" s="78"/>
      <c r="Q7" s="78"/>
      <c r="R7" s="79"/>
      <c r="S7" s="67"/>
      <c r="U7" s="71"/>
      <c r="V7" s="72"/>
      <c r="W7" s="396" t="str">
        <f t="shared" si="2"/>
        <v/>
      </c>
      <c r="X7" s="77"/>
      <c r="Y7" s="78"/>
      <c r="Z7" s="78"/>
      <c r="AA7" s="79"/>
      <c r="AB7" s="333" t="str">
        <f>IF(W7="","",'Name List'!$I$4)</f>
        <v/>
      </c>
      <c r="AD7" s="98"/>
      <c r="AE7" s="99"/>
      <c r="AF7" s="329" t="str">
        <f t="shared" si="3"/>
        <v/>
      </c>
      <c r="AG7" s="77"/>
      <c r="AH7" s="78"/>
      <c r="AI7" s="78"/>
      <c r="AJ7" s="79"/>
      <c r="AK7" s="333" t="str">
        <f>IF(AF7="","",'Name List'!$I$4)</f>
        <v/>
      </c>
      <c r="AM7" s="98"/>
      <c r="AN7" s="99"/>
      <c r="AO7" s="329" t="str">
        <f t="shared" si="4"/>
        <v/>
      </c>
      <c r="AP7" s="77"/>
      <c r="AQ7" s="78"/>
      <c r="AR7" s="78"/>
      <c r="AS7" s="79"/>
      <c r="AT7" s="333" t="str">
        <f>IF(AO7="","",'Name List'!$I$4)</f>
        <v/>
      </c>
      <c r="AV7" s="458">
        <v>16</v>
      </c>
      <c r="AW7" s="401">
        <v>20</v>
      </c>
      <c r="AX7" s="400">
        <f t="shared" si="5"/>
        <v>36</v>
      </c>
      <c r="AY7" s="77">
        <v>0</v>
      </c>
      <c r="AZ7" s="78">
        <v>1</v>
      </c>
      <c r="BA7" s="78">
        <v>10</v>
      </c>
      <c r="BB7" s="79">
        <v>1</v>
      </c>
      <c r="BC7" s="457">
        <f>IF(AX7="","",'Name List'!$I$4)</f>
        <v>5</v>
      </c>
      <c r="BE7" s="71"/>
      <c r="BF7" s="72"/>
      <c r="BG7" s="383" t="str">
        <f t="shared" si="6"/>
        <v/>
      </c>
      <c r="BH7" s="77"/>
      <c r="BI7" s="78"/>
      <c r="BJ7" s="78"/>
      <c r="BK7" s="79"/>
      <c r="BL7" s="333" t="str">
        <f>IF(BG7="","",'Name List'!$I$4)</f>
        <v/>
      </c>
      <c r="BN7" s="98"/>
      <c r="BO7" s="99"/>
      <c r="BP7" s="100"/>
      <c r="BQ7" s="77"/>
      <c r="BR7" s="78"/>
      <c r="BS7" s="78"/>
      <c r="BT7" s="79"/>
      <c r="BU7" s="67"/>
      <c r="BW7" s="98">
        <v>20</v>
      </c>
      <c r="BX7" s="99">
        <v>21</v>
      </c>
      <c r="BY7" s="329">
        <f t="shared" si="8"/>
        <v>41</v>
      </c>
      <c r="BZ7" s="77">
        <v>0</v>
      </c>
      <c r="CA7" s="78">
        <v>2</v>
      </c>
      <c r="CB7" s="78">
        <v>11</v>
      </c>
      <c r="CC7" s="79">
        <v>0</v>
      </c>
      <c r="CD7" s="333">
        <f>IF(BY7="","",'Name List'!$I$4)</f>
        <v>5</v>
      </c>
      <c r="CF7" s="68">
        <v>14</v>
      </c>
      <c r="CG7" s="69">
        <v>20</v>
      </c>
      <c r="CH7" s="282">
        <f t="shared" ref="CH7:CH70" si="49">IF(CF7=0,"",CF7+CG7)</f>
        <v>34</v>
      </c>
      <c r="CI7" s="77">
        <v>0</v>
      </c>
      <c r="CJ7" s="78">
        <v>2</v>
      </c>
      <c r="CK7" s="78">
        <v>6</v>
      </c>
      <c r="CL7" s="79">
        <v>1</v>
      </c>
      <c r="CM7" s="333">
        <f>IF(CH7="","",'Name List'!$I$4)</f>
        <v>5</v>
      </c>
      <c r="CO7" s="71">
        <v>13</v>
      </c>
      <c r="CP7" s="72">
        <v>22</v>
      </c>
      <c r="CQ7" s="383">
        <f t="shared" si="9"/>
        <v>35</v>
      </c>
      <c r="CR7" s="77">
        <v>0</v>
      </c>
      <c r="CS7" s="78">
        <v>1</v>
      </c>
      <c r="CT7" s="78">
        <v>9</v>
      </c>
      <c r="CU7" s="79">
        <v>0</v>
      </c>
      <c r="CV7" s="333">
        <f>IF(CQ7="","",'Name List'!$I$4)</f>
        <v>5</v>
      </c>
      <c r="CX7" s="98"/>
      <c r="CY7" s="99"/>
      <c r="CZ7" s="329" t="str">
        <f t="shared" si="10"/>
        <v/>
      </c>
      <c r="DA7" s="77"/>
      <c r="DB7" s="78"/>
      <c r="DC7" s="78"/>
      <c r="DD7" s="79"/>
      <c r="DE7" s="333" t="str">
        <f>IF(CZ7="","",'Name List'!$I$4)</f>
        <v/>
      </c>
      <c r="DG7" s="98">
        <v>17</v>
      </c>
      <c r="DH7" s="99">
        <v>18</v>
      </c>
      <c r="DI7" s="329">
        <f t="shared" si="11"/>
        <v>35</v>
      </c>
      <c r="DJ7" s="77">
        <v>0</v>
      </c>
      <c r="DK7" s="78">
        <v>2</v>
      </c>
      <c r="DL7" s="78">
        <v>8</v>
      </c>
      <c r="DM7" s="79">
        <v>1</v>
      </c>
      <c r="DN7" s="333">
        <f>IF(DI7="","",'Name List'!$I$4)</f>
        <v>5</v>
      </c>
      <c r="DP7" s="98"/>
      <c r="DQ7" s="99"/>
      <c r="DR7" s="329" t="str">
        <f t="shared" si="12"/>
        <v/>
      </c>
      <c r="DS7" s="77"/>
      <c r="DT7" s="78"/>
      <c r="DU7" s="78"/>
      <c r="DV7" s="79"/>
      <c r="DW7" s="333" t="str">
        <f>IF(DR7="","",'Name List'!$I$4)</f>
        <v/>
      </c>
      <c r="DY7" s="98">
        <v>18</v>
      </c>
      <c r="DZ7" s="99">
        <v>17</v>
      </c>
      <c r="EA7" s="329">
        <f t="shared" si="13"/>
        <v>35</v>
      </c>
      <c r="EB7" s="77">
        <v>0</v>
      </c>
      <c r="EC7" s="78">
        <v>1</v>
      </c>
      <c r="ED7" s="78">
        <v>9</v>
      </c>
      <c r="EE7" s="79">
        <v>0</v>
      </c>
      <c r="EF7" s="333">
        <f>IF(EA7="","",'Name List'!$I$4)</f>
        <v>5</v>
      </c>
      <c r="EH7" s="98"/>
      <c r="EI7" s="99"/>
      <c r="EJ7" s="329" t="str">
        <f t="shared" si="14"/>
        <v/>
      </c>
      <c r="EK7" s="77"/>
      <c r="EL7" s="78"/>
      <c r="EM7" s="78"/>
      <c r="EN7" s="79"/>
      <c r="EO7" s="333" t="str">
        <f>IF(EJ7="","",'Name List'!$I$4)</f>
        <v/>
      </c>
      <c r="EQ7" s="115"/>
      <c r="ER7" s="116"/>
      <c r="ES7" s="117">
        <v>83</v>
      </c>
      <c r="ET7" s="77">
        <v>0</v>
      </c>
      <c r="EU7" s="78">
        <v>0</v>
      </c>
      <c r="EV7" s="78">
        <v>8</v>
      </c>
      <c r="EW7" s="79"/>
      <c r="EX7" s="333">
        <f>IF(ES7="","",'Name List'!$I$4)</f>
        <v>5</v>
      </c>
      <c r="EZ7" s="68"/>
      <c r="FA7" s="69"/>
      <c r="FB7" s="70"/>
      <c r="FC7" s="77"/>
      <c r="FD7" s="78"/>
      <c r="FE7" s="78"/>
      <c r="FF7" s="79"/>
      <c r="FG7" s="67"/>
      <c r="FI7" s="98"/>
      <c r="FJ7" s="99"/>
      <c r="FK7" s="329" t="str">
        <f t="shared" si="16"/>
        <v/>
      </c>
      <c r="FL7" s="77"/>
      <c r="FM7" s="78"/>
      <c r="FN7" s="78"/>
      <c r="FO7" s="79"/>
      <c r="FP7" s="333" t="str">
        <f>IF(FK7="","",'Name List'!$I$4)</f>
        <v/>
      </c>
      <c r="FR7" s="98"/>
      <c r="FS7" s="99"/>
      <c r="FT7" s="329" t="str">
        <f t="shared" si="17"/>
        <v/>
      </c>
      <c r="FU7" s="77"/>
      <c r="FV7" s="78"/>
      <c r="FW7" s="78"/>
      <c r="FX7" s="79"/>
      <c r="FY7" s="333" t="str">
        <f>IF(FT7="","",'Name List'!$I$4)</f>
        <v/>
      </c>
      <c r="GA7" s="98"/>
      <c r="GB7" s="99"/>
      <c r="GC7" s="329" t="str">
        <f t="shared" si="18"/>
        <v/>
      </c>
      <c r="GD7" s="77"/>
      <c r="GE7" s="78"/>
      <c r="GF7" s="78"/>
      <c r="GG7" s="79"/>
      <c r="GH7" s="333" t="str">
        <f>IF(GC7="","",'Name List'!$I$4)</f>
        <v/>
      </c>
      <c r="GJ7" s="98">
        <v>20</v>
      </c>
      <c r="GK7" s="99">
        <v>15</v>
      </c>
      <c r="GL7" s="329">
        <f t="shared" si="19"/>
        <v>35</v>
      </c>
      <c r="GM7" s="77">
        <v>0</v>
      </c>
      <c r="GN7" s="78">
        <v>1</v>
      </c>
      <c r="GO7" s="78">
        <v>12</v>
      </c>
      <c r="GP7" s="79">
        <v>2</v>
      </c>
      <c r="GQ7" s="333">
        <f>IF(GL7="","",'Name List'!$I$4)</f>
        <v>5</v>
      </c>
      <c r="GS7" s="68"/>
      <c r="GT7" s="69"/>
      <c r="GU7" s="70"/>
      <c r="GV7" s="77"/>
      <c r="GW7" s="78"/>
      <c r="GX7" s="78"/>
      <c r="GY7" s="79"/>
      <c r="GZ7" s="67"/>
      <c r="HB7" s="98">
        <v>19</v>
      </c>
      <c r="HC7" s="99">
        <v>18</v>
      </c>
      <c r="HD7" s="329">
        <f t="shared" si="21"/>
        <v>37</v>
      </c>
      <c r="HE7" s="77">
        <v>0</v>
      </c>
      <c r="HF7" s="78">
        <v>3</v>
      </c>
      <c r="HG7" s="78">
        <v>7</v>
      </c>
      <c r="HH7" s="79">
        <v>1</v>
      </c>
      <c r="HI7" s="333">
        <f>IF(HD7="","",'Name List'!$I$4)</f>
        <v>5</v>
      </c>
      <c r="HK7" s="71">
        <v>16</v>
      </c>
      <c r="HL7" s="72">
        <v>21</v>
      </c>
      <c r="HM7" s="383">
        <f t="shared" si="22"/>
        <v>37</v>
      </c>
      <c r="HN7" s="77">
        <v>0</v>
      </c>
      <c r="HO7" s="78">
        <v>3</v>
      </c>
      <c r="HP7" s="78">
        <v>5</v>
      </c>
      <c r="HQ7" s="79">
        <v>1</v>
      </c>
      <c r="HR7" s="333">
        <f>IF(HM7="","",'Name List'!$I$4)</f>
        <v>5</v>
      </c>
      <c r="HT7" s="68"/>
      <c r="HU7" s="69"/>
      <c r="HV7" s="70"/>
      <c r="HW7" s="77"/>
      <c r="HX7" s="78"/>
      <c r="HY7" s="78"/>
      <c r="HZ7" s="79"/>
      <c r="IA7" s="67"/>
      <c r="IC7" s="115"/>
      <c r="ID7" s="116"/>
      <c r="IE7" s="117"/>
      <c r="IF7" s="77"/>
      <c r="IG7" s="78"/>
      <c r="IH7" s="78"/>
      <c r="II7" s="79"/>
      <c r="IJ7" s="333" t="str">
        <f>IF(IE7="","",'Name List'!$I$4)</f>
        <v/>
      </c>
      <c r="IL7" s="98"/>
      <c r="IM7" s="99"/>
      <c r="IN7" s="100"/>
      <c r="IO7" s="77"/>
      <c r="IP7" s="78"/>
      <c r="IQ7" s="78"/>
      <c r="IR7" s="79"/>
      <c r="IS7" s="67"/>
      <c r="IU7" s="98"/>
      <c r="IV7" s="99"/>
      <c r="IW7" s="100"/>
      <c r="IX7" s="77"/>
      <c r="IY7" s="78"/>
      <c r="IZ7" s="78"/>
      <c r="JA7" s="79"/>
      <c r="JB7" s="67"/>
      <c r="JD7" s="98"/>
      <c r="JE7" s="99"/>
      <c r="JF7" s="100"/>
      <c r="JG7" s="77"/>
      <c r="JH7" s="78"/>
      <c r="JI7" s="78"/>
      <c r="JJ7" s="79"/>
      <c r="JK7" s="67"/>
      <c r="JM7" s="98"/>
      <c r="JN7" s="99"/>
      <c r="JO7" s="275"/>
      <c r="JP7" s="77"/>
      <c r="JQ7" s="78"/>
      <c r="JR7" s="78"/>
      <c r="JS7" s="79"/>
      <c r="JT7" s="67"/>
      <c r="JV7" s="98"/>
      <c r="JW7" s="99"/>
      <c r="JX7" s="100"/>
      <c r="JY7" s="77"/>
      <c r="JZ7" s="78"/>
      <c r="KA7" s="78"/>
      <c r="KB7" s="79"/>
      <c r="KC7" s="67"/>
      <c r="KE7" s="98"/>
      <c r="KF7" s="99"/>
      <c r="KG7" s="100"/>
      <c r="KH7" s="77"/>
      <c r="KI7" s="78"/>
      <c r="KJ7" s="78"/>
      <c r="KK7" s="79"/>
      <c r="KL7" s="67"/>
      <c r="KN7" s="68"/>
      <c r="KO7" s="69"/>
      <c r="KP7" s="70"/>
      <c r="KQ7" s="77"/>
      <c r="KR7" s="78"/>
      <c r="KS7" s="78"/>
      <c r="KT7" s="79"/>
      <c r="KU7" s="67"/>
      <c r="KW7" s="98"/>
      <c r="KX7" s="99"/>
      <c r="KY7" s="100"/>
      <c r="KZ7" s="77"/>
      <c r="LA7" s="78"/>
      <c r="LB7" s="78"/>
      <c r="LC7" s="79"/>
      <c r="LD7" s="67"/>
      <c r="LF7" s="71"/>
      <c r="LG7" s="72"/>
      <c r="LH7" s="73"/>
      <c r="LI7" s="77"/>
      <c r="LJ7" s="78"/>
      <c r="LK7" s="78"/>
      <c r="LL7" s="79"/>
      <c r="LM7" s="67"/>
      <c r="LO7" s="98"/>
      <c r="LP7" s="99"/>
      <c r="LQ7" s="329"/>
      <c r="LR7" s="77"/>
      <c r="LS7" s="78"/>
      <c r="LT7" s="78"/>
      <c r="LU7" s="79"/>
      <c r="LV7" s="67"/>
      <c r="LX7" s="98"/>
      <c r="LY7" s="99"/>
      <c r="LZ7" s="100"/>
      <c r="MA7" s="77"/>
      <c r="MB7" s="78"/>
      <c r="MC7" s="78"/>
      <c r="MD7" s="79"/>
      <c r="ME7" s="67"/>
      <c r="MG7" s="98"/>
      <c r="MH7" s="99"/>
      <c r="MI7" s="100"/>
      <c r="MJ7" s="77"/>
      <c r="MK7" s="78"/>
      <c r="ML7" s="78"/>
      <c r="MM7" s="79"/>
      <c r="MN7" s="67"/>
      <c r="MP7" s="98"/>
      <c r="MQ7" s="99"/>
      <c r="MR7" s="100"/>
      <c r="MS7" s="77"/>
      <c r="MT7" s="78"/>
      <c r="MU7" s="78"/>
      <c r="MV7" s="79"/>
      <c r="MW7" s="67"/>
      <c r="MY7" s="98"/>
      <c r="MZ7" s="99"/>
      <c r="NA7" s="100"/>
      <c r="NB7" s="77"/>
      <c r="NC7" s="78"/>
      <c r="ND7" s="78"/>
      <c r="NE7" s="79"/>
      <c r="NF7" s="67"/>
      <c r="NH7" s="98"/>
      <c r="NI7" s="99"/>
      <c r="NJ7" s="329"/>
      <c r="NK7" s="77"/>
      <c r="NL7" s="78"/>
      <c r="NM7" s="78"/>
      <c r="NN7" s="79"/>
      <c r="NO7" s="67"/>
      <c r="NQ7" s="98"/>
      <c r="NR7" s="99"/>
      <c r="NS7" s="100"/>
      <c r="NT7" s="77"/>
      <c r="NU7" s="78"/>
      <c r="NV7" s="78"/>
      <c r="NW7" s="79"/>
      <c r="NX7" s="67"/>
      <c r="NZ7" s="71"/>
      <c r="OA7" s="72"/>
      <c r="OB7" s="73"/>
      <c r="OC7" s="77"/>
      <c r="OD7" s="78"/>
      <c r="OE7" s="78"/>
      <c r="OF7" s="79"/>
      <c r="OG7" s="67"/>
      <c r="OI7" s="98"/>
      <c r="OJ7" s="99"/>
      <c r="OK7" s="329"/>
      <c r="OL7" s="77"/>
      <c r="OM7" s="78"/>
      <c r="ON7" s="78"/>
      <c r="OO7" s="79"/>
      <c r="OP7" s="67"/>
      <c r="OR7" s="71"/>
      <c r="OS7" s="72"/>
      <c r="OT7" s="73"/>
      <c r="OU7" s="77"/>
      <c r="OV7" s="78"/>
      <c r="OW7" s="78"/>
      <c r="OX7" s="79"/>
      <c r="OY7" s="67"/>
      <c r="PA7" s="98"/>
      <c r="PB7" s="99"/>
      <c r="PC7" s="100"/>
      <c r="PD7" s="77"/>
      <c r="PE7" s="78"/>
      <c r="PF7" s="78"/>
      <c r="PG7" s="79"/>
      <c r="PH7" s="67"/>
      <c r="PJ7" s="277"/>
      <c r="PK7" s="278"/>
      <c r="PL7" s="279"/>
      <c r="PM7" s="125"/>
      <c r="PN7" s="126"/>
      <c r="PO7" s="126"/>
      <c r="PP7" s="127"/>
      <c r="PQ7" s="128"/>
      <c r="PS7" s="403"/>
      <c r="PT7" s="404"/>
      <c r="PU7" s="405"/>
      <c r="PV7" s="330"/>
      <c r="PW7" s="331"/>
      <c r="PX7" s="331"/>
      <c r="PY7" s="332"/>
      <c r="PZ7" s="333"/>
      <c r="QB7" s="412"/>
      <c r="QC7" s="413"/>
      <c r="QD7" s="414"/>
      <c r="QE7" s="125"/>
      <c r="QF7" s="126"/>
      <c r="QG7" s="126"/>
      <c r="QH7" s="127"/>
      <c r="QI7" s="128"/>
      <c r="QK7" s="283"/>
      <c r="QL7" s="284"/>
      <c r="QM7" s="285"/>
      <c r="QN7" s="125"/>
      <c r="QO7" s="126"/>
      <c r="QP7" s="126"/>
      <c r="QQ7" s="127"/>
      <c r="QR7" s="128" t="str">
        <f>IF(QM7="","",'Name List'!$I$4)</f>
        <v/>
      </c>
      <c r="QS7" s="91"/>
      <c r="QT7" s="107">
        <f t="shared" ref="QT7:QT70" si="50">SUM(F7+O7+X7+AG7+AP7+AY7+BH7+BQ7+BZ7+CI7+CR7+DA7+DJ7+DS7+EB7+EK7+ET7+FC7+FL7+FU7+GD7+GM7+GV7+HE7+HN7+HW7+IF7+IO7+IX7+JG7+JP7+JY7+KH7+KQ7+KZ7+LI7+LR7+MA7+MJ7+MS7+NB7+NK7+NT7+OC7+OL7+OU7+PD7+PM7+PV7+QE7+QN7)</f>
        <v>0</v>
      </c>
      <c r="QU7" s="130">
        <f t="shared" ref="QU7:QU70" si="51">SUM(G7+P7+Y7+AH7+AQ7+AZ7+BI7+BR7+CA7+CJ7+CS7+DB7+DK7+DT7+EC7+EL7+EU7+FD7+FM7+FV7+GE7+GN7+GW7+HF7+HO7+HX7+IG7+IP7+IY7+JH7+JQ7+JZ7+KI7+KR7+LA7+LJ7+LS7+MB7+MK7+MT7+NC7+NL7+NU7+OD7+OM7+OV7+PE7+PN7+PW7+QF7+QO7)</f>
        <v>16</v>
      </c>
      <c r="QV7" s="130">
        <f t="shared" ref="QV7:QV70" si="52">SUM(H7+Q7+Z7+AI7+AR7+BA7+BJ7+BS7+CB7+CK7+CT7+DC7+DL7+DU7+ED7+EM7+EV7+FE7+FN7+FW7+GF7+GO7+GX7+HG7+HP7+HY7+IH7+IQ7+IZ7+JI7+JR7+KA7+KJ7+KS7+LB7+LK7+LT7+MC7+ML7+MU7+ND7+NM7+NV7+OE7+ON7+OW7+PF7+PO7+PX7+QG7+QP7)</f>
        <v>85</v>
      </c>
      <c r="QW7" s="108">
        <f t="shared" ref="QW7:QW70" si="53">SUM(I7+R7+AA7+AJ7+AS7+BB7+BK7+BT7+CC7+CL7+CU7+DD7+DM7+DV7+EE7+EN7+EW7+FF7+FO7+FX7+GG7+GP7+GY7+HH7+HQ7+HZ7+II7+IR7+JA7+JJ7+JS7+KB7+KK7+KT7+LC7+LL7+LU7+MD7+MM7+MV7+NE7+NN7+NW7+OF7+OO7+OX7+PG7+PP7+PY7+QH7+QQ7)</f>
        <v>7</v>
      </c>
      <c r="QY7" s="260">
        <f t="shared" ref="QY7:QY70" si="54">SUM(J7,S7,AB7,AK7,AT7,BC7,BL7,BU7,CD7,CM7,CV7,DE7,DN7,DW7,EF7,EO7,FP7,FY7,GH7,GQ7,HI7,HR7,IS7,JB7,JK7,JT7,KC7,KL7,KU7,LD7,LM7,LV7,ME7,MN7,MW7,NF7,NO7,NX7,OG7,OP7,OY7,PH7,PZ7)/5</f>
        <v>9</v>
      </c>
      <c r="RA7" s="141">
        <f t="shared" ref="RA7:RA70" si="55">MAX(C7,L7,AD7,AM7,AV7,BN7,BW7,CF7,CX7,DG7,DP7,DY7,EH7,FI7,FR7,GA7,GJ7,HK7,IL7,IU7,JD7,JM7,JV7,KE7,KW7,LO7,LX7,MG7,MP7,MY7,NH7,NQ7,OI7,PA7,PS7)</f>
        <v>20</v>
      </c>
      <c r="RB7" s="106">
        <f t="shared" ref="RB7:RB70" si="56">MAX(D7,M7,AE7,AN7,AW7,BO7,BX7,CG7,CY7,DH7,DQ7,DZ7,EI7,FJ7,FS7,GB7,GK7,HL7,IM7,IV7,JE7,JN7,JW7,KF7,KX7,LP7,LY7,MH7,MQ7,MZ7,NI7,NR7,OJ7,PB7,PT7)</f>
        <v>21</v>
      </c>
      <c r="RC7" s="106">
        <f t="shared" ref="RC7:RC70" si="57">MAX(E7,N7,AF7,AO7,AX7,BP7,BY7,CH7,CZ7,DI7,DR7,EA7,EJ7,FK7,FT7,GC7,GL7,HM7,IN7,IW7,JF7,JO7,JX7,KG7,KY7,LQ7,LZ7,MI7,MR7,NA7,NJ7,NS7,OK7,PC7,PU7)</f>
        <v>41</v>
      </c>
      <c r="RD7" s="106">
        <f t="shared" ref="RD7:RD70" si="58">MIN(C7,L7,AD7,AM7,AV7,BN7,BW7,CF7,CX7,DG7,DP7,DY7,EH7,FI7,FR7,GA7,GJ7,HK7,IL7,IU7,JD7,JM7,JV7,KE7,KW7,LO7,LX7,MG7,MP7,MY7,NH7,NQ7,OI7,PA7,PS7)</f>
        <v>14</v>
      </c>
      <c r="RE7" s="106">
        <f t="shared" ref="RE7:RE70" si="59">MIN(D7,M7,AE7,AN7,AW7,BO7,BX7,CG7,CY7,DH7,DQ7,DZ7,EI7,FJ7,FS7,GB7,GK7,HL7,IM7,IV7,JE7,JN7,JW7,KF7,KX7,LP7,LY7,MH7,MQ7,MZ7,NI7,NR7,OJ7,PB7,PT7)</f>
        <v>15</v>
      </c>
      <c r="RF7" s="142">
        <f t="shared" ref="RF7:RF70" si="60">MIN(E7,N7,AF7,AO7,AX7,BP7,BY7,CH7,CZ7,DI7,DR7,EA7,EJ7,FK7,FT7,GC7,GL7,HM7,IN7,IW7,JF7,JO7,JX7,KG7,KY7,LQ7,LZ7,MI7,MR7,NA7,NJ7,NS7,OK7,PC7,PU7)</f>
        <v>34</v>
      </c>
      <c r="RG7" s="106"/>
      <c r="RH7" s="139">
        <f t="shared" ref="RH7:RH70" si="61">MAX(W7,BG7,CQ7,HD7,LH7,OB7,OT7)</f>
        <v>37</v>
      </c>
      <c r="RI7" s="140">
        <f t="shared" ref="RI7:RI70" si="62">MIN(W7,BG7,CQ7,HD7,LH7,OB7,OT7)</f>
        <v>35</v>
      </c>
      <c r="RJ7" s="106"/>
      <c r="RK7" s="136">
        <f t="shared" ref="RK7:RK70" si="63">IFERROR(SUM(E7,N7,W7,AF7,AO7,AX7,BG7,BP7,BY7,CH7,CQ7,CZ7,DI7,DR7,EA7,EJ7,FK7,GC7,GL7,HD7,HM7,IN7,IW7,JF7,JO7,JX7,KG7,KY7,LH7,LQ7,LZ7,MI7,MR7,NA7,NJ7,NS7,OB7,OK7,OT7,PC7,)/QY7,0)</f>
        <v>36.111111111111114</v>
      </c>
      <c r="RL7" s="106"/>
      <c r="RM7" s="137">
        <f t="shared" ref="RM7:RM70" si="64">MAX(ES7,IE7)</f>
        <v>83</v>
      </c>
      <c r="RN7" s="138">
        <f t="shared" ref="RN7:RN70" si="65">MIN(ES7,IE7)</f>
        <v>83</v>
      </c>
      <c r="RO7" s="106"/>
      <c r="RP7" s="259">
        <f t="shared" ref="RP7:RP70" si="66">SUM(EX7,IJ7)/5</f>
        <v>1</v>
      </c>
    </row>
    <row r="8" spans="1:484" x14ac:dyDescent="0.2">
      <c r="A8" s="89" t="str">
        <f>'Name List'!B8</f>
        <v>Harley Bishop</v>
      </c>
      <c r="C8" s="98"/>
      <c r="D8" s="99"/>
      <c r="E8" s="329" t="str">
        <f t="shared" si="0"/>
        <v/>
      </c>
      <c r="F8" s="74"/>
      <c r="G8" s="75"/>
      <c r="H8" s="75"/>
      <c r="I8" s="76"/>
      <c r="J8" s="333" t="str">
        <f>IF(E8="","",'Name List'!$I$4)</f>
        <v/>
      </c>
      <c r="L8" s="98"/>
      <c r="M8" s="99"/>
      <c r="N8" s="100"/>
      <c r="O8" s="77"/>
      <c r="P8" s="78"/>
      <c r="Q8" s="78"/>
      <c r="R8" s="79"/>
      <c r="S8" s="67"/>
      <c r="U8" s="71">
        <v>12</v>
      </c>
      <c r="V8" s="72">
        <v>13</v>
      </c>
      <c r="W8" s="396">
        <f t="shared" si="2"/>
        <v>25</v>
      </c>
      <c r="X8" s="77">
        <v>0</v>
      </c>
      <c r="Y8" s="78">
        <v>0</v>
      </c>
      <c r="Z8" s="78">
        <v>2</v>
      </c>
      <c r="AA8" s="79">
        <v>2</v>
      </c>
      <c r="AB8" s="333">
        <f>IF(W8="","",'Name List'!$I$4)</f>
        <v>5</v>
      </c>
      <c r="AD8" s="98">
        <v>18</v>
      </c>
      <c r="AE8" s="99">
        <v>9</v>
      </c>
      <c r="AF8" s="329">
        <f t="shared" si="3"/>
        <v>27</v>
      </c>
      <c r="AG8" s="77">
        <v>0</v>
      </c>
      <c r="AH8" s="78">
        <v>1</v>
      </c>
      <c r="AI8" s="78">
        <v>4</v>
      </c>
      <c r="AJ8" s="79">
        <v>3</v>
      </c>
      <c r="AK8" s="333">
        <f>IF(AF8="","",'Name List'!$I$4)</f>
        <v>5</v>
      </c>
      <c r="AM8" s="98">
        <v>13</v>
      </c>
      <c r="AN8" s="99">
        <v>16</v>
      </c>
      <c r="AO8" s="329">
        <f t="shared" si="4"/>
        <v>29</v>
      </c>
      <c r="AP8" s="77">
        <v>0</v>
      </c>
      <c r="AQ8" s="78">
        <v>0</v>
      </c>
      <c r="AR8" s="78">
        <v>5</v>
      </c>
      <c r="AS8" s="79">
        <v>2</v>
      </c>
      <c r="AT8" s="333">
        <f>IF(AO8="","",'Name List'!$I$4)</f>
        <v>5</v>
      </c>
      <c r="AV8" s="458"/>
      <c r="AW8" s="401"/>
      <c r="AX8" s="400" t="str">
        <f t="shared" si="5"/>
        <v/>
      </c>
      <c r="AY8" s="77"/>
      <c r="AZ8" s="78"/>
      <c r="BA8" s="78"/>
      <c r="BB8" s="79"/>
      <c r="BC8" s="457" t="str">
        <f>IF(AX8="","",'Name List'!$I$4)</f>
        <v/>
      </c>
      <c r="BE8" s="71"/>
      <c r="BF8" s="72"/>
      <c r="BG8" s="383" t="str">
        <f t="shared" si="6"/>
        <v/>
      </c>
      <c r="BH8" s="77"/>
      <c r="BI8" s="78"/>
      <c r="BJ8" s="78"/>
      <c r="BK8" s="79"/>
      <c r="BL8" s="333" t="str">
        <f>IF(BG8="","",'Name List'!$I$4)</f>
        <v/>
      </c>
      <c r="BN8" s="98"/>
      <c r="BO8" s="99"/>
      <c r="BP8" s="100"/>
      <c r="BQ8" s="77"/>
      <c r="BR8" s="78"/>
      <c r="BS8" s="78"/>
      <c r="BT8" s="79"/>
      <c r="BU8" s="67"/>
      <c r="BW8" s="98"/>
      <c r="BX8" s="99"/>
      <c r="BY8" s="329" t="str">
        <f t="shared" si="8"/>
        <v/>
      </c>
      <c r="BZ8" s="77"/>
      <c r="CA8" s="78"/>
      <c r="CB8" s="78"/>
      <c r="CC8" s="79"/>
      <c r="CD8" s="333" t="str">
        <f>IF(BY8="","",'Name List'!$I$4)</f>
        <v/>
      </c>
      <c r="CF8" s="68">
        <v>13</v>
      </c>
      <c r="CG8" s="69">
        <v>13</v>
      </c>
      <c r="CH8" s="282">
        <f t="shared" si="49"/>
        <v>26</v>
      </c>
      <c r="CI8" s="77">
        <v>0</v>
      </c>
      <c r="CJ8" s="78">
        <v>1</v>
      </c>
      <c r="CK8" s="78">
        <v>3</v>
      </c>
      <c r="CL8" s="79">
        <v>5</v>
      </c>
      <c r="CM8" s="333">
        <f>IF(CH8="","",'Name List'!$I$4)</f>
        <v>5</v>
      </c>
      <c r="CO8" s="71">
        <v>17</v>
      </c>
      <c r="CP8" s="72">
        <v>17</v>
      </c>
      <c r="CQ8" s="383">
        <f t="shared" si="9"/>
        <v>34</v>
      </c>
      <c r="CR8" s="77">
        <v>0</v>
      </c>
      <c r="CS8" s="78">
        <v>1</v>
      </c>
      <c r="CT8" s="78">
        <v>7</v>
      </c>
      <c r="CU8" s="79">
        <v>3</v>
      </c>
      <c r="CV8" s="333">
        <f>IF(CQ8="","",'Name List'!$I$4)</f>
        <v>5</v>
      </c>
      <c r="CX8" s="98"/>
      <c r="CY8" s="99"/>
      <c r="CZ8" s="329" t="str">
        <f t="shared" si="10"/>
        <v/>
      </c>
      <c r="DA8" s="77"/>
      <c r="DB8" s="78"/>
      <c r="DC8" s="78"/>
      <c r="DD8" s="79"/>
      <c r="DE8" s="333" t="str">
        <f>IF(CZ8="","",'Name List'!$I$4)</f>
        <v/>
      </c>
      <c r="DG8" s="98">
        <v>9</v>
      </c>
      <c r="DH8" s="99">
        <v>17</v>
      </c>
      <c r="DI8" s="329">
        <f t="shared" si="11"/>
        <v>26</v>
      </c>
      <c r="DJ8" s="77">
        <v>0</v>
      </c>
      <c r="DK8" s="78">
        <v>0</v>
      </c>
      <c r="DL8" s="78">
        <v>5</v>
      </c>
      <c r="DM8" s="79">
        <v>4</v>
      </c>
      <c r="DN8" s="333">
        <f>IF(DI8="","",'Name List'!$I$4)</f>
        <v>5</v>
      </c>
      <c r="DP8" s="98"/>
      <c r="DQ8" s="99"/>
      <c r="DR8" s="329" t="str">
        <f t="shared" si="12"/>
        <v/>
      </c>
      <c r="DS8" s="77"/>
      <c r="DT8" s="78"/>
      <c r="DU8" s="78"/>
      <c r="DV8" s="79"/>
      <c r="DW8" s="333" t="str">
        <f>IF(DR8="","",'Name List'!$I$4)</f>
        <v/>
      </c>
      <c r="DY8" s="98"/>
      <c r="DZ8" s="99"/>
      <c r="EA8" s="329" t="str">
        <f t="shared" si="13"/>
        <v/>
      </c>
      <c r="EB8" s="77"/>
      <c r="EC8" s="78"/>
      <c r="ED8" s="78"/>
      <c r="EE8" s="79"/>
      <c r="EF8" s="333" t="str">
        <f>IF(EA8="","",'Name List'!$I$4)</f>
        <v/>
      </c>
      <c r="EH8" s="98"/>
      <c r="EI8" s="99"/>
      <c r="EJ8" s="329" t="str">
        <f t="shared" si="14"/>
        <v/>
      </c>
      <c r="EK8" s="77"/>
      <c r="EL8" s="78"/>
      <c r="EM8" s="78"/>
      <c r="EN8" s="79"/>
      <c r="EO8" s="333" t="str">
        <f>IF(EJ8="","",'Name List'!$I$4)</f>
        <v/>
      </c>
      <c r="EQ8" s="115"/>
      <c r="ER8" s="116"/>
      <c r="ES8" s="117"/>
      <c r="ET8" s="77"/>
      <c r="EU8" s="78"/>
      <c r="EV8" s="78"/>
      <c r="EW8" s="79"/>
      <c r="EX8" s="333" t="str">
        <f>IF(ES8="","",'Name List'!$I$4)</f>
        <v/>
      </c>
      <c r="EZ8" s="68"/>
      <c r="FA8" s="69"/>
      <c r="FB8" s="70"/>
      <c r="FC8" s="77"/>
      <c r="FD8" s="78"/>
      <c r="FE8" s="78"/>
      <c r="FF8" s="79"/>
      <c r="FG8" s="67"/>
      <c r="FI8" s="98">
        <v>16</v>
      </c>
      <c r="FJ8" s="99">
        <v>17</v>
      </c>
      <c r="FK8" s="329">
        <f t="shared" si="16"/>
        <v>33</v>
      </c>
      <c r="FL8" s="77">
        <v>0</v>
      </c>
      <c r="FM8" s="78">
        <v>1</v>
      </c>
      <c r="FN8" s="78">
        <v>4</v>
      </c>
      <c r="FO8" s="79">
        <v>0</v>
      </c>
      <c r="FP8" s="333">
        <f>IF(FK8="","",'Name List'!$I$4)</f>
        <v>5</v>
      </c>
      <c r="FR8" s="98"/>
      <c r="FS8" s="99"/>
      <c r="FT8" s="329" t="str">
        <f t="shared" si="17"/>
        <v/>
      </c>
      <c r="FU8" s="77"/>
      <c r="FV8" s="78"/>
      <c r="FW8" s="78"/>
      <c r="FX8" s="79"/>
      <c r="FY8" s="333" t="str">
        <f>IF(FT8="","",'Name List'!$I$4)</f>
        <v/>
      </c>
      <c r="GA8" s="98"/>
      <c r="GB8" s="99"/>
      <c r="GC8" s="329" t="str">
        <f t="shared" si="18"/>
        <v/>
      </c>
      <c r="GD8" s="77"/>
      <c r="GE8" s="78"/>
      <c r="GF8" s="78"/>
      <c r="GG8" s="79"/>
      <c r="GH8" s="333" t="str">
        <f>IF(GC8="","",'Name List'!$I$4)</f>
        <v/>
      </c>
      <c r="GJ8" s="98"/>
      <c r="GK8" s="99"/>
      <c r="GL8" s="329" t="str">
        <f t="shared" si="19"/>
        <v/>
      </c>
      <c r="GM8" s="77"/>
      <c r="GN8" s="78"/>
      <c r="GO8" s="78"/>
      <c r="GP8" s="79"/>
      <c r="GQ8" s="333" t="str">
        <f>IF(GL8="","",'Name List'!$I$4)</f>
        <v/>
      </c>
      <c r="GS8" s="68"/>
      <c r="GT8" s="69"/>
      <c r="GU8" s="70"/>
      <c r="GV8" s="77"/>
      <c r="GW8" s="78"/>
      <c r="GX8" s="78"/>
      <c r="GY8" s="79"/>
      <c r="GZ8" s="67"/>
      <c r="HB8" s="98"/>
      <c r="HC8" s="99"/>
      <c r="HD8" s="329" t="str">
        <f t="shared" si="21"/>
        <v/>
      </c>
      <c r="HE8" s="77"/>
      <c r="HF8" s="78"/>
      <c r="HG8" s="78"/>
      <c r="HH8" s="79"/>
      <c r="HI8" s="333" t="str">
        <f>IF(HD8="","",'Name List'!$I$4)</f>
        <v/>
      </c>
      <c r="HK8" s="71"/>
      <c r="HL8" s="72"/>
      <c r="HM8" s="383" t="str">
        <f t="shared" si="22"/>
        <v/>
      </c>
      <c r="HN8" s="77"/>
      <c r="HO8" s="78"/>
      <c r="HP8" s="78"/>
      <c r="HQ8" s="79"/>
      <c r="HR8" s="333" t="str">
        <f>IF(HM8="","",'Name List'!$I$4)</f>
        <v/>
      </c>
      <c r="HT8" s="68"/>
      <c r="HU8" s="69"/>
      <c r="HV8" s="70"/>
      <c r="HW8" s="77"/>
      <c r="HX8" s="78"/>
      <c r="HY8" s="78"/>
      <c r="HZ8" s="79"/>
      <c r="IA8" s="67"/>
      <c r="IC8" s="115"/>
      <c r="ID8" s="116"/>
      <c r="IE8" s="117"/>
      <c r="IF8" s="77"/>
      <c r="IG8" s="78"/>
      <c r="IH8" s="78"/>
      <c r="II8" s="79"/>
      <c r="IJ8" s="333" t="str">
        <f>IF(IE8="","",'Name List'!$I$4)</f>
        <v/>
      </c>
      <c r="IL8" s="98"/>
      <c r="IM8" s="99"/>
      <c r="IN8" s="100"/>
      <c r="IO8" s="77"/>
      <c r="IP8" s="78"/>
      <c r="IQ8" s="78"/>
      <c r="IR8" s="79"/>
      <c r="IS8" s="67"/>
      <c r="IU8" s="98"/>
      <c r="IV8" s="99"/>
      <c r="IW8" s="100"/>
      <c r="IX8" s="77"/>
      <c r="IY8" s="78"/>
      <c r="IZ8" s="78"/>
      <c r="JA8" s="79"/>
      <c r="JB8" s="67"/>
      <c r="JD8" s="98"/>
      <c r="JE8" s="99"/>
      <c r="JF8" s="100"/>
      <c r="JG8" s="77"/>
      <c r="JH8" s="78"/>
      <c r="JI8" s="78"/>
      <c r="JJ8" s="79"/>
      <c r="JK8" s="67"/>
      <c r="JM8" s="98"/>
      <c r="JN8" s="99"/>
      <c r="JO8" s="275"/>
      <c r="JP8" s="77"/>
      <c r="JQ8" s="78"/>
      <c r="JR8" s="78"/>
      <c r="JS8" s="79"/>
      <c r="JT8" s="67"/>
      <c r="JV8" s="98"/>
      <c r="JW8" s="99"/>
      <c r="JX8" s="100"/>
      <c r="JY8" s="77"/>
      <c r="JZ8" s="78"/>
      <c r="KA8" s="78"/>
      <c r="KB8" s="79"/>
      <c r="KC8" s="67"/>
      <c r="KE8" s="98"/>
      <c r="KF8" s="99"/>
      <c r="KG8" s="100"/>
      <c r="KH8" s="77"/>
      <c r="KI8" s="78"/>
      <c r="KJ8" s="78"/>
      <c r="KK8" s="79"/>
      <c r="KL8" s="67"/>
      <c r="KN8" s="68"/>
      <c r="KO8" s="69"/>
      <c r="KP8" s="70"/>
      <c r="KQ8" s="77"/>
      <c r="KR8" s="78"/>
      <c r="KS8" s="78"/>
      <c r="KT8" s="79"/>
      <c r="KU8" s="67"/>
      <c r="KW8" s="98"/>
      <c r="KX8" s="99"/>
      <c r="KY8" s="100"/>
      <c r="KZ8" s="77"/>
      <c r="LA8" s="78"/>
      <c r="LB8" s="78"/>
      <c r="LC8" s="79"/>
      <c r="LD8" s="67"/>
      <c r="LF8" s="71"/>
      <c r="LG8" s="72"/>
      <c r="LH8" s="73"/>
      <c r="LI8" s="77"/>
      <c r="LJ8" s="78"/>
      <c r="LK8" s="78"/>
      <c r="LL8" s="79"/>
      <c r="LM8" s="67"/>
      <c r="LO8" s="98"/>
      <c r="LP8" s="99"/>
      <c r="LQ8" s="329"/>
      <c r="LR8" s="77"/>
      <c r="LS8" s="78"/>
      <c r="LT8" s="78"/>
      <c r="LU8" s="79"/>
      <c r="LV8" s="67"/>
      <c r="LX8" s="98"/>
      <c r="LY8" s="99"/>
      <c r="LZ8" s="100"/>
      <c r="MA8" s="77"/>
      <c r="MB8" s="78"/>
      <c r="MC8" s="78"/>
      <c r="MD8" s="79"/>
      <c r="ME8" s="67"/>
      <c r="MG8" s="98"/>
      <c r="MH8" s="99"/>
      <c r="MI8" s="100"/>
      <c r="MJ8" s="77"/>
      <c r="MK8" s="78"/>
      <c r="ML8" s="78"/>
      <c r="MM8" s="79"/>
      <c r="MN8" s="67"/>
      <c r="MP8" s="98"/>
      <c r="MQ8" s="99"/>
      <c r="MR8" s="100"/>
      <c r="MS8" s="77"/>
      <c r="MT8" s="78"/>
      <c r="MU8" s="78"/>
      <c r="MV8" s="79"/>
      <c r="MW8" s="67"/>
      <c r="MY8" s="98"/>
      <c r="MZ8" s="99"/>
      <c r="NA8" s="100"/>
      <c r="NB8" s="77"/>
      <c r="NC8" s="78"/>
      <c r="ND8" s="78"/>
      <c r="NE8" s="79"/>
      <c r="NF8" s="67"/>
      <c r="NH8" s="98"/>
      <c r="NI8" s="99"/>
      <c r="NJ8" s="329"/>
      <c r="NK8" s="77"/>
      <c r="NL8" s="78"/>
      <c r="NM8" s="78"/>
      <c r="NN8" s="79"/>
      <c r="NO8" s="67"/>
      <c r="NQ8" s="98"/>
      <c r="NR8" s="99"/>
      <c r="NS8" s="100"/>
      <c r="NT8" s="77"/>
      <c r="NU8" s="78"/>
      <c r="NV8" s="78"/>
      <c r="NW8" s="79"/>
      <c r="NX8" s="67"/>
      <c r="NZ8" s="71"/>
      <c r="OA8" s="72"/>
      <c r="OB8" s="73"/>
      <c r="OC8" s="77"/>
      <c r="OD8" s="78"/>
      <c r="OE8" s="78"/>
      <c r="OF8" s="79"/>
      <c r="OG8" s="67"/>
      <c r="OI8" s="98"/>
      <c r="OJ8" s="99"/>
      <c r="OK8" s="329"/>
      <c r="OL8" s="77"/>
      <c r="OM8" s="78"/>
      <c r="ON8" s="78"/>
      <c r="OO8" s="79"/>
      <c r="OP8" s="67"/>
      <c r="OR8" s="71"/>
      <c r="OS8" s="72"/>
      <c r="OT8" s="73"/>
      <c r="OU8" s="77"/>
      <c r="OV8" s="78"/>
      <c r="OW8" s="78"/>
      <c r="OX8" s="79"/>
      <c r="OY8" s="67"/>
      <c r="PA8" s="98"/>
      <c r="PB8" s="99"/>
      <c r="PC8" s="100"/>
      <c r="PD8" s="77"/>
      <c r="PE8" s="78"/>
      <c r="PF8" s="78"/>
      <c r="PG8" s="79"/>
      <c r="PH8" s="67"/>
      <c r="PJ8" s="277"/>
      <c r="PK8" s="278"/>
      <c r="PL8" s="279"/>
      <c r="PM8" s="125"/>
      <c r="PN8" s="126"/>
      <c r="PO8" s="126"/>
      <c r="PP8" s="127"/>
      <c r="PQ8" s="128"/>
      <c r="PS8" s="403"/>
      <c r="PT8" s="404"/>
      <c r="PU8" s="405"/>
      <c r="PV8" s="330"/>
      <c r="PW8" s="331"/>
      <c r="PX8" s="331"/>
      <c r="PY8" s="332"/>
      <c r="PZ8" s="333"/>
      <c r="QB8" s="412"/>
      <c r="QC8" s="413"/>
      <c r="QD8" s="414"/>
      <c r="QE8" s="125"/>
      <c r="QF8" s="126"/>
      <c r="QG8" s="126"/>
      <c r="QH8" s="127"/>
      <c r="QI8" s="128"/>
      <c r="QK8" s="283"/>
      <c r="QL8" s="284"/>
      <c r="QM8" s="285"/>
      <c r="QN8" s="125"/>
      <c r="QO8" s="126"/>
      <c r="QP8" s="126"/>
      <c r="QQ8" s="127"/>
      <c r="QR8" s="128" t="str">
        <f>IF(QM8="","",'Name List'!$I$4)</f>
        <v/>
      </c>
      <c r="QS8" s="91"/>
      <c r="QT8" s="107">
        <f t="shared" si="50"/>
        <v>0</v>
      </c>
      <c r="QU8" s="130">
        <f t="shared" si="51"/>
        <v>4</v>
      </c>
      <c r="QV8" s="130">
        <f t="shared" si="52"/>
        <v>30</v>
      </c>
      <c r="QW8" s="108">
        <f t="shared" si="53"/>
        <v>19</v>
      </c>
      <c r="QY8" s="260">
        <f t="shared" si="54"/>
        <v>7</v>
      </c>
      <c r="RA8" s="141">
        <f t="shared" si="55"/>
        <v>18</v>
      </c>
      <c r="RB8" s="106">
        <f t="shared" si="56"/>
        <v>17</v>
      </c>
      <c r="RC8" s="106">
        <f t="shared" si="57"/>
        <v>33</v>
      </c>
      <c r="RD8" s="106">
        <f t="shared" si="58"/>
        <v>9</v>
      </c>
      <c r="RE8" s="106">
        <f t="shared" si="59"/>
        <v>9</v>
      </c>
      <c r="RF8" s="142">
        <f t="shared" si="60"/>
        <v>26</v>
      </c>
      <c r="RG8" s="106"/>
      <c r="RH8" s="139">
        <f t="shared" si="61"/>
        <v>34</v>
      </c>
      <c r="RI8" s="140">
        <f t="shared" si="62"/>
        <v>25</v>
      </c>
      <c r="RJ8" s="106"/>
      <c r="RK8" s="136">
        <f t="shared" si="63"/>
        <v>28.571428571428573</v>
      </c>
      <c r="RL8" s="106"/>
      <c r="RM8" s="137">
        <f t="shared" si="64"/>
        <v>0</v>
      </c>
      <c r="RN8" s="138">
        <f t="shared" si="65"/>
        <v>0</v>
      </c>
      <c r="RO8" s="106"/>
      <c r="RP8" s="259">
        <f t="shared" si="66"/>
        <v>0</v>
      </c>
    </row>
    <row r="9" spans="1:484" x14ac:dyDescent="0.2">
      <c r="A9" s="89" t="str">
        <f>'Name List'!B9</f>
        <v>Chris Burroughs</v>
      </c>
      <c r="C9" s="98"/>
      <c r="D9" s="99"/>
      <c r="E9" s="329" t="str">
        <f t="shared" si="0"/>
        <v/>
      </c>
      <c r="F9" s="77"/>
      <c r="G9" s="78"/>
      <c r="H9" s="78"/>
      <c r="I9" s="76"/>
      <c r="J9" s="333" t="str">
        <f>IF(E9="","",'Name List'!$I$4)</f>
        <v/>
      </c>
      <c r="L9" s="98"/>
      <c r="M9" s="99"/>
      <c r="N9" s="100"/>
      <c r="O9" s="77"/>
      <c r="P9" s="78"/>
      <c r="Q9" s="78"/>
      <c r="R9" s="79"/>
      <c r="S9" s="67"/>
      <c r="U9" s="71">
        <v>18</v>
      </c>
      <c r="V9" s="72">
        <v>18</v>
      </c>
      <c r="W9" s="396">
        <f t="shared" si="2"/>
        <v>36</v>
      </c>
      <c r="X9" s="77">
        <v>0</v>
      </c>
      <c r="Y9" s="78">
        <v>2</v>
      </c>
      <c r="Z9" s="78">
        <v>9</v>
      </c>
      <c r="AA9" s="79">
        <v>0</v>
      </c>
      <c r="AB9" s="333">
        <f>IF(W9="","",'Name List'!$I$4)</f>
        <v>5</v>
      </c>
      <c r="AD9" s="98"/>
      <c r="AE9" s="99"/>
      <c r="AF9" s="329" t="str">
        <f t="shared" si="3"/>
        <v/>
      </c>
      <c r="AG9" s="77"/>
      <c r="AH9" s="78"/>
      <c r="AI9" s="78"/>
      <c r="AJ9" s="79"/>
      <c r="AK9" s="333" t="str">
        <f>IF(AF9="","",'Name List'!$I$4)</f>
        <v/>
      </c>
      <c r="AM9" s="98"/>
      <c r="AN9" s="99"/>
      <c r="AO9" s="329" t="str">
        <f t="shared" si="4"/>
        <v/>
      </c>
      <c r="AP9" s="77"/>
      <c r="AQ9" s="78"/>
      <c r="AR9" s="78"/>
      <c r="AS9" s="79"/>
      <c r="AT9" s="333" t="str">
        <f>IF(AO9="","",'Name List'!$I$4)</f>
        <v/>
      </c>
      <c r="AV9" s="458"/>
      <c r="AW9" s="401"/>
      <c r="AX9" s="400" t="str">
        <f t="shared" si="5"/>
        <v/>
      </c>
      <c r="AY9" s="77"/>
      <c r="AZ9" s="78"/>
      <c r="BA9" s="78"/>
      <c r="BB9" s="79"/>
      <c r="BC9" s="457" t="str">
        <f>IF(AX9="","",'Name List'!$I$4)</f>
        <v/>
      </c>
      <c r="BE9" s="71"/>
      <c r="BF9" s="72"/>
      <c r="BG9" s="383" t="str">
        <f t="shared" si="6"/>
        <v/>
      </c>
      <c r="BH9" s="77"/>
      <c r="BI9" s="78"/>
      <c r="BJ9" s="78"/>
      <c r="BK9" s="79"/>
      <c r="BL9" s="333" t="str">
        <f>IF(BG9="","",'Name List'!$I$4)</f>
        <v/>
      </c>
      <c r="BN9" s="98"/>
      <c r="BO9" s="99"/>
      <c r="BP9" s="100"/>
      <c r="BQ9" s="77"/>
      <c r="BR9" s="78"/>
      <c r="BS9" s="78"/>
      <c r="BT9" s="79"/>
      <c r="BU9" s="67"/>
      <c r="BW9" s="98"/>
      <c r="BX9" s="99"/>
      <c r="BY9" s="329" t="str">
        <f t="shared" si="8"/>
        <v/>
      </c>
      <c r="BZ9" s="77"/>
      <c r="CA9" s="78"/>
      <c r="CB9" s="78"/>
      <c r="CC9" s="79"/>
      <c r="CD9" s="333" t="str">
        <f>IF(BY9="","",'Name List'!$I$4)</f>
        <v/>
      </c>
      <c r="CF9" s="68"/>
      <c r="CG9" s="69"/>
      <c r="CH9" s="282" t="str">
        <f t="shared" si="49"/>
        <v/>
      </c>
      <c r="CI9" s="77"/>
      <c r="CJ9" s="78"/>
      <c r="CK9" s="78"/>
      <c r="CL9" s="79"/>
      <c r="CM9" s="333" t="str">
        <f>IF(CH9="","",'Name List'!$I$4)</f>
        <v/>
      </c>
      <c r="CO9" s="71"/>
      <c r="CP9" s="72"/>
      <c r="CQ9" s="383" t="str">
        <f t="shared" si="9"/>
        <v/>
      </c>
      <c r="CR9" s="77"/>
      <c r="CS9" s="78"/>
      <c r="CT9" s="78"/>
      <c r="CU9" s="79"/>
      <c r="CV9" s="333" t="str">
        <f>IF(CQ9="","",'Name List'!$I$4)</f>
        <v/>
      </c>
      <c r="CX9" s="98"/>
      <c r="CY9" s="99"/>
      <c r="CZ9" s="329" t="str">
        <f t="shared" si="10"/>
        <v/>
      </c>
      <c r="DA9" s="77"/>
      <c r="DB9" s="78"/>
      <c r="DC9" s="78"/>
      <c r="DD9" s="79"/>
      <c r="DE9" s="333" t="str">
        <f>IF(CZ9="","",'Name List'!$I$4)</f>
        <v/>
      </c>
      <c r="DG9" s="98"/>
      <c r="DH9" s="99"/>
      <c r="DI9" s="329" t="str">
        <f t="shared" si="11"/>
        <v/>
      </c>
      <c r="DJ9" s="77"/>
      <c r="DK9" s="78"/>
      <c r="DL9" s="78"/>
      <c r="DM9" s="79"/>
      <c r="DN9" s="333" t="str">
        <f>IF(DI9="","",'Name List'!$I$4)</f>
        <v/>
      </c>
      <c r="DP9" s="98"/>
      <c r="DQ9" s="99"/>
      <c r="DR9" s="329" t="str">
        <f t="shared" si="12"/>
        <v/>
      </c>
      <c r="DS9" s="77"/>
      <c r="DT9" s="78"/>
      <c r="DU9" s="78"/>
      <c r="DV9" s="79"/>
      <c r="DW9" s="333" t="str">
        <f>IF(DR9="","",'Name List'!$I$4)</f>
        <v/>
      </c>
      <c r="DY9" s="98"/>
      <c r="DZ9" s="99"/>
      <c r="EA9" s="329" t="str">
        <f t="shared" si="13"/>
        <v/>
      </c>
      <c r="EB9" s="77"/>
      <c r="EC9" s="78"/>
      <c r="ED9" s="78"/>
      <c r="EE9" s="79"/>
      <c r="EF9" s="333" t="str">
        <f>IF(EA9="","",'Name List'!$I$4)</f>
        <v/>
      </c>
      <c r="EH9" s="98"/>
      <c r="EI9" s="99"/>
      <c r="EJ9" s="329" t="str">
        <f t="shared" si="14"/>
        <v/>
      </c>
      <c r="EK9" s="77"/>
      <c r="EL9" s="78"/>
      <c r="EM9" s="78"/>
      <c r="EN9" s="79"/>
      <c r="EO9" s="333" t="str">
        <f>IF(EJ9="","",'Name List'!$I$4)</f>
        <v/>
      </c>
      <c r="EQ9" s="115"/>
      <c r="ER9" s="116"/>
      <c r="ES9" s="117"/>
      <c r="ET9" s="77"/>
      <c r="EU9" s="78"/>
      <c r="EV9" s="78"/>
      <c r="EW9" s="79"/>
      <c r="EX9" s="333" t="str">
        <f>IF(ES9="","",'Name List'!$I$4)</f>
        <v/>
      </c>
      <c r="EZ9" s="68"/>
      <c r="FA9" s="69"/>
      <c r="FB9" s="70"/>
      <c r="FC9" s="77"/>
      <c r="FD9" s="78"/>
      <c r="FE9" s="78"/>
      <c r="FF9" s="79"/>
      <c r="FG9" s="67"/>
      <c r="FI9" s="98">
        <v>16</v>
      </c>
      <c r="FJ9" s="99">
        <v>13</v>
      </c>
      <c r="FK9" s="329">
        <f t="shared" si="16"/>
        <v>29</v>
      </c>
      <c r="FL9" s="77">
        <v>0</v>
      </c>
      <c r="FM9" s="78">
        <v>0</v>
      </c>
      <c r="FN9" s="78">
        <v>8</v>
      </c>
      <c r="FO9" s="79">
        <v>2</v>
      </c>
      <c r="FP9" s="333">
        <f>IF(FK9="","",'Name List'!$I$4)</f>
        <v>5</v>
      </c>
      <c r="FR9" s="98"/>
      <c r="FS9" s="99"/>
      <c r="FT9" s="329" t="str">
        <f t="shared" si="17"/>
        <v/>
      </c>
      <c r="FU9" s="77"/>
      <c r="FV9" s="78"/>
      <c r="FW9" s="78"/>
      <c r="FX9" s="79"/>
      <c r="FY9" s="333" t="str">
        <f>IF(FT9="","",'Name List'!$I$4)</f>
        <v/>
      </c>
      <c r="GA9" s="98"/>
      <c r="GB9" s="99"/>
      <c r="GC9" s="329" t="str">
        <f t="shared" si="18"/>
        <v/>
      </c>
      <c r="GD9" s="77"/>
      <c r="GE9" s="78"/>
      <c r="GF9" s="78"/>
      <c r="GG9" s="79"/>
      <c r="GH9" s="333" t="str">
        <f>IF(GC9="","",'Name List'!$I$4)</f>
        <v/>
      </c>
      <c r="GJ9" s="98"/>
      <c r="GK9" s="99"/>
      <c r="GL9" s="329" t="str">
        <f t="shared" si="19"/>
        <v/>
      </c>
      <c r="GM9" s="77"/>
      <c r="GN9" s="78"/>
      <c r="GO9" s="78"/>
      <c r="GP9" s="79"/>
      <c r="GQ9" s="333" t="str">
        <f>IF(GL9="","",'Name List'!$I$4)</f>
        <v/>
      </c>
      <c r="GS9" s="68"/>
      <c r="GT9" s="69"/>
      <c r="GU9" s="70"/>
      <c r="GV9" s="77"/>
      <c r="GW9" s="78"/>
      <c r="GX9" s="78"/>
      <c r="GY9" s="79"/>
      <c r="GZ9" s="67"/>
      <c r="HB9" s="98"/>
      <c r="HC9" s="99"/>
      <c r="HD9" s="329" t="str">
        <f t="shared" si="21"/>
        <v/>
      </c>
      <c r="HE9" s="77"/>
      <c r="HF9" s="78"/>
      <c r="HG9" s="78"/>
      <c r="HH9" s="79"/>
      <c r="HI9" s="333" t="str">
        <f>IF(HD9="","",'Name List'!$I$4)</f>
        <v/>
      </c>
      <c r="HK9" s="71"/>
      <c r="HL9" s="72"/>
      <c r="HM9" s="383" t="str">
        <f t="shared" si="22"/>
        <v/>
      </c>
      <c r="HN9" s="77"/>
      <c r="HO9" s="78"/>
      <c r="HP9" s="78"/>
      <c r="HQ9" s="79"/>
      <c r="HR9" s="333" t="str">
        <f>IF(HM9="","",'Name List'!$I$4)</f>
        <v/>
      </c>
      <c r="HT9" s="68"/>
      <c r="HU9" s="69"/>
      <c r="HV9" s="70"/>
      <c r="HW9" s="77"/>
      <c r="HX9" s="78"/>
      <c r="HY9" s="78"/>
      <c r="HZ9" s="79"/>
      <c r="IA9" s="67"/>
      <c r="IC9" s="115"/>
      <c r="ID9" s="116"/>
      <c r="IE9" s="117"/>
      <c r="IF9" s="77"/>
      <c r="IG9" s="78"/>
      <c r="IH9" s="78"/>
      <c r="II9" s="79"/>
      <c r="IJ9" s="333" t="str">
        <f>IF(IE9="","",'Name List'!$I$4)</f>
        <v/>
      </c>
      <c r="IL9" s="98"/>
      <c r="IM9" s="99"/>
      <c r="IN9" s="100"/>
      <c r="IO9" s="77"/>
      <c r="IP9" s="78"/>
      <c r="IQ9" s="78"/>
      <c r="IR9" s="79"/>
      <c r="IS9" s="67"/>
      <c r="IU9" s="98"/>
      <c r="IV9" s="99"/>
      <c r="IW9" s="100"/>
      <c r="IX9" s="77"/>
      <c r="IY9" s="78"/>
      <c r="IZ9" s="78"/>
      <c r="JA9" s="79"/>
      <c r="JB9" s="67"/>
      <c r="JD9" s="98"/>
      <c r="JE9" s="99"/>
      <c r="JF9" s="100"/>
      <c r="JG9" s="77"/>
      <c r="JH9" s="78"/>
      <c r="JI9" s="78"/>
      <c r="JJ9" s="79"/>
      <c r="JK9" s="67"/>
      <c r="JM9" s="98"/>
      <c r="JN9" s="99"/>
      <c r="JO9" s="275"/>
      <c r="JP9" s="77"/>
      <c r="JQ9" s="78"/>
      <c r="JR9" s="78"/>
      <c r="JS9" s="79"/>
      <c r="JT9" s="67"/>
      <c r="JV9" s="98"/>
      <c r="JW9" s="99"/>
      <c r="JX9" s="100"/>
      <c r="JY9" s="77"/>
      <c r="JZ9" s="78"/>
      <c r="KA9" s="78"/>
      <c r="KB9" s="79"/>
      <c r="KC9" s="67"/>
      <c r="KE9" s="98"/>
      <c r="KF9" s="99"/>
      <c r="KG9" s="100"/>
      <c r="KH9" s="77"/>
      <c r="KI9" s="78"/>
      <c r="KJ9" s="78"/>
      <c r="KK9" s="79"/>
      <c r="KL9" s="67"/>
      <c r="KN9" s="68"/>
      <c r="KO9" s="69"/>
      <c r="KP9" s="70"/>
      <c r="KQ9" s="77"/>
      <c r="KR9" s="78"/>
      <c r="KS9" s="78"/>
      <c r="KT9" s="79"/>
      <c r="KU9" s="67"/>
      <c r="KW9" s="98"/>
      <c r="KX9" s="99"/>
      <c r="KY9" s="100"/>
      <c r="KZ9" s="77"/>
      <c r="LA9" s="78"/>
      <c r="LB9" s="78"/>
      <c r="LC9" s="79"/>
      <c r="LD9" s="67"/>
      <c r="LF9" s="71"/>
      <c r="LG9" s="72"/>
      <c r="LH9" s="73"/>
      <c r="LI9" s="77"/>
      <c r="LJ9" s="78"/>
      <c r="LK9" s="78"/>
      <c r="LL9" s="79"/>
      <c r="LM9" s="67"/>
      <c r="LO9" s="98"/>
      <c r="LP9" s="99"/>
      <c r="LQ9" s="329"/>
      <c r="LR9" s="77"/>
      <c r="LS9" s="78"/>
      <c r="LT9" s="78"/>
      <c r="LU9" s="79"/>
      <c r="LV9" s="67"/>
      <c r="LX9" s="98"/>
      <c r="LY9" s="99"/>
      <c r="LZ9" s="100"/>
      <c r="MA9" s="77"/>
      <c r="MB9" s="78"/>
      <c r="MC9" s="78"/>
      <c r="MD9" s="79"/>
      <c r="ME9" s="67"/>
      <c r="MG9" s="98"/>
      <c r="MH9" s="99"/>
      <c r="MI9" s="100"/>
      <c r="MJ9" s="77"/>
      <c r="MK9" s="78"/>
      <c r="ML9" s="78"/>
      <c r="MM9" s="79"/>
      <c r="MN9" s="67"/>
      <c r="MP9" s="98"/>
      <c r="MQ9" s="99"/>
      <c r="MR9" s="100"/>
      <c r="MS9" s="77"/>
      <c r="MT9" s="78"/>
      <c r="MU9" s="78"/>
      <c r="MV9" s="79"/>
      <c r="MW9" s="67"/>
      <c r="MY9" s="98"/>
      <c r="MZ9" s="99"/>
      <c r="NA9" s="100"/>
      <c r="NB9" s="77"/>
      <c r="NC9" s="78"/>
      <c r="ND9" s="78"/>
      <c r="NE9" s="79"/>
      <c r="NF9" s="67"/>
      <c r="NH9" s="98"/>
      <c r="NI9" s="99"/>
      <c r="NJ9" s="329"/>
      <c r="NK9" s="77"/>
      <c r="NL9" s="78"/>
      <c r="NM9" s="78"/>
      <c r="NN9" s="79"/>
      <c r="NO9" s="67"/>
      <c r="NQ9" s="98"/>
      <c r="NR9" s="99"/>
      <c r="NS9" s="100"/>
      <c r="NT9" s="77"/>
      <c r="NU9" s="78"/>
      <c r="NV9" s="78"/>
      <c r="NW9" s="79"/>
      <c r="NX9" s="67"/>
      <c r="NZ9" s="71"/>
      <c r="OA9" s="72"/>
      <c r="OB9" s="73"/>
      <c r="OC9" s="77"/>
      <c r="OD9" s="78"/>
      <c r="OE9" s="78"/>
      <c r="OF9" s="79"/>
      <c r="OG9" s="67"/>
      <c r="OI9" s="98"/>
      <c r="OJ9" s="99"/>
      <c r="OK9" s="329"/>
      <c r="OL9" s="77"/>
      <c r="OM9" s="78"/>
      <c r="ON9" s="78"/>
      <c r="OO9" s="79"/>
      <c r="OP9" s="67"/>
      <c r="OR9" s="71"/>
      <c r="OS9" s="72"/>
      <c r="OT9" s="73"/>
      <c r="OU9" s="77"/>
      <c r="OV9" s="78"/>
      <c r="OW9" s="78"/>
      <c r="OX9" s="79"/>
      <c r="OY9" s="67"/>
      <c r="PA9" s="98"/>
      <c r="PB9" s="99"/>
      <c r="PC9" s="100"/>
      <c r="PD9" s="77"/>
      <c r="PE9" s="78"/>
      <c r="PF9" s="78"/>
      <c r="PG9" s="79"/>
      <c r="PH9" s="67"/>
      <c r="PJ9" s="277"/>
      <c r="PK9" s="278"/>
      <c r="PL9" s="279"/>
      <c r="PM9" s="125"/>
      <c r="PN9" s="126"/>
      <c r="PO9" s="126"/>
      <c r="PP9" s="127"/>
      <c r="PQ9" s="128"/>
      <c r="PS9" s="403"/>
      <c r="PT9" s="404"/>
      <c r="PU9" s="405"/>
      <c r="PV9" s="330"/>
      <c r="PW9" s="331"/>
      <c r="PX9" s="331"/>
      <c r="PY9" s="332"/>
      <c r="PZ9" s="333"/>
      <c r="QB9" s="412"/>
      <c r="QC9" s="413"/>
      <c r="QD9" s="414"/>
      <c r="QE9" s="125"/>
      <c r="QF9" s="126"/>
      <c r="QG9" s="126"/>
      <c r="QH9" s="127"/>
      <c r="QI9" s="128"/>
      <c r="QK9" s="283"/>
      <c r="QL9" s="284"/>
      <c r="QM9" s="285"/>
      <c r="QN9" s="125"/>
      <c r="QO9" s="126"/>
      <c r="QP9" s="126"/>
      <c r="QQ9" s="127"/>
      <c r="QR9" s="128" t="str">
        <f>IF(QM9="","",'Name List'!$I$4)</f>
        <v/>
      </c>
      <c r="QS9" s="91"/>
      <c r="QT9" s="107">
        <f t="shared" si="50"/>
        <v>0</v>
      </c>
      <c r="QU9" s="130">
        <f t="shared" si="51"/>
        <v>2</v>
      </c>
      <c r="QV9" s="130">
        <f t="shared" si="52"/>
        <v>17</v>
      </c>
      <c r="QW9" s="108">
        <f t="shared" si="53"/>
        <v>2</v>
      </c>
      <c r="QY9" s="260">
        <f t="shared" si="54"/>
        <v>2</v>
      </c>
      <c r="RA9" s="141">
        <f t="shared" si="55"/>
        <v>16</v>
      </c>
      <c r="RB9" s="106">
        <f t="shared" si="56"/>
        <v>13</v>
      </c>
      <c r="RC9" s="106">
        <f t="shared" si="57"/>
        <v>29</v>
      </c>
      <c r="RD9" s="106">
        <f t="shared" si="58"/>
        <v>16</v>
      </c>
      <c r="RE9" s="106">
        <f t="shared" si="59"/>
        <v>13</v>
      </c>
      <c r="RF9" s="142">
        <f t="shared" si="60"/>
        <v>29</v>
      </c>
      <c r="RG9" s="106"/>
      <c r="RH9" s="139">
        <f t="shared" si="61"/>
        <v>36</v>
      </c>
      <c r="RI9" s="140">
        <f t="shared" si="62"/>
        <v>36</v>
      </c>
      <c r="RJ9" s="106"/>
      <c r="RK9" s="136">
        <f t="shared" si="63"/>
        <v>32.5</v>
      </c>
      <c r="RL9" s="106"/>
      <c r="RM9" s="137">
        <f t="shared" si="64"/>
        <v>0</v>
      </c>
      <c r="RN9" s="138">
        <f t="shared" si="65"/>
        <v>0</v>
      </c>
      <c r="RO9" s="106"/>
      <c r="RP9" s="259">
        <f t="shared" si="66"/>
        <v>0</v>
      </c>
    </row>
    <row r="10" spans="1:484" x14ac:dyDescent="0.2">
      <c r="A10" s="89" t="str">
        <f>'Name List'!B10</f>
        <v>George Burton</v>
      </c>
      <c r="C10" s="98"/>
      <c r="D10" s="99"/>
      <c r="E10" s="329" t="str">
        <f t="shared" si="0"/>
        <v/>
      </c>
      <c r="F10" s="77"/>
      <c r="G10" s="78"/>
      <c r="H10" s="78"/>
      <c r="I10" s="76"/>
      <c r="J10" s="333" t="str">
        <f>IF(E10="","",'Name List'!$I$4)</f>
        <v/>
      </c>
      <c r="L10" s="98"/>
      <c r="M10" s="99"/>
      <c r="N10" s="100"/>
      <c r="O10" s="77"/>
      <c r="P10" s="78"/>
      <c r="Q10" s="78"/>
      <c r="R10" s="79"/>
      <c r="S10" s="67"/>
      <c r="U10" s="71"/>
      <c r="V10" s="72"/>
      <c r="W10" s="396" t="str">
        <f t="shared" si="2"/>
        <v/>
      </c>
      <c r="X10" s="77"/>
      <c r="Y10" s="78"/>
      <c r="Z10" s="78"/>
      <c r="AA10" s="79"/>
      <c r="AB10" s="333" t="str">
        <f>IF(W10="","",'Name List'!$I$4)</f>
        <v/>
      </c>
      <c r="AD10" s="98"/>
      <c r="AE10" s="99"/>
      <c r="AF10" s="329" t="str">
        <f t="shared" si="3"/>
        <v/>
      </c>
      <c r="AG10" s="77"/>
      <c r="AH10" s="78"/>
      <c r="AI10" s="78"/>
      <c r="AJ10" s="79"/>
      <c r="AK10" s="333" t="str">
        <f>IF(AF10="","",'Name List'!$I$4)</f>
        <v/>
      </c>
      <c r="AM10" s="98"/>
      <c r="AN10" s="99"/>
      <c r="AO10" s="329" t="str">
        <f t="shared" si="4"/>
        <v/>
      </c>
      <c r="AP10" s="77"/>
      <c r="AQ10" s="78"/>
      <c r="AR10" s="78"/>
      <c r="AS10" s="79"/>
      <c r="AT10" s="333" t="str">
        <f>IF(AO10="","",'Name List'!$I$4)</f>
        <v/>
      </c>
      <c r="AV10" s="458"/>
      <c r="AW10" s="401"/>
      <c r="AX10" s="400" t="str">
        <f t="shared" si="5"/>
        <v/>
      </c>
      <c r="AY10" s="77"/>
      <c r="AZ10" s="78"/>
      <c r="BA10" s="78"/>
      <c r="BB10" s="79"/>
      <c r="BC10" s="457" t="str">
        <f>IF(AX10="","",'Name List'!$I$4)</f>
        <v/>
      </c>
      <c r="BE10" s="71"/>
      <c r="BF10" s="72"/>
      <c r="BG10" s="383" t="str">
        <f t="shared" si="6"/>
        <v/>
      </c>
      <c r="BH10" s="77"/>
      <c r="BI10" s="78"/>
      <c r="BJ10" s="78"/>
      <c r="BK10" s="79"/>
      <c r="BL10" s="333" t="str">
        <f>IF(BG10="","",'Name List'!$I$4)</f>
        <v/>
      </c>
      <c r="BN10" s="98"/>
      <c r="BO10" s="99"/>
      <c r="BP10" s="100"/>
      <c r="BQ10" s="77"/>
      <c r="BR10" s="78"/>
      <c r="BS10" s="78"/>
      <c r="BT10" s="79"/>
      <c r="BU10" s="67"/>
      <c r="BW10" s="98"/>
      <c r="BX10" s="99"/>
      <c r="BY10" s="329" t="str">
        <f t="shared" si="8"/>
        <v/>
      </c>
      <c r="BZ10" s="77"/>
      <c r="CA10" s="78"/>
      <c r="CB10" s="78"/>
      <c r="CC10" s="79"/>
      <c r="CD10" s="333" t="str">
        <f>IF(BY10="","",'Name List'!$I$4)</f>
        <v/>
      </c>
      <c r="CF10" s="68">
        <v>13</v>
      </c>
      <c r="CG10" s="69">
        <v>14</v>
      </c>
      <c r="CH10" s="282">
        <f t="shared" si="49"/>
        <v>27</v>
      </c>
      <c r="CI10" s="77">
        <v>0</v>
      </c>
      <c r="CJ10" s="78">
        <v>2</v>
      </c>
      <c r="CK10" s="78">
        <v>6</v>
      </c>
      <c r="CL10" s="79">
        <v>1</v>
      </c>
      <c r="CM10" s="333">
        <f>IF(CH10="","",'Name List'!$I$4)</f>
        <v>5</v>
      </c>
      <c r="CO10" s="71">
        <v>13</v>
      </c>
      <c r="CP10" s="72">
        <v>16</v>
      </c>
      <c r="CQ10" s="383">
        <f t="shared" si="9"/>
        <v>29</v>
      </c>
      <c r="CR10" s="77">
        <v>0</v>
      </c>
      <c r="CS10" s="78">
        <v>3</v>
      </c>
      <c r="CT10" s="78">
        <v>8</v>
      </c>
      <c r="CU10" s="79">
        <v>1</v>
      </c>
      <c r="CV10" s="333">
        <f>IF(CQ10="","",'Name List'!$I$4)</f>
        <v>5</v>
      </c>
      <c r="CX10" s="98"/>
      <c r="CY10" s="99"/>
      <c r="CZ10" s="329" t="str">
        <f t="shared" si="10"/>
        <v/>
      </c>
      <c r="DA10" s="77"/>
      <c r="DB10" s="78"/>
      <c r="DC10" s="78"/>
      <c r="DD10" s="79"/>
      <c r="DE10" s="333" t="str">
        <f>IF(CZ10="","",'Name List'!$I$4)</f>
        <v/>
      </c>
      <c r="DG10" s="98"/>
      <c r="DH10" s="99"/>
      <c r="DI10" s="329" t="str">
        <f t="shared" si="11"/>
        <v/>
      </c>
      <c r="DJ10" s="77"/>
      <c r="DK10" s="78"/>
      <c r="DL10" s="78"/>
      <c r="DM10" s="79"/>
      <c r="DN10" s="333" t="str">
        <f>IF(DI10="","",'Name List'!$I$4)</f>
        <v/>
      </c>
      <c r="DP10" s="98"/>
      <c r="DQ10" s="99"/>
      <c r="DR10" s="329" t="str">
        <f t="shared" si="12"/>
        <v/>
      </c>
      <c r="DS10" s="77"/>
      <c r="DT10" s="78"/>
      <c r="DU10" s="78"/>
      <c r="DV10" s="79"/>
      <c r="DW10" s="333" t="str">
        <f>IF(DR10="","",'Name List'!$I$4)</f>
        <v/>
      </c>
      <c r="DY10" s="98"/>
      <c r="DZ10" s="99"/>
      <c r="EA10" s="329" t="str">
        <f t="shared" si="13"/>
        <v/>
      </c>
      <c r="EB10" s="77"/>
      <c r="EC10" s="78"/>
      <c r="ED10" s="78"/>
      <c r="EE10" s="79"/>
      <c r="EF10" s="333" t="str">
        <f>IF(EA10="","",'Name List'!$I$4)</f>
        <v/>
      </c>
      <c r="EH10" s="98"/>
      <c r="EI10" s="99"/>
      <c r="EJ10" s="329" t="str">
        <f t="shared" si="14"/>
        <v/>
      </c>
      <c r="EK10" s="77"/>
      <c r="EL10" s="78"/>
      <c r="EM10" s="78"/>
      <c r="EN10" s="79"/>
      <c r="EO10" s="333" t="str">
        <f>IF(EJ10="","",'Name List'!$I$4)</f>
        <v/>
      </c>
      <c r="EQ10" s="115"/>
      <c r="ER10" s="116"/>
      <c r="ES10" s="117"/>
      <c r="ET10" s="77"/>
      <c r="EU10" s="78"/>
      <c r="EV10" s="78"/>
      <c r="EW10" s="79"/>
      <c r="EX10" s="333" t="str">
        <f>IF(ES10="","",'Name List'!$I$4)</f>
        <v/>
      </c>
      <c r="EZ10" s="68"/>
      <c r="FA10" s="69"/>
      <c r="FB10" s="70"/>
      <c r="FC10" s="77"/>
      <c r="FD10" s="78"/>
      <c r="FE10" s="78"/>
      <c r="FF10" s="79"/>
      <c r="FG10" s="67"/>
      <c r="FI10" s="98"/>
      <c r="FJ10" s="99"/>
      <c r="FK10" s="329" t="str">
        <f t="shared" si="16"/>
        <v/>
      </c>
      <c r="FL10" s="77"/>
      <c r="FM10" s="78"/>
      <c r="FN10" s="78"/>
      <c r="FO10" s="79"/>
      <c r="FP10" s="333" t="str">
        <f>IF(FK10="","",'Name List'!$I$4)</f>
        <v/>
      </c>
      <c r="FR10" s="98"/>
      <c r="FS10" s="99"/>
      <c r="FT10" s="329" t="str">
        <f t="shared" si="17"/>
        <v/>
      </c>
      <c r="FU10" s="77"/>
      <c r="FV10" s="78"/>
      <c r="FW10" s="78"/>
      <c r="FX10" s="79"/>
      <c r="FY10" s="333" t="str">
        <f>IF(FT10="","",'Name List'!$I$4)</f>
        <v/>
      </c>
      <c r="GA10" s="98"/>
      <c r="GB10" s="99"/>
      <c r="GC10" s="329" t="str">
        <f t="shared" si="18"/>
        <v/>
      </c>
      <c r="GD10" s="77"/>
      <c r="GE10" s="78"/>
      <c r="GF10" s="78"/>
      <c r="GG10" s="79"/>
      <c r="GH10" s="333" t="str">
        <f>IF(GC10="","",'Name List'!$I$4)</f>
        <v/>
      </c>
      <c r="GJ10" s="98"/>
      <c r="GK10" s="99"/>
      <c r="GL10" s="329" t="str">
        <f t="shared" si="19"/>
        <v/>
      </c>
      <c r="GM10" s="77"/>
      <c r="GN10" s="78"/>
      <c r="GO10" s="78"/>
      <c r="GP10" s="79"/>
      <c r="GQ10" s="333" t="str">
        <f>IF(GL10="","",'Name List'!$I$4)</f>
        <v/>
      </c>
      <c r="GS10" s="68"/>
      <c r="GT10" s="69"/>
      <c r="GU10" s="70"/>
      <c r="GV10" s="77"/>
      <c r="GW10" s="78"/>
      <c r="GX10" s="78"/>
      <c r="GY10" s="79"/>
      <c r="GZ10" s="67"/>
      <c r="HB10" s="98"/>
      <c r="HC10" s="99"/>
      <c r="HD10" s="329" t="str">
        <f t="shared" si="21"/>
        <v/>
      </c>
      <c r="HE10" s="77"/>
      <c r="HF10" s="78"/>
      <c r="HG10" s="78"/>
      <c r="HH10" s="79"/>
      <c r="HI10" s="333" t="str">
        <f>IF(HD10="","",'Name List'!$I$4)</f>
        <v/>
      </c>
      <c r="HK10" s="71"/>
      <c r="HL10" s="72"/>
      <c r="HM10" s="383" t="str">
        <f t="shared" si="22"/>
        <v/>
      </c>
      <c r="HN10" s="77"/>
      <c r="HO10" s="78"/>
      <c r="HP10" s="78"/>
      <c r="HQ10" s="79"/>
      <c r="HR10" s="333" t="str">
        <f>IF(HM10="","",'Name List'!$I$4)</f>
        <v/>
      </c>
      <c r="HT10" s="68"/>
      <c r="HU10" s="69"/>
      <c r="HV10" s="70"/>
      <c r="HW10" s="77"/>
      <c r="HX10" s="78"/>
      <c r="HY10" s="78"/>
      <c r="HZ10" s="79"/>
      <c r="IA10" s="67"/>
      <c r="IC10" s="115"/>
      <c r="ID10" s="116"/>
      <c r="IE10" s="117"/>
      <c r="IF10" s="77"/>
      <c r="IG10" s="78"/>
      <c r="IH10" s="78"/>
      <c r="II10" s="79"/>
      <c r="IJ10" s="333" t="str">
        <f>IF(IE10="","",'Name List'!$I$4)</f>
        <v/>
      </c>
      <c r="IL10" s="98"/>
      <c r="IM10" s="99"/>
      <c r="IN10" s="100"/>
      <c r="IO10" s="77"/>
      <c r="IP10" s="78"/>
      <c r="IQ10" s="78"/>
      <c r="IR10" s="79"/>
      <c r="IS10" s="67"/>
      <c r="IU10" s="98"/>
      <c r="IV10" s="99"/>
      <c r="IW10" s="100"/>
      <c r="IX10" s="77"/>
      <c r="IY10" s="78"/>
      <c r="IZ10" s="78"/>
      <c r="JA10" s="79"/>
      <c r="JB10" s="67"/>
      <c r="JD10" s="98"/>
      <c r="JE10" s="99"/>
      <c r="JF10" s="100"/>
      <c r="JG10" s="77"/>
      <c r="JH10" s="78"/>
      <c r="JI10" s="78"/>
      <c r="JJ10" s="79"/>
      <c r="JK10" s="67"/>
      <c r="JM10" s="98"/>
      <c r="JN10" s="99"/>
      <c r="JO10" s="275"/>
      <c r="JP10" s="77"/>
      <c r="JQ10" s="78"/>
      <c r="JR10" s="78"/>
      <c r="JS10" s="79"/>
      <c r="JT10" s="67"/>
      <c r="JV10" s="98"/>
      <c r="JW10" s="99"/>
      <c r="JX10" s="100"/>
      <c r="JY10" s="77"/>
      <c r="JZ10" s="78"/>
      <c r="KA10" s="78"/>
      <c r="KB10" s="79"/>
      <c r="KC10" s="67"/>
      <c r="KE10" s="98"/>
      <c r="KF10" s="99"/>
      <c r="KG10" s="100"/>
      <c r="KH10" s="77"/>
      <c r="KI10" s="78"/>
      <c r="KJ10" s="78"/>
      <c r="KK10" s="79"/>
      <c r="KL10" s="67"/>
      <c r="KN10" s="68"/>
      <c r="KO10" s="69"/>
      <c r="KP10" s="70"/>
      <c r="KQ10" s="77"/>
      <c r="KR10" s="78"/>
      <c r="KS10" s="78"/>
      <c r="KT10" s="79"/>
      <c r="KU10" s="67"/>
      <c r="KW10" s="98"/>
      <c r="KX10" s="99"/>
      <c r="KY10" s="100"/>
      <c r="KZ10" s="77"/>
      <c r="LA10" s="78"/>
      <c r="LB10" s="78"/>
      <c r="LC10" s="79"/>
      <c r="LD10" s="67"/>
      <c r="LF10" s="71"/>
      <c r="LG10" s="72"/>
      <c r="LH10" s="73"/>
      <c r="LI10" s="77"/>
      <c r="LJ10" s="78"/>
      <c r="LK10" s="78"/>
      <c r="LL10" s="79"/>
      <c r="LM10" s="67"/>
      <c r="LO10" s="98"/>
      <c r="LP10" s="99"/>
      <c r="LQ10" s="329"/>
      <c r="LR10" s="77"/>
      <c r="LS10" s="78"/>
      <c r="LT10" s="78"/>
      <c r="LU10" s="79"/>
      <c r="LV10" s="67"/>
      <c r="LX10" s="98"/>
      <c r="LY10" s="99"/>
      <c r="LZ10" s="100"/>
      <c r="MA10" s="77"/>
      <c r="MB10" s="78"/>
      <c r="MC10" s="78"/>
      <c r="MD10" s="79"/>
      <c r="ME10" s="67"/>
      <c r="MG10" s="98"/>
      <c r="MH10" s="99"/>
      <c r="MI10" s="100"/>
      <c r="MJ10" s="77"/>
      <c r="MK10" s="78"/>
      <c r="ML10" s="78"/>
      <c r="MM10" s="79"/>
      <c r="MN10" s="67"/>
      <c r="MP10" s="98"/>
      <c r="MQ10" s="99"/>
      <c r="MR10" s="100"/>
      <c r="MS10" s="77"/>
      <c r="MT10" s="78"/>
      <c r="MU10" s="78"/>
      <c r="MV10" s="79"/>
      <c r="MW10" s="67"/>
      <c r="MY10" s="98"/>
      <c r="MZ10" s="99"/>
      <c r="NA10" s="100"/>
      <c r="NB10" s="77"/>
      <c r="NC10" s="78"/>
      <c r="ND10" s="78"/>
      <c r="NE10" s="79"/>
      <c r="NF10" s="67"/>
      <c r="NH10" s="98"/>
      <c r="NI10" s="99"/>
      <c r="NJ10" s="329"/>
      <c r="NK10" s="77"/>
      <c r="NL10" s="78"/>
      <c r="NM10" s="78"/>
      <c r="NN10" s="79"/>
      <c r="NO10" s="67"/>
      <c r="NQ10" s="98"/>
      <c r="NR10" s="99"/>
      <c r="NS10" s="100"/>
      <c r="NT10" s="77"/>
      <c r="NU10" s="78"/>
      <c r="NV10" s="78"/>
      <c r="NW10" s="79"/>
      <c r="NX10" s="67"/>
      <c r="NZ10" s="71"/>
      <c r="OA10" s="72"/>
      <c r="OB10" s="73"/>
      <c r="OC10" s="77"/>
      <c r="OD10" s="78"/>
      <c r="OE10" s="78"/>
      <c r="OF10" s="79"/>
      <c r="OG10" s="67"/>
      <c r="OI10" s="98"/>
      <c r="OJ10" s="99"/>
      <c r="OK10" s="329"/>
      <c r="OL10" s="77"/>
      <c r="OM10" s="78"/>
      <c r="ON10" s="78"/>
      <c r="OO10" s="79"/>
      <c r="OP10" s="67"/>
      <c r="OR10" s="71"/>
      <c r="OS10" s="72"/>
      <c r="OT10" s="73"/>
      <c r="OU10" s="77"/>
      <c r="OV10" s="78"/>
      <c r="OW10" s="78"/>
      <c r="OX10" s="79"/>
      <c r="OY10" s="67"/>
      <c r="PA10" s="98"/>
      <c r="PB10" s="99"/>
      <c r="PC10" s="100"/>
      <c r="PD10" s="77"/>
      <c r="PE10" s="78"/>
      <c r="PF10" s="78"/>
      <c r="PG10" s="79"/>
      <c r="PH10" s="67"/>
      <c r="PJ10" s="277"/>
      <c r="PK10" s="278"/>
      <c r="PL10" s="279"/>
      <c r="PM10" s="125"/>
      <c r="PN10" s="126"/>
      <c r="PO10" s="126"/>
      <c r="PP10" s="127"/>
      <c r="PQ10" s="128"/>
      <c r="PS10" s="403"/>
      <c r="PT10" s="404"/>
      <c r="PU10" s="405"/>
      <c r="PV10" s="330"/>
      <c r="PW10" s="331"/>
      <c r="PX10" s="331"/>
      <c r="PY10" s="332"/>
      <c r="PZ10" s="333"/>
      <c r="QB10" s="412"/>
      <c r="QC10" s="413"/>
      <c r="QD10" s="414"/>
      <c r="QE10" s="125"/>
      <c r="QF10" s="126"/>
      <c r="QG10" s="126"/>
      <c r="QH10" s="127"/>
      <c r="QI10" s="128"/>
      <c r="QK10" s="283"/>
      <c r="QL10" s="284"/>
      <c r="QM10" s="285"/>
      <c r="QN10" s="125"/>
      <c r="QO10" s="126"/>
      <c r="QP10" s="126"/>
      <c r="QQ10" s="127"/>
      <c r="QR10" s="128" t="str">
        <f>IF(QM10="","",'Name List'!$I$4)</f>
        <v/>
      </c>
      <c r="QS10" s="91"/>
      <c r="QT10" s="107">
        <f t="shared" si="50"/>
        <v>0</v>
      </c>
      <c r="QU10" s="130">
        <f t="shared" si="51"/>
        <v>5</v>
      </c>
      <c r="QV10" s="130">
        <f t="shared" si="52"/>
        <v>14</v>
      </c>
      <c r="QW10" s="108">
        <f t="shared" si="53"/>
        <v>2</v>
      </c>
      <c r="QY10" s="260">
        <f t="shared" si="54"/>
        <v>2</v>
      </c>
      <c r="RA10" s="141">
        <f t="shared" si="55"/>
        <v>13</v>
      </c>
      <c r="RB10" s="106">
        <f t="shared" si="56"/>
        <v>14</v>
      </c>
      <c r="RC10" s="106">
        <f t="shared" si="57"/>
        <v>27</v>
      </c>
      <c r="RD10" s="106">
        <f t="shared" si="58"/>
        <v>13</v>
      </c>
      <c r="RE10" s="106">
        <f t="shared" si="59"/>
        <v>14</v>
      </c>
      <c r="RF10" s="142">
        <f t="shared" si="60"/>
        <v>27</v>
      </c>
      <c r="RG10" s="106"/>
      <c r="RH10" s="139">
        <f t="shared" si="61"/>
        <v>29</v>
      </c>
      <c r="RI10" s="140">
        <f t="shared" si="62"/>
        <v>29</v>
      </c>
      <c r="RJ10" s="106"/>
      <c r="RK10" s="136">
        <f t="shared" si="63"/>
        <v>28</v>
      </c>
      <c r="RL10" s="106"/>
      <c r="RM10" s="137">
        <f t="shared" si="64"/>
        <v>0</v>
      </c>
      <c r="RN10" s="138">
        <f t="shared" si="65"/>
        <v>0</v>
      </c>
      <c r="RO10" s="106"/>
      <c r="RP10" s="259">
        <f t="shared" si="66"/>
        <v>0</v>
      </c>
    </row>
    <row r="11" spans="1:484" x14ac:dyDescent="0.2">
      <c r="A11" s="89" t="str">
        <f>'Name List'!B11</f>
        <v>Tom Burton</v>
      </c>
      <c r="C11" s="98"/>
      <c r="D11" s="99"/>
      <c r="E11" s="329" t="str">
        <f t="shared" si="0"/>
        <v/>
      </c>
      <c r="F11" s="77"/>
      <c r="G11" s="78"/>
      <c r="H11" s="78"/>
      <c r="I11" s="76"/>
      <c r="J11" s="333" t="str">
        <f>IF(E11="","",'Name List'!$I$4)</f>
        <v/>
      </c>
      <c r="L11" s="98"/>
      <c r="M11" s="99"/>
      <c r="N11" s="100"/>
      <c r="O11" s="77"/>
      <c r="P11" s="78"/>
      <c r="Q11" s="78"/>
      <c r="R11" s="79"/>
      <c r="S11" s="67"/>
      <c r="U11" s="71"/>
      <c r="V11" s="72"/>
      <c r="W11" s="396" t="str">
        <f t="shared" si="2"/>
        <v/>
      </c>
      <c r="X11" s="77"/>
      <c r="Y11" s="78"/>
      <c r="Z11" s="78"/>
      <c r="AA11" s="79"/>
      <c r="AB11" s="333" t="str">
        <f>IF(W11="","",'Name List'!$I$4)</f>
        <v/>
      </c>
      <c r="AD11" s="98"/>
      <c r="AE11" s="99"/>
      <c r="AF11" s="329" t="str">
        <f t="shared" si="3"/>
        <v/>
      </c>
      <c r="AG11" s="77"/>
      <c r="AH11" s="78"/>
      <c r="AI11" s="78"/>
      <c r="AJ11" s="79"/>
      <c r="AK11" s="333" t="str">
        <f>IF(AF11="","",'Name List'!$I$4)</f>
        <v/>
      </c>
      <c r="AM11" s="98"/>
      <c r="AN11" s="99"/>
      <c r="AO11" s="329" t="str">
        <f t="shared" si="4"/>
        <v/>
      </c>
      <c r="AP11" s="77"/>
      <c r="AQ11" s="78"/>
      <c r="AR11" s="78"/>
      <c r="AS11" s="79"/>
      <c r="AT11" s="333" t="str">
        <f>IF(AO11="","",'Name List'!$I$4)</f>
        <v/>
      </c>
      <c r="AV11" s="458">
        <v>15</v>
      </c>
      <c r="AW11" s="401">
        <v>15</v>
      </c>
      <c r="AX11" s="400">
        <f t="shared" si="5"/>
        <v>30</v>
      </c>
      <c r="AY11" s="77">
        <v>0</v>
      </c>
      <c r="AZ11" s="78">
        <v>1</v>
      </c>
      <c r="BA11" s="78">
        <v>10</v>
      </c>
      <c r="BB11" s="79">
        <v>2</v>
      </c>
      <c r="BC11" s="457">
        <f>IF(AX11="","",'Name List'!$I$4)</f>
        <v>5</v>
      </c>
      <c r="BE11" s="71"/>
      <c r="BF11" s="72"/>
      <c r="BG11" s="383" t="str">
        <f t="shared" si="6"/>
        <v/>
      </c>
      <c r="BH11" s="77"/>
      <c r="BI11" s="78"/>
      <c r="BJ11" s="78"/>
      <c r="BK11" s="79"/>
      <c r="BL11" s="333" t="str">
        <f>IF(BG11="","",'Name List'!$I$4)</f>
        <v/>
      </c>
      <c r="BN11" s="98"/>
      <c r="BO11" s="99"/>
      <c r="BP11" s="100"/>
      <c r="BQ11" s="77"/>
      <c r="BR11" s="78"/>
      <c r="BS11" s="78"/>
      <c r="BT11" s="79"/>
      <c r="BU11" s="67"/>
      <c r="BW11" s="98"/>
      <c r="BX11" s="99"/>
      <c r="BY11" s="329" t="str">
        <f t="shared" si="8"/>
        <v/>
      </c>
      <c r="BZ11" s="77"/>
      <c r="CA11" s="78"/>
      <c r="CB11" s="78"/>
      <c r="CC11" s="79"/>
      <c r="CD11" s="333" t="str">
        <f>IF(BY11="","",'Name List'!$I$4)</f>
        <v/>
      </c>
      <c r="CF11" s="68">
        <v>16</v>
      </c>
      <c r="CG11" s="69">
        <v>13</v>
      </c>
      <c r="CH11" s="282">
        <f t="shared" si="49"/>
        <v>29</v>
      </c>
      <c r="CI11" s="77">
        <v>0</v>
      </c>
      <c r="CJ11" s="78">
        <v>1</v>
      </c>
      <c r="CK11" s="78">
        <v>10</v>
      </c>
      <c r="CL11" s="79">
        <v>2</v>
      </c>
      <c r="CM11" s="333">
        <f>IF(CH11="","",'Name List'!$I$4)</f>
        <v>5</v>
      </c>
      <c r="CO11" s="71">
        <v>15</v>
      </c>
      <c r="CP11" s="72">
        <v>18</v>
      </c>
      <c r="CQ11" s="383">
        <f t="shared" si="9"/>
        <v>33</v>
      </c>
      <c r="CR11" s="77">
        <v>0</v>
      </c>
      <c r="CS11" s="78">
        <v>2</v>
      </c>
      <c r="CT11" s="78">
        <v>11</v>
      </c>
      <c r="CU11" s="79">
        <v>2</v>
      </c>
      <c r="CV11" s="333">
        <f>IF(CQ11="","",'Name List'!$I$4)</f>
        <v>5</v>
      </c>
      <c r="CX11" s="98"/>
      <c r="CY11" s="99"/>
      <c r="CZ11" s="329" t="str">
        <f t="shared" si="10"/>
        <v/>
      </c>
      <c r="DA11" s="77"/>
      <c r="DB11" s="78"/>
      <c r="DC11" s="78"/>
      <c r="DD11" s="79"/>
      <c r="DE11" s="333" t="str">
        <f>IF(CZ11="","",'Name List'!$I$4)</f>
        <v/>
      </c>
      <c r="DG11" s="98"/>
      <c r="DH11" s="99"/>
      <c r="DI11" s="329" t="str">
        <f t="shared" si="11"/>
        <v/>
      </c>
      <c r="DJ11" s="77"/>
      <c r="DK11" s="78"/>
      <c r="DL11" s="78"/>
      <c r="DM11" s="79"/>
      <c r="DN11" s="333" t="str">
        <f>IF(DI11="","",'Name List'!$I$4)</f>
        <v/>
      </c>
      <c r="DP11" s="98">
        <v>17</v>
      </c>
      <c r="DQ11" s="99">
        <v>19</v>
      </c>
      <c r="DR11" s="329">
        <f t="shared" si="12"/>
        <v>36</v>
      </c>
      <c r="DS11" s="77">
        <v>0</v>
      </c>
      <c r="DT11" s="78">
        <v>4</v>
      </c>
      <c r="DU11" s="78">
        <v>9</v>
      </c>
      <c r="DV11" s="79">
        <v>1</v>
      </c>
      <c r="DW11" s="333">
        <f>IF(DR11="","",'Name List'!$I$4)</f>
        <v>5</v>
      </c>
      <c r="DY11" s="98"/>
      <c r="DZ11" s="99"/>
      <c r="EA11" s="329" t="str">
        <f t="shared" si="13"/>
        <v/>
      </c>
      <c r="EB11" s="77"/>
      <c r="EC11" s="78"/>
      <c r="ED11" s="78"/>
      <c r="EE11" s="79"/>
      <c r="EF11" s="333" t="str">
        <f>IF(EA11="","",'Name List'!$I$4)</f>
        <v/>
      </c>
      <c r="EH11" s="98"/>
      <c r="EI11" s="99"/>
      <c r="EJ11" s="329" t="str">
        <f t="shared" si="14"/>
        <v/>
      </c>
      <c r="EK11" s="77"/>
      <c r="EL11" s="78"/>
      <c r="EM11" s="78"/>
      <c r="EN11" s="79"/>
      <c r="EO11" s="333" t="str">
        <f>IF(EJ11="","",'Name List'!$I$4)</f>
        <v/>
      </c>
      <c r="EQ11" s="115"/>
      <c r="ER11" s="116"/>
      <c r="ES11" s="117"/>
      <c r="ET11" s="77"/>
      <c r="EU11" s="78"/>
      <c r="EV11" s="78"/>
      <c r="EW11" s="79"/>
      <c r="EX11" s="333" t="str">
        <f>IF(ES11="","",'Name List'!$I$4)</f>
        <v/>
      </c>
      <c r="EZ11" s="68"/>
      <c r="FA11" s="69"/>
      <c r="FB11" s="70"/>
      <c r="FC11" s="77"/>
      <c r="FD11" s="78"/>
      <c r="FE11" s="78"/>
      <c r="FF11" s="79"/>
      <c r="FG11" s="67"/>
      <c r="FI11" s="98"/>
      <c r="FJ11" s="99"/>
      <c r="FK11" s="329" t="str">
        <f t="shared" si="16"/>
        <v/>
      </c>
      <c r="FL11" s="77"/>
      <c r="FM11" s="78"/>
      <c r="FN11" s="78"/>
      <c r="FO11" s="79"/>
      <c r="FP11" s="333" t="str">
        <f>IF(FK11="","",'Name List'!$I$4)</f>
        <v/>
      </c>
      <c r="FR11" s="98"/>
      <c r="FS11" s="99"/>
      <c r="FT11" s="329" t="str">
        <f t="shared" si="17"/>
        <v/>
      </c>
      <c r="FU11" s="77"/>
      <c r="FV11" s="78"/>
      <c r="FW11" s="78"/>
      <c r="FX11" s="79"/>
      <c r="FY11" s="333" t="str">
        <f>IF(FT11="","",'Name List'!$I$4)</f>
        <v/>
      </c>
      <c r="GA11" s="98"/>
      <c r="GB11" s="99"/>
      <c r="GC11" s="329" t="str">
        <f t="shared" si="18"/>
        <v/>
      </c>
      <c r="GD11" s="77"/>
      <c r="GE11" s="78"/>
      <c r="GF11" s="78"/>
      <c r="GG11" s="79"/>
      <c r="GH11" s="333" t="str">
        <f>IF(GC11="","",'Name List'!$I$4)</f>
        <v/>
      </c>
      <c r="GJ11" s="98"/>
      <c r="GK11" s="99"/>
      <c r="GL11" s="329" t="str">
        <f t="shared" si="19"/>
        <v/>
      </c>
      <c r="GM11" s="77"/>
      <c r="GN11" s="78"/>
      <c r="GO11" s="78"/>
      <c r="GP11" s="79"/>
      <c r="GQ11" s="333" t="str">
        <f>IF(GL11="","",'Name List'!$I$4)</f>
        <v/>
      </c>
      <c r="GS11" s="68"/>
      <c r="GT11" s="69"/>
      <c r="GU11" s="70"/>
      <c r="GV11" s="77"/>
      <c r="GW11" s="78"/>
      <c r="GX11" s="78"/>
      <c r="GY11" s="79"/>
      <c r="GZ11" s="67"/>
      <c r="HB11" s="98">
        <v>18</v>
      </c>
      <c r="HC11" s="99">
        <v>15</v>
      </c>
      <c r="HD11" s="329">
        <f t="shared" si="21"/>
        <v>33</v>
      </c>
      <c r="HE11" s="77">
        <v>0</v>
      </c>
      <c r="HF11" s="78">
        <v>2</v>
      </c>
      <c r="HG11" s="78">
        <v>10</v>
      </c>
      <c r="HH11" s="79">
        <v>2</v>
      </c>
      <c r="HI11" s="333">
        <f>IF(HD11="","",'Name List'!$I$4)</f>
        <v>5</v>
      </c>
      <c r="HK11" s="71"/>
      <c r="HL11" s="72"/>
      <c r="HM11" s="383" t="str">
        <f t="shared" si="22"/>
        <v/>
      </c>
      <c r="HN11" s="77"/>
      <c r="HO11" s="78"/>
      <c r="HP11" s="78"/>
      <c r="HQ11" s="79"/>
      <c r="HR11" s="333" t="str">
        <f>IF(HM11="","",'Name List'!$I$4)</f>
        <v/>
      </c>
      <c r="HT11" s="68"/>
      <c r="HU11" s="69"/>
      <c r="HV11" s="70"/>
      <c r="HW11" s="77"/>
      <c r="HX11" s="78"/>
      <c r="HY11" s="78"/>
      <c r="HZ11" s="79"/>
      <c r="IA11" s="67"/>
      <c r="IC11" s="115"/>
      <c r="ID11" s="116"/>
      <c r="IE11" s="117"/>
      <c r="IF11" s="77"/>
      <c r="IG11" s="78"/>
      <c r="IH11" s="78"/>
      <c r="II11" s="79"/>
      <c r="IJ11" s="333" t="str">
        <f>IF(IE11="","",'Name List'!$I$4)</f>
        <v/>
      </c>
      <c r="IL11" s="98"/>
      <c r="IM11" s="99"/>
      <c r="IN11" s="100"/>
      <c r="IO11" s="77"/>
      <c r="IP11" s="78"/>
      <c r="IQ11" s="78"/>
      <c r="IR11" s="79"/>
      <c r="IS11" s="67"/>
      <c r="IU11" s="98"/>
      <c r="IV11" s="99"/>
      <c r="IW11" s="100"/>
      <c r="IX11" s="77"/>
      <c r="IY11" s="78"/>
      <c r="IZ11" s="78"/>
      <c r="JA11" s="79"/>
      <c r="JB11" s="67"/>
      <c r="JD11" s="98"/>
      <c r="JE11" s="99"/>
      <c r="JF11" s="100"/>
      <c r="JG11" s="77"/>
      <c r="JH11" s="78"/>
      <c r="JI11" s="78"/>
      <c r="JJ11" s="79"/>
      <c r="JK11" s="67"/>
      <c r="JM11" s="98"/>
      <c r="JN11" s="99"/>
      <c r="JO11" s="275"/>
      <c r="JP11" s="77"/>
      <c r="JQ11" s="78"/>
      <c r="JR11" s="78"/>
      <c r="JS11" s="79"/>
      <c r="JT11" s="67"/>
      <c r="JV11" s="98"/>
      <c r="JW11" s="99"/>
      <c r="JX11" s="100"/>
      <c r="JY11" s="77"/>
      <c r="JZ11" s="78"/>
      <c r="KA11" s="78"/>
      <c r="KB11" s="79"/>
      <c r="KC11" s="67"/>
      <c r="KE11" s="98"/>
      <c r="KF11" s="99"/>
      <c r="KG11" s="100"/>
      <c r="KH11" s="77"/>
      <c r="KI11" s="78"/>
      <c r="KJ11" s="78"/>
      <c r="KK11" s="79"/>
      <c r="KL11" s="67"/>
      <c r="KN11" s="68"/>
      <c r="KO11" s="69"/>
      <c r="KP11" s="70"/>
      <c r="KQ11" s="77"/>
      <c r="KR11" s="78"/>
      <c r="KS11" s="78"/>
      <c r="KT11" s="79"/>
      <c r="KU11" s="67"/>
      <c r="KW11" s="98"/>
      <c r="KX11" s="99"/>
      <c r="KY11" s="100"/>
      <c r="KZ11" s="77"/>
      <c r="LA11" s="78"/>
      <c r="LB11" s="78"/>
      <c r="LC11" s="79"/>
      <c r="LD11" s="67"/>
      <c r="LF11" s="71"/>
      <c r="LG11" s="72"/>
      <c r="LH11" s="73"/>
      <c r="LI11" s="77"/>
      <c r="LJ11" s="78"/>
      <c r="LK11" s="78"/>
      <c r="LL11" s="79"/>
      <c r="LM11" s="67"/>
      <c r="LO11" s="98"/>
      <c r="LP11" s="99"/>
      <c r="LQ11" s="329"/>
      <c r="LR11" s="77"/>
      <c r="LS11" s="78"/>
      <c r="LT11" s="78"/>
      <c r="LU11" s="79"/>
      <c r="LV11" s="67"/>
      <c r="LX11" s="98"/>
      <c r="LY11" s="99"/>
      <c r="LZ11" s="100"/>
      <c r="MA11" s="77"/>
      <c r="MB11" s="78"/>
      <c r="MC11" s="78"/>
      <c r="MD11" s="79"/>
      <c r="ME11" s="67"/>
      <c r="MG11" s="98"/>
      <c r="MH11" s="99"/>
      <c r="MI11" s="100"/>
      <c r="MJ11" s="77"/>
      <c r="MK11" s="78"/>
      <c r="ML11" s="78"/>
      <c r="MM11" s="79"/>
      <c r="MN11" s="67"/>
      <c r="MP11" s="98"/>
      <c r="MQ11" s="99"/>
      <c r="MR11" s="100"/>
      <c r="MS11" s="77"/>
      <c r="MT11" s="78"/>
      <c r="MU11" s="78"/>
      <c r="MV11" s="79"/>
      <c r="MW11" s="67"/>
      <c r="MY11" s="98"/>
      <c r="MZ11" s="99"/>
      <c r="NA11" s="100"/>
      <c r="NB11" s="77"/>
      <c r="NC11" s="78"/>
      <c r="ND11" s="78"/>
      <c r="NE11" s="79"/>
      <c r="NF11" s="67"/>
      <c r="NH11" s="98"/>
      <c r="NI11" s="99"/>
      <c r="NJ11" s="329"/>
      <c r="NK11" s="77"/>
      <c r="NL11" s="78"/>
      <c r="NM11" s="78"/>
      <c r="NN11" s="79"/>
      <c r="NO11" s="67"/>
      <c r="NQ11" s="98"/>
      <c r="NR11" s="99"/>
      <c r="NS11" s="100"/>
      <c r="NT11" s="77"/>
      <c r="NU11" s="78"/>
      <c r="NV11" s="78"/>
      <c r="NW11" s="79"/>
      <c r="NX11" s="67"/>
      <c r="NZ11" s="71"/>
      <c r="OA11" s="72"/>
      <c r="OB11" s="73"/>
      <c r="OC11" s="77"/>
      <c r="OD11" s="78"/>
      <c r="OE11" s="78"/>
      <c r="OF11" s="79"/>
      <c r="OG11" s="67"/>
      <c r="OI11" s="98"/>
      <c r="OJ11" s="99"/>
      <c r="OK11" s="329"/>
      <c r="OL11" s="77"/>
      <c r="OM11" s="78"/>
      <c r="ON11" s="78"/>
      <c r="OO11" s="79"/>
      <c r="OP11" s="67"/>
      <c r="OR11" s="71"/>
      <c r="OS11" s="72"/>
      <c r="OT11" s="73"/>
      <c r="OU11" s="77"/>
      <c r="OV11" s="78"/>
      <c r="OW11" s="78"/>
      <c r="OX11" s="79"/>
      <c r="OY11" s="67"/>
      <c r="PA11" s="98"/>
      <c r="PB11" s="99"/>
      <c r="PC11" s="100"/>
      <c r="PD11" s="77"/>
      <c r="PE11" s="78"/>
      <c r="PF11" s="78"/>
      <c r="PG11" s="79"/>
      <c r="PH11" s="67"/>
      <c r="PJ11" s="277"/>
      <c r="PK11" s="278"/>
      <c r="PL11" s="279"/>
      <c r="PM11" s="125"/>
      <c r="PN11" s="126"/>
      <c r="PO11" s="126"/>
      <c r="PP11" s="127"/>
      <c r="PQ11" s="128"/>
      <c r="PS11" s="403"/>
      <c r="PT11" s="404"/>
      <c r="PU11" s="405"/>
      <c r="PV11" s="330"/>
      <c r="PW11" s="331"/>
      <c r="PX11" s="331"/>
      <c r="PY11" s="332"/>
      <c r="PZ11" s="333"/>
      <c r="QB11" s="412"/>
      <c r="QC11" s="413"/>
      <c r="QD11" s="414"/>
      <c r="QE11" s="125"/>
      <c r="QF11" s="126"/>
      <c r="QG11" s="126"/>
      <c r="QH11" s="127"/>
      <c r="QI11" s="128"/>
      <c r="QK11" s="283"/>
      <c r="QL11" s="284"/>
      <c r="QM11" s="285"/>
      <c r="QN11" s="125"/>
      <c r="QO11" s="126"/>
      <c r="QP11" s="126"/>
      <c r="QQ11" s="127"/>
      <c r="QR11" s="128" t="str">
        <f>IF(QM11="","",'Name List'!$I$4)</f>
        <v/>
      </c>
      <c r="QS11" s="91"/>
      <c r="QT11" s="107">
        <f t="shared" si="50"/>
        <v>0</v>
      </c>
      <c r="QU11" s="130">
        <f t="shared" si="51"/>
        <v>10</v>
      </c>
      <c r="QV11" s="130">
        <f t="shared" si="52"/>
        <v>50</v>
      </c>
      <c r="QW11" s="108">
        <f t="shared" si="53"/>
        <v>9</v>
      </c>
      <c r="QY11" s="260">
        <f t="shared" si="54"/>
        <v>5</v>
      </c>
      <c r="RA11" s="141">
        <f t="shared" si="55"/>
        <v>17</v>
      </c>
      <c r="RB11" s="106">
        <f t="shared" si="56"/>
        <v>19</v>
      </c>
      <c r="RC11" s="106">
        <f t="shared" si="57"/>
        <v>36</v>
      </c>
      <c r="RD11" s="106">
        <f t="shared" si="58"/>
        <v>15</v>
      </c>
      <c r="RE11" s="106">
        <f t="shared" si="59"/>
        <v>13</v>
      </c>
      <c r="RF11" s="142">
        <f t="shared" si="60"/>
        <v>29</v>
      </c>
      <c r="RG11" s="106"/>
      <c r="RH11" s="139">
        <f t="shared" si="61"/>
        <v>33</v>
      </c>
      <c r="RI11" s="140">
        <f t="shared" si="62"/>
        <v>33</v>
      </c>
      <c r="RJ11" s="106"/>
      <c r="RK11" s="136">
        <f t="shared" si="63"/>
        <v>32.200000000000003</v>
      </c>
      <c r="RL11" s="106"/>
      <c r="RM11" s="137">
        <f t="shared" si="64"/>
        <v>0</v>
      </c>
      <c r="RN11" s="138">
        <f t="shared" si="65"/>
        <v>0</v>
      </c>
      <c r="RO11" s="106"/>
      <c r="RP11" s="259">
        <f t="shared" si="66"/>
        <v>0</v>
      </c>
    </row>
    <row r="12" spans="1:484" x14ac:dyDescent="0.2">
      <c r="A12" s="89" t="str">
        <f>'Name List'!B12</f>
        <v>Mike Chubb</v>
      </c>
      <c r="C12" s="98"/>
      <c r="D12" s="99"/>
      <c r="E12" s="329" t="str">
        <f t="shared" si="0"/>
        <v/>
      </c>
      <c r="F12" s="77"/>
      <c r="G12" s="78"/>
      <c r="H12" s="78"/>
      <c r="I12" s="76"/>
      <c r="J12" s="333" t="str">
        <f>IF(E12="","",'Name List'!$I$4)</f>
        <v/>
      </c>
      <c r="L12" s="98"/>
      <c r="M12" s="99"/>
      <c r="N12" s="100"/>
      <c r="O12" s="77"/>
      <c r="P12" s="78"/>
      <c r="Q12" s="78"/>
      <c r="R12" s="79"/>
      <c r="S12" s="67"/>
      <c r="U12" s="71"/>
      <c r="V12" s="72"/>
      <c r="W12" s="396" t="str">
        <f t="shared" si="2"/>
        <v/>
      </c>
      <c r="X12" s="77"/>
      <c r="Y12" s="78"/>
      <c r="Z12" s="78"/>
      <c r="AA12" s="79"/>
      <c r="AB12" s="333" t="str">
        <f>IF(W12="","",'Name List'!$I$4)</f>
        <v/>
      </c>
      <c r="AD12" s="98"/>
      <c r="AE12" s="99"/>
      <c r="AF12" s="329" t="str">
        <f t="shared" si="3"/>
        <v/>
      </c>
      <c r="AG12" s="77"/>
      <c r="AH12" s="78"/>
      <c r="AI12" s="78"/>
      <c r="AJ12" s="79"/>
      <c r="AK12" s="333" t="str">
        <f>IF(AF12="","",'Name List'!$I$4)</f>
        <v/>
      </c>
      <c r="AM12" s="98"/>
      <c r="AN12" s="99"/>
      <c r="AO12" s="329" t="str">
        <f t="shared" si="4"/>
        <v/>
      </c>
      <c r="AP12" s="77"/>
      <c r="AQ12" s="78"/>
      <c r="AR12" s="78"/>
      <c r="AS12" s="79"/>
      <c r="AT12" s="333" t="str">
        <f>IF(AO12="","",'Name List'!$I$4)</f>
        <v/>
      </c>
      <c r="AV12" s="458"/>
      <c r="AW12" s="401"/>
      <c r="AX12" s="400" t="str">
        <f t="shared" si="5"/>
        <v/>
      </c>
      <c r="AY12" s="77"/>
      <c r="AZ12" s="78"/>
      <c r="BA12" s="78"/>
      <c r="BB12" s="79"/>
      <c r="BC12" s="457" t="str">
        <f>IF(AX12="","",'Name List'!$I$4)</f>
        <v/>
      </c>
      <c r="BE12" s="71"/>
      <c r="BF12" s="72"/>
      <c r="BG12" s="383" t="str">
        <f t="shared" si="6"/>
        <v/>
      </c>
      <c r="BH12" s="77"/>
      <c r="BI12" s="78"/>
      <c r="BJ12" s="78"/>
      <c r="BK12" s="79"/>
      <c r="BL12" s="333" t="str">
        <f>IF(BG12="","",'Name List'!$I$4)</f>
        <v/>
      </c>
      <c r="BN12" s="98"/>
      <c r="BO12" s="99"/>
      <c r="BP12" s="100"/>
      <c r="BQ12" s="77"/>
      <c r="BR12" s="78"/>
      <c r="BS12" s="78"/>
      <c r="BT12" s="79"/>
      <c r="BU12" s="67"/>
      <c r="BW12" s="98"/>
      <c r="BX12" s="99"/>
      <c r="BY12" s="329" t="str">
        <f t="shared" si="8"/>
        <v/>
      </c>
      <c r="BZ12" s="77"/>
      <c r="CA12" s="78"/>
      <c r="CB12" s="78"/>
      <c r="CC12" s="79"/>
      <c r="CD12" s="333" t="str">
        <f>IF(BY12="","",'Name List'!$I$4)</f>
        <v/>
      </c>
      <c r="CF12" s="68"/>
      <c r="CG12" s="69"/>
      <c r="CH12" s="282" t="str">
        <f t="shared" si="49"/>
        <v/>
      </c>
      <c r="CI12" s="77"/>
      <c r="CJ12" s="78"/>
      <c r="CK12" s="78"/>
      <c r="CL12" s="79"/>
      <c r="CM12" s="333" t="str">
        <f>IF(CH12="","",'Name List'!$I$4)</f>
        <v/>
      </c>
      <c r="CO12" s="71"/>
      <c r="CP12" s="72"/>
      <c r="CQ12" s="383" t="str">
        <f t="shared" si="9"/>
        <v/>
      </c>
      <c r="CR12" s="77"/>
      <c r="CS12" s="78"/>
      <c r="CT12" s="78"/>
      <c r="CU12" s="79"/>
      <c r="CV12" s="333" t="str">
        <f>IF(CQ12="","",'Name List'!$I$4)</f>
        <v/>
      </c>
      <c r="CX12" s="98"/>
      <c r="CY12" s="99"/>
      <c r="CZ12" s="329" t="str">
        <f t="shared" si="10"/>
        <v/>
      </c>
      <c r="DA12" s="77"/>
      <c r="DB12" s="78"/>
      <c r="DC12" s="78"/>
      <c r="DD12" s="79"/>
      <c r="DE12" s="333" t="str">
        <f>IF(CZ12="","",'Name List'!$I$4)</f>
        <v/>
      </c>
      <c r="DG12" s="98"/>
      <c r="DH12" s="99"/>
      <c r="DI12" s="329" t="str">
        <f t="shared" si="11"/>
        <v/>
      </c>
      <c r="DJ12" s="77"/>
      <c r="DK12" s="78"/>
      <c r="DL12" s="78"/>
      <c r="DM12" s="79"/>
      <c r="DN12" s="333" t="str">
        <f>IF(DI12="","",'Name List'!$I$4)</f>
        <v/>
      </c>
      <c r="DP12" s="98"/>
      <c r="DQ12" s="99"/>
      <c r="DR12" s="329" t="str">
        <f t="shared" si="12"/>
        <v/>
      </c>
      <c r="DS12" s="77"/>
      <c r="DT12" s="78"/>
      <c r="DU12" s="78"/>
      <c r="DV12" s="79"/>
      <c r="DW12" s="333" t="str">
        <f>IF(DR12="","",'Name List'!$I$4)</f>
        <v/>
      </c>
      <c r="DY12" s="98"/>
      <c r="DZ12" s="99"/>
      <c r="EA12" s="329" t="str">
        <f t="shared" si="13"/>
        <v/>
      </c>
      <c r="EB12" s="77"/>
      <c r="EC12" s="78"/>
      <c r="ED12" s="78"/>
      <c r="EE12" s="79"/>
      <c r="EF12" s="333" t="str">
        <f>IF(EA12="","",'Name List'!$I$4)</f>
        <v/>
      </c>
      <c r="EH12" s="98"/>
      <c r="EI12" s="99"/>
      <c r="EJ12" s="329" t="str">
        <f t="shared" si="14"/>
        <v/>
      </c>
      <c r="EK12" s="77"/>
      <c r="EL12" s="78"/>
      <c r="EM12" s="78"/>
      <c r="EN12" s="79"/>
      <c r="EO12" s="333" t="str">
        <f>IF(EJ12="","",'Name List'!$I$4)</f>
        <v/>
      </c>
      <c r="EQ12" s="115"/>
      <c r="ER12" s="116"/>
      <c r="ES12" s="117"/>
      <c r="ET12" s="77"/>
      <c r="EU12" s="78"/>
      <c r="EV12" s="78"/>
      <c r="EW12" s="79"/>
      <c r="EX12" s="333" t="str">
        <f>IF(ES12="","",'Name List'!$I$4)</f>
        <v/>
      </c>
      <c r="EZ12" s="68"/>
      <c r="FA12" s="69"/>
      <c r="FB12" s="70"/>
      <c r="FC12" s="77"/>
      <c r="FD12" s="78"/>
      <c r="FE12" s="78"/>
      <c r="FF12" s="79"/>
      <c r="FG12" s="67"/>
      <c r="FI12" s="98">
        <v>17</v>
      </c>
      <c r="FJ12" s="99">
        <v>17</v>
      </c>
      <c r="FK12" s="329">
        <f t="shared" si="16"/>
        <v>34</v>
      </c>
      <c r="FL12" s="77">
        <v>0</v>
      </c>
      <c r="FM12" s="78">
        <v>0</v>
      </c>
      <c r="FN12" s="78">
        <v>3</v>
      </c>
      <c r="FO12" s="79">
        <v>2</v>
      </c>
      <c r="FP12" s="333">
        <f>IF(FK12="","",'Name List'!$I$4)</f>
        <v>5</v>
      </c>
      <c r="FR12" s="98"/>
      <c r="FS12" s="99"/>
      <c r="FT12" s="329" t="str">
        <f t="shared" si="17"/>
        <v/>
      </c>
      <c r="FU12" s="77"/>
      <c r="FV12" s="78"/>
      <c r="FW12" s="78"/>
      <c r="FX12" s="79"/>
      <c r="FY12" s="333" t="str">
        <f>IF(FT12="","",'Name List'!$I$4)</f>
        <v/>
      </c>
      <c r="GA12" s="98"/>
      <c r="GB12" s="99"/>
      <c r="GC12" s="329" t="str">
        <f t="shared" si="18"/>
        <v/>
      </c>
      <c r="GD12" s="77"/>
      <c r="GE12" s="78"/>
      <c r="GF12" s="78"/>
      <c r="GG12" s="79"/>
      <c r="GH12" s="333" t="str">
        <f>IF(GC12="","",'Name List'!$I$4)</f>
        <v/>
      </c>
      <c r="GJ12" s="98"/>
      <c r="GK12" s="99"/>
      <c r="GL12" s="329" t="str">
        <f t="shared" si="19"/>
        <v/>
      </c>
      <c r="GM12" s="77"/>
      <c r="GN12" s="78"/>
      <c r="GO12" s="78"/>
      <c r="GP12" s="79"/>
      <c r="GQ12" s="333" t="str">
        <f>IF(GL12="","",'Name List'!$I$4)</f>
        <v/>
      </c>
      <c r="GS12" s="68"/>
      <c r="GT12" s="69"/>
      <c r="GU12" s="70"/>
      <c r="GV12" s="77"/>
      <c r="GW12" s="78"/>
      <c r="GX12" s="78"/>
      <c r="GY12" s="79"/>
      <c r="GZ12" s="67"/>
      <c r="HB12" s="98"/>
      <c r="HC12" s="99"/>
      <c r="HD12" s="329" t="str">
        <f t="shared" si="21"/>
        <v/>
      </c>
      <c r="HE12" s="77"/>
      <c r="HF12" s="78"/>
      <c r="HG12" s="78"/>
      <c r="HH12" s="79"/>
      <c r="HI12" s="333" t="str">
        <f>IF(HD12="","",'Name List'!$I$4)</f>
        <v/>
      </c>
      <c r="HK12" s="71"/>
      <c r="HL12" s="72"/>
      <c r="HM12" s="383" t="str">
        <f t="shared" si="22"/>
        <v/>
      </c>
      <c r="HN12" s="77"/>
      <c r="HO12" s="78"/>
      <c r="HP12" s="78"/>
      <c r="HQ12" s="79"/>
      <c r="HR12" s="333" t="str">
        <f>IF(HM12="","",'Name List'!$I$4)</f>
        <v/>
      </c>
      <c r="HT12" s="68"/>
      <c r="HU12" s="69"/>
      <c r="HV12" s="70"/>
      <c r="HW12" s="77"/>
      <c r="HX12" s="78"/>
      <c r="HY12" s="78"/>
      <c r="HZ12" s="79"/>
      <c r="IA12" s="67"/>
      <c r="IC12" s="115"/>
      <c r="ID12" s="116"/>
      <c r="IE12" s="117"/>
      <c r="IF12" s="77"/>
      <c r="IG12" s="78"/>
      <c r="IH12" s="78"/>
      <c r="II12" s="79"/>
      <c r="IJ12" s="333" t="str">
        <f>IF(IE12="","",'Name List'!$I$4)</f>
        <v/>
      </c>
      <c r="IL12" s="98"/>
      <c r="IM12" s="99"/>
      <c r="IN12" s="100"/>
      <c r="IO12" s="77"/>
      <c r="IP12" s="78"/>
      <c r="IQ12" s="78"/>
      <c r="IR12" s="79"/>
      <c r="IS12" s="67"/>
      <c r="IU12" s="98"/>
      <c r="IV12" s="99"/>
      <c r="IW12" s="100"/>
      <c r="IX12" s="77"/>
      <c r="IY12" s="78"/>
      <c r="IZ12" s="78"/>
      <c r="JA12" s="79"/>
      <c r="JB12" s="67"/>
      <c r="JD12" s="98"/>
      <c r="JE12" s="99"/>
      <c r="JF12" s="100"/>
      <c r="JG12" s="77"/>
      <c r="JH12" s="78"/>
      <c r="JI12" s="78"/>
      <c r="JJ12" s="79"/>
      <c r="JK12" s="67"/>
      <c r="JM12" s="98"/>
      <c r="JN12" s="99"/>
      <c r="JO12" s="275"/>
      <c r="JP12" s="77"/>
      <c r="JQ12" s="78"/>
      <c r="JR12" s="78"/>
      <c r="JS12" s="79"/>
      <c r="JT12" s="67"/>
      <c r="JV12" s="98"/>
      <c r="JW12" s="99"/>
      <c r="JX12" s="100"/>
      <c r="JY12" s="77"/>
      <c r="JZ12" s="78"/>
      <c r="KA12" s="78"/>
      <c r="KB12" s="79"/>
      <c r="KC12" s="67"/>
      <c r="KE12" s="98"/>
      <c r="KF12" s="99"/>
      <c r="KG12" s="100"/>
      <c r="KH12" s="77"/>
      <c r="KI12" s="78"/>
      <c r="KJ12" s="78"/>
      <c r="KK12" s="79"/>
      <c r="KL12" s="67"/>
      <c r="KN12" s="68"/>
      <c r="KO12" s="69"/>
      <c r="KP12" s="70"/>
      <c r="KQ12" s="77"/>
      <c r="KR12" s="78"/>
      <c r="KS12" s="78"/>
      <c r="KT12" s="79"/>
      <c r="KU12" s="67"/>
      <c r="KW12" s="98"/>
      <c r="KX12" s="99"/>
      <c r="KY12" s="100"/>
      <c r="KZ12" s="77"/>
      <c r="LA12" s="78"/>
      <c r="LB12" s="78"/>
      <c r="LC12" s="79"/>
      <c r="LD12" s="67"/>
      <c r="LF12" s="71"/>
      <c r="LG12" s="72"/>
      <c r="LH12" s="73"/>
      <c r="LI12" s="77"/>
      <c r="LJ12" s="78"/>
      <c r="LK12" s="78"/>
      <c r="LL12" s="79"/>
      <c r="LM12" s="67"/>
      <c r="LO12" s="98"/>
      <c r="LP12" s="99"/>
      <c r="LQ12" s="329"/>
      <c r="LR12" s="77"/>
      <c r="LS12" s="78"/>
      <c r="LT12" s="78"/>
      <c r="LU12" s="79"/>
      <c r="LV12" s="67"/>
      <c r="LX12" s="98"/>
      <c r="LY12" s="99"/>
      <c r="LZ12" s="100"/>
      <c r="MA12" s="77"/>
      <c r="MB12" s="78"/>
      <c r="MC12" s="78"/>
      <c r="MD12" s="79"/>
      <c r="ME12" s="67"/>
      <c r="MG12" s="98"/>
      <c r="MH12" s="99"/>
      <c r="MI12" s="100"/>
      <c r="MJ12" s="77"/>
      <c r="MK12" s="78"/>
      <c r="ML12" s="78"/>
      <c r="MM12" s="79"/>
      <c r="MN12" s="67"/>
      <c r="MP12" s="98"/>
      <c r="MQ12" s="99"/>
      <c r="MR12" s="100"/>
      <c r="MS12" s="77"/>
      <c r="MT12" s="78"/>
      <c r="MU12" s="78"/>
      <c r="MV12" s="79"/>
      <c r="MW12" s="67"/>
      <c r="MY12" s="98"/>
      <c r="MZ12" s="99"/>
      <c r="NA12" s="100"/>
      <c r="NB12" s="77"/>
      <c r="NC12" s="78"/>
      <c r="ND12" s="78"/>
      <c r="NE12" s="79"/>
      <c r="NF12" s="67"/>
      <c r="NH12" s="98"/>
      <c r="NI12" s="99"/>
      <c r="NJ12" s="329"/>
      <c r="NK12" s="77"/>
      <c r="NL12" s="78"/>
      <c r="NM12" s="78"/>
      <c r="NN12" s="79"/>
      <c r="NO12" s="67"/>
      <c r="NQ12" s="98"/>
      <c r="NR12" s="99"/>
      <c r="NS12" s="100"/>
      <c r="NT12" s="77"/>
      <c r="NU12" s="78"/>
      <c r="NV12" s="78"/>
      <c r="NW12" s="79"/>
      <c r="NX12" s="67"/>
      <c r="NZ12" s="71"/>
      <c r="OA12" s="72"/>
      <c r="OB12" s="73"/>
      <c r="OC12" s="77"/>
      <c r="OD12" s="78"/>
      <c r="OE12" s="78"/>
      <c r="OF12" s="79"/>
      <c r="OG12" s="67"/>
      <c r="OI12" s="98"/>
      <c r="OJ12" s="99"/>
      <c r="OK12" s="329"/>
      <c r="OL12" s="77"/>
      <c r="OM12" s="78"/>
      <c r="ON12" s="78"/>
      <c r="OO12" s="79"/>
      <c r="OP12" s="67"/>
      <c r="OR12" s="71"/>
      <c r="OS12" s="72"/>
      <c r="OT12" s="73"/>
      <c r="OU12" s="77"/>
      <c r="OV12" s="78"/>
      <c r="OW12" s="78"/>
      <c r="OX12" s="79"/>
      <c r="OY12" s="67"/>
      <c r="PA12" s="98"/>
      <c r="PB12" s="99"/>
      <c r="PC12" s="100"/>
      <c r="PD12" s="77"/>
      <c r="PE12" s="78"/>
      <c r="PF12" s="78"/>
      <c r="PG12" s="79"/>
      <c r="PH12" s="67"/>
      <c r="PJ12" s="277"/>
      <c r="PK12" s="278"/>
      <c r="PL12" s="279"/>
      <c r="PM12" s="125"/>
      <c r="PN12" s="126"/>
      <c r="PO12" s="126"/>
      <c r="PP12" s="127"/>
      <c r="PQ12" s="128"/>
      <c r="PS12" s="403"/>
      <c r="PT12" s="404"/>
      <c r="PU12" s="405"/>
      <c r="PV12" s="330"/>
      <c r="PW12" s="331"/>
      <c r="PX12" s="331"/>
      <c r="PY12" s="332"/>
      <c r="PZ12" s="333"/>
      <c r="QB12" s="412"/>
      <c r="QC12" s="413"/>
      <c r="QD12" s="414"/>
      <c r="QE12" s="125"/>
      <c r="QF12" s="126"/>
      <c r="QG12" s="126"/>
      <c r="QH12" s="127"/>
      <c r="QI12" s="128"/>
      <c r="QK12" s="283"/>
      <c r="QL12" s="284"/>
      <c r="QM12" s="285"/>
      <c r="QN12" s="125"/>
      <c r="QO12" s="126"/>
      <c r="QP12" s="126"/>
      <c r="QQ12" s="127"/>
      <c r="QR12" s="128" t="str">
        <f>IF(QM12="","",'Name List'!$I$4)</f>
        <v/>
      </c>
      <c r="QS12" s="91"/>
      <c r="QT12" s="107">
        <f t="shared" si="50"/>
        <v>0</v>
      </c>
      <c r="QU12" s="130">
        <f t="shared" si="51"/>
        <v>0</v>
      </c>
      <c r="QV12" s="130">
        <f t="shared" si="52"/>
        <v>3</v>
      </c>
      <c r="QW12" s="108">
        <f t="shared" si="53"/>
        <v>2</v>
      </c>
      <c r="QY12" s="260">
        <f t="shared" si="54"/>
        <v>1</v>
      </c>
      <c r="RA12" s="141">
        <f t="shared" si="55"/>
        <v>17</v>
      </c>
      <c r="RB12" s="106">
        <f t="shared" si="56"/>
        <v>17</v>
      </c>
      <c r="RC12" s="106">
        <f t="shared" si="57"/>
        <v>34</v>
      </c>
      <c r="RD12" s="106">
        <f t="shared" si="58"/>
        <v>17</v>
      </c>
      <c r="RE12" s="106">
        <f t="shared" si="59"/>
        <v>17</v>
      </c>
      <c r="RF12" s="142">
        <f t="shared" si="60"/>
        <v>34</v>
      </c>
      <c r="RG12" s="106"/>
      <c r="RH12" s="139">
        <f t="shared" si="61"/>
        <v>0</v>
      </c>
      <c r="RI12" s="140">
        <f t="shared" si="62"/>
        <v>0</v>
      </c>
      <c r="RJ12" s="106"/>
      <c r="RK12" s="136">
        <f t="shared" si="63"/>
        <v>34</v>
      </c>
      <c r="RL12" s="106"/>
      <c r="RM12" s="137">
        <f t="shared" si="64"/>
        <v>0</v>
      </c>
      <c r="RN12" s="138">
        <f t="shared" si="65"/>
        <v>0</v>
      </c>
      <c r="RO12" s="106"/>
      <c r="RP12" s="259">
        <f t="shared" si="66"/>
        <v>0</v>
      </c>
    </row>
    <row r="13" spans="1:484" x14ac:dyDescent="0.2">
      <c r="A13" s="89" t="str">
        <f>'Name List'!B13</f>
        <v>George Clarke</v>
      </c>
      <c r="C13" s="98"/>
      <c r="D13" s="99"/>
      <c r="E13" s="329" t="str">
        <f t="shared" si="0"/>
        <v/>
      </c>
      <c r="F13" s="77"/>
      <c r="G13" s="78"/>
      <c r="H13" s="78"/>
      <c r="I13" s="76"/>
      <c r="J13" s="333" t="str">
        <f>IF(E13="","",'Name List'!$I$4)</f>
        <v/>
      </c>
      <c r="L13" s="98"/>
      <c r="M13" s="99"/>
      <c r="N13" s="100"/>
      <c r="O13" s="77"/>
      <c r="P13" s="78"/>
      <c r="Q13" s="78"/>
      <c r="R13" s="79"/>
      <c r="S13" s="67"/>
      <c r="U13" s="71"/>
      <c r="V13" s="72"/>
      <c r="W13" s="396" t="str">
        <f t="shared" si="2"/>
        <v/>
      </c>
      <c r="X13" s="77"/>
      <c r="Y13" s="78"/>
      <c r="Z13" s="78"/>
      <c r="AA13" s="79"/>
      <c r="AB13" s="333" t="str">
        <f>IF(W13="","",'Name List'!$I$4)</f>
        <v/>
      </c>
      <c r="AD13" s="98"/>
      <c r="AE13" s="99"/>
      <c r="AF13" s="329" t="str">
        <f t="shared" si="3"/>
        <v/>
      </c>
      <c r="AG13" s="77"/>
      <c r="AH13" s="78"/>
      <c r="AI13" s="78"/>
      <c r="AJ13" s="79"/>
      <c r="AK13" s="333" t="str">
        <f>IF(AF13="","",'Name List'!$I$4)</f>
        <v/>
      </c>
      <c r="AM13" s="98"/>
      <c r="AN13" s="99"/>
      <c r="AO13" s="329" t="str">
        <f t="shared" si="4"/>
        <v/>
      </c>
      <c r="AP13" s="77"/>
      <c r="AQ13" s="78"/>
      <c r="AR13" s="78"/>
      <c r="AS13" s="79"/>
      <c r="AT13" s="333" t="str">
        <f>IF(AO13="","",'Name List'!$I$4)</f>
        <v/>
      </c>
      <c r="AV13" s="458"/>
      <c r="AW13" s="401"/>
      <c r="AX13" s="400" t="str">
        <f t="shared" si="5"/>
        <v/>
      </c>
      <c r="AY13" s="77"/>
      <c r="AZ13" s="78"/>
      <c r="BA13" s="78"/>
      <c r="BB13" s="79"/>
      <c r="BC13" s="457" t="str">
        <f>IF(AX13="","",'Name List'!$I$4)</f>
        <v/>
      </c>
      <c r="BE13" s="71"/>
      <c r="BF13" s="72"/>
      <c r="BG13" s="383" t="str">
        <f t="shared" si="6"/>
        <v/>
      </c>
      <c r="BH13" s="77"/>
      <c r="BI13" s="78"/>
      <c r="BJ13" s="78"/>
      <c r="BK13" s="79"/>
      <c r="BL13" s="333" t="str">
        <f>IF(BG13="","",'Name List'!$I$4)</f>
        <v/>
      </c>
      <c r="BN13" s="98"/>
      <c r="BO13" s="99"/>
      <c r="BP13" s="100"/>
      <c r="BQ13" s="77"/>
      <c r="BR13" s="78"/>
      <c r="BS13" s="78"/>
      <c r="BT13" s="79"/>
      <c r="BU13" s="67"/>
      <c r="BW13" s="98"/>
      <c r="BX13" s="99"/>
      <c r="BY13" s="329" t="str">
        <f t="shared" si="8"/>
        <v/>
      </c>
      <c r="BZ13" s="77"/>
      <c r="CA13" s="78"/>
      <c r="CB13" s="78"/>
      <c r="CC13" s="79"/>
      <c r="CD13" s="333" t="str">
        <f>IF(BY13="","",'Name List'!$I$4)</f>
        <v/>
      </c>
      <c r="CF13" s="68"/>
      <c r="CG13" s="69"/>
      <c r="CH13" s="282" t="str">
        <f t="shared" si="49"/>
        <v/>
      </c>
      <c r="CI13" s="77"/>
      <c r="CJ13" s="78"/>
      <c r="CK13" s="78"/>
      <c r="CL13" s="79"/>
      <c r="CM13" s="333" t="str">
        <f>IF(CH13="","",'Name List'!$I$4)</f>
        <v/>
      </c>
      <c r="CO13" s="71"/>
      <c r="CP13" s="72"/>
      <c r="CQ13" s="383" t="str">
        <f t="shared" si="9"/>
        <v/>
      </c>
      <c r="CR13" s="77"/>
      <c r="CS13" s="78"/>
      <c r="CT13" s="78"/>
      <c r="CU13" s="79"/>
      <c r="CV13" s="333" t="str">
        <f>IF(CQ13="","",'Name List'!$I$4)</f>
        <v/>
      </c>
      <c r="CX13" s="98"/>
      <c r="CY13" s="99"/>
      <c r="CZ13" s="329" t="str">
        <f t="shared" si="10"/>
        <v/>
      </c>
      <c r="DA13" s="77"/>
      <c r="DB13" s="78"/>
      <c r="DC13" s="78"/>
      <c r="DD13" s="79"/>
      <c r="DE13" s="333" t="str">
        <f>IF(CZ13="","",'Name List'!$I$4)</f>
        <v/>
      </c>
      <c r="DG13" s="98"/>
      <c r="DH13" s="99"/>
      <c r="DI13" s="329" t="str">
        <f t="shared" si="11"/>
        <v/>
      </c>
      <c r="DJ13" s="77"/>
      <c r="DK13" s="78"/>
      <c r="DL13" s="78"/>
      <c r="DM13" s="79"/>
      <c r="DN13" s="333" t="str">
        <f>IF(DI13="","",'Name List'!$I$4)</f>
        <v/>
      </c>
      <c r="DP13" s="98">
        <v>17</v>
      </c>
      <c r="DQ13" s="99">
        <v>18</v>
      </c>
      <c r="DR13" s="329">
        <f t="shared" si="12"/>
        <v>35</v>
      </c>
      <c r="DS13" s="77">
        <v>0</v>
      </c>
      <c r="DT13" s="78">
        <v>1</v>
      </c>
      <c r="DU13" s="78">
        <v>7</v>
      </c>
      <c r="DV13" s="79">
        <v>1</v>
      </c>
      <c r="DW13" s="333">
        <f>IF(DR13="","",'Name List'!$I$4)</f>
        <v>5</v>
      </c>
      <c r="DY13" s="98"/>
      <c r="DZ13" s="99"/>
      <c r="EA13" s="329" t="str">
        <f t="shared" si="13"/>
        <v/>
      </c>
      <c r="EB13" s="77"/>
      <c r="EC13" s="78"/>
      <c r="ED13" s="78"/>
      <c r="EE13" s="79"/>
      <c r="EF13" s="333" t="str">
        <f>IF(EA13="","",'Name List'!$I$4)</f>
        <v/>
      </c>
      <c r="EH13" s="98"/>
      <c r="EI13" s="99"/>
      <c r="EJ13" s="329" t="str">
        <f t="shared" si="14"/>
        <v/>
      </c>
      <c r="EK13" s="77"/>
      <c r="EL13" s="78"/>
      <c r="EM13" s="78"/>
      <c r="EN13" s="79"/>
      <c r="EO13" s="333" t="str">
        <f>IF(EJ13="","",'Name List'!$I$4)</f>
        <v/>
      </c>
      <c r="EQ13" s="115"/>
      <c r="ER13" s="116"/>
      <c r="ES13" s="117"/>
      <c r="ET13" s="77"/>
      <c r="EU13" s="78"/>
      <c r="EV13" s="78"/>
      <c r="EW13" s="79"/>
      <c r="EX13" s="333" t="str">
        <f>IF(ES13="","",'Name List'!$I$4)</f>
        <v/>
      </c>
      <c r="EZ13" s="68"/>
      <c r="FA13" s="69"/>
      <c r="FB13" s="70"/>
      <c r="FC13" s="77"/>
      <c r="FD13" s="78"/>
      <c r="FE13" s="78"/>
      <c r="FF13" s="79"/>
      <c r="FG13" s="67"/>
      <c r="FI13" s="98"/>
      <c r="FJ13" s="99"/>
      <c r="FK13" s="329" t="str">
        <f t="shared" si="16"/>
        <v/>
      </c>
      <c r="FL13" s="77"/>
      <c r="FM13" s="78"/>
      <c r="FN13" s="78"/>
      <c r="FO13" s="79"/>
      <c r="FP13" s="333" t="str">
        <f>IF(FK13="","",'Name List'!$I$4)</f>
        <v/>
      </c>
      <c r="FR13" s="98"/>
      <c r="FS13" s="99"/>
      <c r="FT13" s="329" t="str">
        <f t="shared" si="17"/>
        <v/>
      </c>
      <c r="FU13" s="77"/>
      <c r="FV13" s="78"/>
      <c r="FW13" s="78"/>
      <c r="FX13" s="79"/>
      <c r="FY13" s="333" t="str">
        <f>IF(FT13="","",'Name List'!$I$4)</f>
        <v/>
      </c>
      <c r="GA13" s="98"/>
      <c r="GB13" s="99"/>
      <c r="GC13" s="329" t="str">
        <f t="shared" si="18"/>
        <v/>
      </c>
      <c r="GD13" s="77"/>
      <c r="GE13" s="78"/>
      <c r="GF13" s="78"/>
      <c r="GG13" s="79"/>
      <c r="GH13" s="333" t="str">
        <f>IF(GC13="","",'Name List'!$I$4)</f>
        <v/>
      </c>
      <c r="GJ13" s="98"/>
      <c r="GK13" s="99"/>
      <c r="GL13" s="329" t="str">
        <f t="shared" si="19"/>
        <v/>
      </c>
      <c r="GM13" s="77"/>
      <c r="GN13" s="78"/>
      <c r="GO13" s="78"/>
      <c r="GP13" s="79"/>
      <c r="GQ13" s="333" t="str">
        <f>IF(GL13="","",'Name List'!$I$4)</f>
        <v/>
      </c>
      <c r="GS13" s="68"/>
      <c r="GT13" s="69"/>
      <c r="GU13" s="70"/>
      <c r="GV13" s="77"/>
      <c r="GW13" s="78"/>
      <c r="GX13" s="78"/>
      <c r="GY13" s="79"/>
      <c r="GZ13" s="67"/>
      <c r="HB13" s="98"/>
      <c r="HC13" s="99"/>
      <c r="HD13" s="329" t="str">
        <f t="shared" si="21"/>
        <v/>
      </c>
      <c r="HE13" s="77"/>
      <c r="HF13" s="78"/>
      <c r="HG13" s="78"/>
      <c r="HH13" s="79"/>
      <c r="HI13" s="333" t="str">
        <f>IF(HD13="","",'Name List'!$I$4)</f>
        <v/>
      </c>
      <c r="HK13" s="71"/>
      <c r="HL13" s="72"/>
      <c r="HM13" s="383" t="str">
        <f t="shared" si="22"/>
        <v/>
      </c>
      <c r="HN13" s="77"/>
      <c r="HO13" s="78"/>
      <c r="HP13" s="78"/>
      <c r="HQ13" s="79"/>
      <c r="HR13" s="333" t="str">
        <f>IF(HM13="","",'Name List'!$I$4)</f>
        <v/>
      </c>
      <c r="HT13" s="68"/>
      <c r="HU13" s="69"/>
      <c r="HV13" s="70"/>
      <c r="HW13" s="77"/>
      <c r="HX13" s="78"/>
      <c r="HY13" s="78"/>
      <c r="HZ13" s="79"/>
      <c r="IA13" s="67"/>
      <c r="IC13" s="115"/>
      <c r="ID13" s="116"/>
      <c r="IE13" s="117"/>
      <c r="IF13" s="77"/>
      <c r="IG13" s="78"/>
      <c r="IH13" s="78"/>
      <c r="II13" s="79"/>
      <c r="IJ13" s="333" t="str">
        <f>IF(IE13="","",'Name List'!$I$4)</f>
        <v/>
      </c>
      <c r="IL13" s="98"/>
      <c r="IM13" s="99"/>
      <c r="IN13" s="100"/>
      <c r="IO13" s="77"/>
      <c r="IP13" s="78"/>
      <c r="IQ13" s="78"/>
      <c r="IR13" s="79"/>
      <c r="IS13" s="67"/>
      <c r="IU13" s="98"/>
      <c r="IV13" s="99"/>
      <c r="IW13" s="100"/>
      <c r="IX13" s="77"/>
      <c r="IY13" s="78"/>
      <c r="IZ13" s="78"/>
      <c r="JA13" s="79"/>
      <c r="JB13" s="67"/>
      <c r="JD13" s="98"/>
      <c r="JE13" s="99"/>
      <c r="JF13" s="100"/>
      <c r="JG13" s="77"/>
      <c r="JH13" s="78"/>
      <c r="JI13" s="78"/>
      <c r="JJ13" s="79"/>
      <c r="JK13" s="67"/>
      <c r="JM13" s="98"/>
      <c r="JN13" s="99"/>
      <c r="JO13" s="275"/>
      <c r="JP13" s="77"/>
      <c r="JQ13" s="78"/>
      <c r="JR13" s="78"/>
      <c r="JS13" s="79"/>
      <c r="JT13" s="67"/>
      <c r="JV13" s="98"/>
      <c r="JW13" s="99"/>
      <c r="JX13" s="100"/>
      <c r="JY13" s="77"/>
      <c r="JZ13" s="78"/>
      <c r="KA13" s="78"/>
      <c r="KB13" s="79"/>
      <c r="KC13" s="67"/>
      <c r="KE13" s="98"/>
      <c r="KF13" s="99"/>
      <c r="KG13" s="100"/>
      <c r="KH13" s="77"/>
      <c r="KI13" s="78"/>
      <c r="KJ13" s="78"/>
      <c r="KK13" s="79"/>
      <c r="KL13" s="67"/>
      <c r="KN13" s="68"/>
      <c r="KO13" s="69"/>
      <c r="KP13" s="70"/>
      <c r="KQ13" s="77"/>
      <c r="KR13" s="78"/>
      <c r="KS13" s="78"/>
      <c r="KT13" s="79"/>
      <c r="KU13" s="67"/>
      <c r="KW13" s="98"/>
      <c r="KX13" s="99"/>
      <c r="KY13" s="100"/>
      <c r="KZ13" s="77"/>
      <c r="LA13" s="78"/>
      <c r="LB13" s="78"/>
      <c r="LC13" s="79"/>
      <c r="LD13" s="67"/>
      <c r="LF13" s="71"/>
      <c r="LG13" s="72"/>
      <c r="LH13" s="73"/>
      <c r="LI13" s="77"/>
      <c r="LJ13" s="78"/>
      <c r="LK13" s="78"/>
      <c r="LL13" s="79"/>
      <c r="LM13" s="67"/>
      <c r="LO13" s="98"/>
      <c r="LP13" s="99"/>
      <c r="LQ13" s="329"/>
      <c r="LR13" s="77"/>
      <c r="LS13" s="78"/>
      <c r="LT13" s="78"/>
      <c r="LU13" s="79"/>
      <c r="LV13" s="67"/>
      <c r="LX13" s="98"/>
      <c r="LY13" s="99"/>
      <c r="LZ13" s="100"/>
      <c r="MA13" s="77"/>
      <c r="MB13" s="78"/>
      <c r="MC13" s="78"/>
      <c r="MD13" s="79"/>
      <c r="ME13" s="67"/>
      <c r="MG13" s="98"/>
      <c r="MH13" s="99"/>
      <c r="MI13" s="100"/>
      <c r="MJ13" s="77"/>
      <c r="MK13" s="78"/>
      <c r="ML13" s="78"/>
      <c r="MM13" s="79"/>
      <c r="MN13" s="67"/>
      <c r="MP13" s="98"/>
      <c r="MQ13" s="99"/>
      <c r="MR13" s="100"/>
      <c r="MS13" s="77"/>
      <c r="MT13" s="78"/>
      <c r="MU13" s="78"/>
      <c r="MV13" s="79"/>
      <c r="MW13" s="67"/>
      <c r="MY13" s="98"/>
      <c r="MZ13" s="99"/>
      <c r="NA13" s="100"/>
      <c r="NB13" s="77"/>
      <c r="NC13" s="78"/>
      <c r="ND13" s="78"/>
      <c r="NE13" s="79"/>
      <c r="NF13" s="67"/>
      <c r="NH13" s="98"/>
      <c r="NI13" s="99"/>
      <c r="NJ13" s="329"/>
      <c r="NK13" s="77"/>
      <c r="NL13" s="78"/>
      <c r="NM13" s="78"/>
      <c r="NN13" s="79"/>
      <c r="NO13" s="67"/>
      <c r="NQ13" s="98"/>
      <c r="NR13" s="99"/>
      <c r="NS13" s="100"/>
      <c r="NT13" s="77"/>
      <c r="NU13" s="78"/>
      <c r="NV13" s="78"/>
      <c r="NW13" s="79"/>
      <c r="NX13" s="67"/>
      <c r="NZ13" s="71"/>
      <c r="OA13" s="72"/>
      <c r="OB13" s="73"/>
      <c r="OC13" s="77"/>
      <c r="OD13" s="78"/>
      <c r="OE13" s="78"/>
      <c r="OF13" s="79"/>
      <c r="OG13" s="67"/>
      <c r="OI13" s="98"/>
      <c r="OJ13" s="99"/>
      <c r="OK13" s="329"/>
      <c r="OL13" s="77"/>
      <c r="OM13" s="78"/>
      <c r="ON13" s="78"/>
      <c r="OO13" s="79"/>
      <c r="OP13" s="67"/>
      <c r="OR13" s="71"/>
      <c r="OS13" s="72"/>
      <c r="OT13" s="73"/>
      <c r="OU13" s="77"/>
      <c r="OV13" s="78"/>
      <c r="OW13" s="78"/>
      <c r="OX13" s="79"/>
      <c r="OY13" s="67"/>
      <c r="PA13" s="98"/>
      <c r="PB13" s="99"/>
      <c r="PC13" s="100"/>
      <c r="PD13" s="77"/>
      <c r="PE13" s="78"/>
      <c r="PF13" s="78"/>
      <c r="PG13" s="79"/>
      <c r="PH13" s="67"/>
      <c r="PJ13" s="277"/>
      <c r="PK13" s="278"/>
      <c r="PL13" s="279"/>
      <c r="PM13" s="125"/>
      <c r="PN13" s="126"/>
      <c r="PO13" s="126"/>
      <c r="PP13" s="127"/>
      <c r="PQ13" s="128"/>
      <c r="PS13" s="403"/>
      <c r="PT13" s="404"/>
      <c r="PU13" s="405"/>
      <c r="PV13" s="330"/>
      <c r="PW13" s="331"/>
      <c r="PX13" s="331"/>
      <c r="PY13" s="332"/>
      <c r="PZ13" s="333"/>
      <c r="QB13" s="412"/>
      <c r="QC13" s="413"/>
      <c r="QD13" s="414"/>
      <c r="QE13" s="125"/>
      <c r="QF13" s="126"/>
      <c r="QG13" s="126"/>
      <c r="QH13" s="127"/>
      <c r="QI13" s="128"/>
      <c r="QK13" s="283"/>
      <c r="QL13" s="284"/>
      <c r="QM13" s="285"/>
      <c r="QN13" s="125"/>
      <c r="QO13" s="126"/>
      <c r="QP13" s="126"/>
      <c r="QQ13" s="127"/>
      <c r="QR13" s="128" t="str">
        <f>IF(QM13="","",'Name List'!$I$4)</f>
        <v/>
      </c>
      <c r="QS13" s="91"/>
      <c r="QT13" s="107">
        <f t="shared" si="50"/>
        <v>0</v>
      </c>
      <c r="QU13" s="130">
        <f t="shared" si="51"/>
        <v>1</v>
      </c>
      <c r="QV13" s="130">
        <f t="shared" si="52"/>
        <v>7</v>
      </c>
      <c r="QW13" s="108">
        <f t="shared" si="53"/>
        <v>1</v>
      </c>
      <c r="QY13" s="260">
        <f t="shared" si="54"/>
        <v>1</v>
      </c>
      <c r="RA13" s="141">
        <f t="shared" si="55"/>
        <v>17</v>
      </c>
      <c r="RB13" s="106">
        <f t="shared" si="56"/>
        <v>18</v>
      </c>
      <c r="RC13" s="106">
        <f t="shared" si="57"/>
        <v>35</v>
      </c>
      <c r="RD13" s="106">
        <f t="shared" si="58"/>
        <v>17</v>
      </c>
      <c r="RE13" s="106">
        <f t="shared" si="59"/>
        <v>18</v>
      </c>
      <c r="RF13" s="142">
        <f t="shared" si="60"/>
        <v>35</v>
      </c>
      <c r="RG13" s="106"/>
      <c r="RH13" s="139">
        <f t="shared" si="61"/>
        <v>0</v>
      </c>
      <c r="RI13" s="140">
        <f t="shared" si="62"/>
        <v>0</v>
      </c>
      <c r="RJ13" s="106"/>
      <c r="RK13" s="136">
        <f t="shared" si="63"/>
        <v>35</v>
      </c>
      <c r="RL13" s="106"/>
      <c r="RM13" s="137">
        <f t="shared" si="64"/>
        <v>0</v>
      </c>
      <c r="RN13" s="138">
        <f t="shared" si="65"/>
        <v>0</v>
      </c>
      <c r="RO13" s="106"/>
      <c r="RP13" s="259">
        <f t="shared" si="66"/>
        <v>0</v>
      </c>
    </row>
    <row r="14" spans="1:484" x14ac:dyDescent="0.2">
      <c r="A14" s="89" t="str">
        <f>'Name List'!B14</f>
        <v>Paul Clarke</v>
      </c>
      <c r="C14" s="98"/>
      <c r="D14" s="99"/>
      <c r="E14" s="329" t="str">
        <f t="shared" si="0"/>
        <v/>
      </c>
      <c r="F14" s="77"/>
      <c r="G14" s="78"/>
      <c r="H14" s="78"/>
      <c r="I14" s="76"/>
      <c r="J14" s="333" t="str">
        <f>IF(E14="","",'Name List'!$I$4)</f>
        <v/>
      </c>
      <c r="L14" s="98"/>
      <c r="M14" s="99"/>
      <c r="N14" s="100"/>
      <c r="O14" s="77"/>
      <c r="P14" s="78"/>
      <c r="Q14" s="78"/>
      <c r="R14" s="79"/>
      <c r="S14" s="67"/>
      <c r="U14" s="71"/>
      <c r="V14" s="72"/>
      <c r="W14" s="396" t="str">
        <f t="shared" si="2"/>
        <v/>
      </c>
      <c r="X14" s="77"/>
      <c r="Y14" s="78"/>
      <c r="Z14" s="78"/>
      <c r="AA14" s="79"/>
      <c r="AB14" s="333" t="str">
        <f>IF(W14="","",'Name List'!$I$4)</f>
        <v/>
      </c>
      <c r="AD14" s="98">
        <v>16</v>
      </c>
      <c r="AE14" s="99">
        <v>18</v>
      </c>
      <c r="AF14" s="329">
        <f t="shared" si="3"/>
        <v>34</v>
      </c>
      <c r="AG14" s="77">
        <v>0</v>
      </c>
      <c r="AH14" s="78">
        <v>0</v>
      </c>
      <c r="AI14" s="78">
        <v>7</v>
      </c>
      <c r="AJ14" s="79">
        <v>1</v>
      </c>
      <c r="AK14" s="333">
        <f>IF(AF14="","",'Name List'!$I$4)</f>
        <v>5</v>
      </c>
      <c r="AM14" s="98">
        <v>21</v>
      </c>
      <c r="AN14" s="99">
        <v>16</v>
      </c>
      <c r="AO14" s="329">
        <f t="shared" si="4"/>
        <v>37</v>
      </c>
      <c r="AP14" s="77">
        <v>0</v>
      </c>
      <c r="AQ14" s="78">
        <v>3</v>
      </c>
      <c r="AR14" s="78">
        <v>3</v>
      </c>
      <c r="AS14" s="79">
        <v>0</v>
      </c>
      <c r="AT14" s="333">
        <f>IF(AO14="","",'Name List'!$I$4)</f>
        <v>5</v>
      </c>
      <c r="AV14" s="458"/>
      <c r="AW14" s="401"/>
      <c r="AX14" s="400" t="str">
        <f t="shared" si="5"/>
        <v/>
      </c>
      <c r="AY14" s="77"/>
      <c r="AZ14" s="78"/>
      <c r="BA14" s="78"/>
      <c r="BB14" s="79"/>
      <c r="BC14" s="457" t="str">
        <f>IF(AX14="","",'Name List'!$I$4)</f>
        <v/>
      </c>
      <c r="BE14" s="71">
        <v>17</v>
      </c>
      <c r="BF14" s="72">
        <v>14</v>
      </c>
      <c r="BG14" s="383">
        <f t="shared" si="6"/>
        <v>31</v>
      </c>
      <c r="BH14" s="77">
        <v>0</v>
      </c>
      <c r="BI14" s="78">
        <v>0</v>
      </c>
      <c r="BJ14" s="78">
        <v>4</v>
      </c>
      <c r="BK14" s="79">
        <v>1</v>
      </c>
      <c r="BL14" s="333">
        <f>IF(BG14="","",'Name List'!$I$4)</f>
        <v>5</v>
      </c>
      <c r="BN14" s="98"/>
      <c r="BO14" s="99"/>
      <c r="BP14" s="100"/>
      <c r="BQ14" s="77"/>
      <c r="BR14" s="78"/>
      <c r="BS14" s="78"/>
      <c r="BT14" s="79"/>
      <c r="BU14" s="67"/>
      <c r="BW14" s="98"/>
      <c r="BX14" s="99"/>
      <c r="BY14" s="329" t="str">
        <f t="shared" si="8"/>
        <v/>
      </c>
      <c r="BZ14" s="77"/>
      <c r="CA14" s="78"/>
      <c r="CB14" s="78"/>
      <c r="CC14" s="79"/>
      <c r="CD14" s="333" t="str">
        <f>IF(BY14="","",'Name List'!$I$4)</f>
        <v/>
      </c>
      <c r="CF14" s="68"/>
      <c r="CG14" s="69"/>
      <c r="CH14" s="282" t="str">
        <f t="shared" si="49"/>
        <v/>
      </c>
      <c r="CI14" s="77"/>
      <c r="CJ14" s="78"/>
      <c r="CK14" s="78"/>
      <c r="CL14" s="79"/>
      <c r="CM14" s="333" t="str">
        <f>IF(CH14="","",'Name List'!$I$4)</f>
        <v/>
      </c>
      <c r="CO14" s="71"/>
      <c r="CP14" s="72"/>
      <c r="CQ14" s="383" t="str">
        <f t="shared" si="9"/>
        <v/>
      </c>
      <c r="CR14" s="77"/>
      <c r="CS14" s="78"/>
      <c r="CT14" s="78"/>
      <c r="CU14" s="79"/>
      <c r="CV14" s="333" t="str">
        <f>IF(CQ14="","",'Name List'!$I$4)</f>
        <v/>
      </c>
      <c r="CX14" s="98">
        <v>16</v>
      </c>
      <c r="CY14" s="99">
        <v>15</v>
      </c>
      <c r="CZ14" s="329">
        <f t="shared" si="10"/>
        <v>31</v>
      </c>
      <c r="DA14" s="77">
        <v>0</v>
      </c>
      <c r="DB14" s="78">
        <v>1</v>
      </c>
      <c r="DC14" s="78">
        <v>6</v>
      </c>
      <c r="DD14" s="79">
        <v>1</v>
      </c>
      <c r="DE14" s="333">
        <f>IF(CZ14="","",'Name List'!$I$4)</f>
        <v>5</v>
      </c>
      <c r="DG14" s="98">
        <v>12</v>
      </c>
      <c r="DH14" s="99">
        <v>10</v>
      </c>
      <c r="DI14" s="329">
        <f t="shared" si="11"/>
        <v>22</v>
      </c>
      <c r="DJ14" s="77">
        <v>0</v>
      </c>
      <c r="DK14" s="78">
        <v>0</v>
      </c>
      <c r="DL14" s="78">
        <v>4</v>
      </c>
      <c r="DM14" s="79">
        <v>7</v>
      </c>
      <c r="DN14" s="333">
        <f>IF(DI14="","",'Name List'!$I$4)</f>
        <v>5</v>
      </c>
      <c r="DP14" s="98">
        <v>17</v>
      </c>
      <c r="DQ14" s="99">
        <v>11</v>
      </c>
      <c r="DR14" s="329">
        <f t="shared" si="12"/>
        <v>28</v>
      </c>
      <c r="DS14" s="77">
        <v>0</v>
      </c>
      <c r="DT14" s="78">
        <v>0</v>
      </c>
      <c r="DU14" s="78">
        <v>6</v>
      </c>
      <c r="DV14" s="79">
        <v>2</v>
      </c>
      <c r="DW14" s="333">
        <f>IF(DR14="","",'Name List'!$I$4)</f>
        <v>5</v>
      </c>
      <c r="DY14" s="98"/>
      <c r="DZ14" s="99"/>
      <c r="EA14" s="329" t="str">
        <f t="shared" si="13"/>
        <v/>
      </c>
      <c r="EB14" s="77"/>
      <c r="EC14" s="78"/>
      <c r="ED14" s="78"/>
      <c r="EE14" s="79"/>
      <c r="EF14" s="333" t="str">
        <f>IF(EA14="","",'Name List'!$I$4)</f>
        <v/>
      </c>
      <c r="EH14" s="98">
        <v>14</v>
      </c>
      <c r="EI14" s="99">
        <v>16</v>
      </c>
      <c r="EJ14" s="329">
        <f t="shared" si="14"/>
        <v>30</v>
      </c>
      <c r="EK14" s="77">
        <v>0</v>
      </c>
      <c r="EL14" s="78">
        <v>1</v>
      </c>
      <c r="EM14" s="78">
        <v>3</v>
      </c>
      <c r="EN14" s="79">
        <v>0</v>
      </c>
      <c r="EO14" s="333">
        <f>IF(EJ14="","",'Name List'!$I$4)</f>
        <v>5</v>
      </c>
      <c r="EQ14" s="115"/>
      <c r="ER14" s="116"/>
      <c r="ES14" s="117"/>
      <c r="ET14" s="77"/>
      <c r="EU14" s="78"/>
      <c r="EV14" s="78"/>
      <c r="EW14" s="79"/>
      <c r="EX14" s="333" t="str">
        <f>IF(ES14="","",'Name List'!$I$4)</f>
        <v/>
      </c>
      <c r="EZ14" s="68"/>
      <c r="FA14" s="69"/>
      <c r="FB14" s="70"/>
      <c r="FC14" s="77"/>
      <c r="FD14" s="78"/>
      <c r="FE14" s="78"/>
      <c r="FF14" s="79"/>
      <c r="FG14" s="67"/>
      <c r="FI14" s="98"/>
      <c r="FJ14" s="99"/>
      <c r="FK14" s="329" t="str">
        <f t="shared" si="16"/>
        <v/>
      </c>
      <c r="FL14" s="77"/>
      <c r="FM14" s="78"/>
      <c r="FN14" s="78"/>
      <c r="FO14" s="79"/>
      <c r="FP14" s="333" t="str">
        <f>IF(FK14="","",'Name List'!$I$4)</f>
        <v/>
      </c>
      <c r="FR14" s="98">
        <v>15</v>
      </c>
      <c r="FS14" s="99">
        <v>4</v>
      </c>
      <c r="FT14" s="329">
        <f t="shared" si="17"/>
        <v>19</v>
      </c>
      <c r="FU14" s="77">
        <v>0</v>
      </c>
      <c r="FV14" s="78">
        <v>0</v>
      </c>
      <c r="FW14" s="78">
        <v>3</v>
      </c>
      <c r="FX14" s="79">
        <v>6</v>
      </c>
      <c r="FY14" s="333">
        <f>IF(FT14="","",'Name List'!$I$4)</f>
        <v>5</v>
      </c>
      <c r="GA14" s="98"/>
      <c r="GB14" s="99"/>
      <c r="GC14" s="329" t="str">
        <f t="shared" si="18"/>
        <v/>
      </c>
      <c r="GD14" s="77"/>
      <c r="GE14" s="78"/>
      <c r="GF14" s="78"/>
      <c r="GG14" s="79"/>
      <c r="GH14" s="333" t="str">
        <f>IF(GC14="","",'Name List'!$I$4)</f>
        <v/>
      </c>
      <c r="GJ14" s="98"/>
      <c r="GK14" s="99"/>
      <c r="GL14" s="329" t="str">
        <f t="shared" si="19"/>
        <v/>
      </c>
      <c r="GM14" s="77"/>
      <c r="GN14" s="78"/>
      <c r="GO14" s="78"/>
      <c r="GP14" s="79"/>
      <c r="GQ14" s="333" t="str">
        <f>IF(GL14="","",'Name List'!$I$4)</f>
        <v/>
      </c>
      <c r="GS14" s="68"/>
      <c r="GT14" s="69"/>
      <c r="GU14" s="70"/>
      <c r="GV14" s="77"/>
      <c r="GW14" s="78"/>
      <c r="GX14" s="78"/>
      <c r="GY14" s="79"/>
      <c r="GZ14" s="67"/>
      <c r="HB14" s="98"/>
      <c r="HC14" s="99"/>
      <c r="HD14" s="329" t="str">
        <f t="shared" si="21"/>
        <v/>
      </c>
      <c r="HE14" s="77"/>
      <c r="HF14" s="78"/>
      <c r="HG14" s="78"/>
      <c r="HH14" s="79"/>
      <c r="HI14" s="333" t="str">
        <f>IF(HD14="","",'Name List'!$I$4)</f>
        <v/>
      </c>
      <c r="HK14" s="71"/>
      <c r="HL14" s="72"/>
      <c r="HM14" s="383" t="str">
        <f t="shared" si="22"/>
        <v/>
      </c>
      <c r="HN14" s="77"/>
      <c r="HO14" s="78"/>
      <c r="HP14" s="78"/>
      <c r="HQ14" s="79"/>
      <c r="HR14" s="333" t="str">
        <f>IF(HM14="","",'Name List'!$I$4)</f>
        <v/>
      </c>
      <c r="HT14" s="68"/>
      <c r="HU14" s="69"/>
      <c r="HV14" s="70"/>
      <c r="HW14" s="77"/>
      <c r="HX14" s="78"/>
      <c r="HY14" s="78"/>
      <c r="HZ14" s="79"/>
      <c r="IA14" s="67"/>
      <c r="IC14" s="115"/>
      <c r="ID14" s="116"/>
      <c r="IE14" s="117"/>
      <c r="IF14" s="77"/>
      <c r="IG14" s="78"/>
      <c r="IH14" s="78"/>
      <c r="II14" s="79"/>
      <c r="IJ14" s="333" t="str">
        <f>IF(IE14="","",'Name List'!$I$4)</f>
        <v/>
      </c>
      <c r="IL14" s="98"/>
      <c r="IM14" s="99"/>
      <c r="IN14" s="100"/>
      <c r="IO14" s="77"/>
      <c r="IP14" s="78"/>
      <c r="IQ14" s="78"/>
      <c r="IR14" s="79"/>
      <c r="IS14" s="67"/>
      <c r="IU14" s="98"/>
      <c r="IV14" s="99"/>
      <c r="IW14" s="100"/>
      <c r="IX14" s="77"/>
      <c r="IY14" s="78"/>
      <c r="IZ14" s="78"/>
      <c r="JA14" s="79"/>
      <c r="JB14" s="67"/>
      <c r="JD14" s="98"/>
      <c r="JE14" s="99"/>
      <c r="JF14" s="100"/>
      <c r="JG14" s="77"/>
      <c r="JH14" s="78"/>
      <c r="JI14" s="78"/>
      <c r="JJ14" s="79"/>
      <c r="JK14" s="67"/>
      <c r="JM14" s="98"/>
      <c r="JN14" s="99"/>
      <c r="JO14" s="275"/>
      <c r="JP14" s="77"/>
      <c r="JQ14" s="78"/>
      <c r="JR14" s="78"/>
      <c r="JS14" s="79"/>
      <c r="JT14" s="67"/>
      <c r="JV14" s="98"/>
      <c r="JW14" s="99"/>
      <c r="JX14" s="100"/>
      <c r="JY14" s="77"/>
      <c r="JZ14" s="78"/>
      <c r="KA14" s="78"/>
      <c r="KB14" s="79"/>
      <c r="KC14" s="67"/>
      <c r="KE14" s="98"/>
      <c r="KF14" s="99"/>
      <c r="KG14" s="100"/>
      <c r="KH14" s="77"/>
      <c r="KI14" s="78"/>
      <c r="KJ14" s="78"/>
      <c r="KK14" s="79"/>
      <c r="KL14" s="67"/>
      <c r="KN14" s="68"/>
      <c r="KO14" s="69"/>
      <c r="KP14" s="70"/>
      <c r="KQ14" s="77"/>
      <c r="KR14" s="78"/>
      <c r="KS14" s="78"/>
      <c r="KT14" s="79"/>
      <c r="KU14" s="67"/>
      <c r="KW14" s="98"/>
      <c r="KX14" s="99"/>
      <c r="KY14" s="100"/>
      <c r="KZ14" s="77"/>
      <c r="LA14" s="78"/>
      <c r="LB14" s="78"/>
      <c r="LC14" s="79"/>
      <c r="LD14" s="67"/>
      <c r="LF14" s="71"/>
      <c r="LG14" s="72"/>
      <c r="LH14" s="73"/>
      <c r="LI14" s="77"/>
      <c r="LJ14" s="78"/>
      <c r="LK14" s="78"/>
      <c r="LL14" s="79"/>
      <c r="LM14" s="67"/>
      <c r="LO14" s="98"/>
      <c r="LP14" s="99"/>
      <c r="LQ14" s="329"/>
      <c r="LR14" s="77"/>
      <c r="LS14" s="78"/>
      <c r="LT14" s="78"/>
      <c r="LU14" s="79"/>
      <c r="LV14" s="67"/>
      <c r="LX14" s="98"/>
      <c r="LY14" s="99"/>
      <c r="LZ14" s="100"/>
      <c r="MA14" s="77"/>
      <c r="MB14" s="78"/>
      <c r="MC14" s="78"/>
      <c r="MD14" s="79"/>
      <c r="ME14" s="67"/>
      <c r="MG14" s="98"/>
      <c r="MH14" s="99"/>
      <c r="MI14" s="100"/>
      <c r="MJ14" s="77"/>
      <c r="MK14" s="78"/>
      <c r="ML14" s="78"/>
      <c r="MM14" s="79"/>
      <c r="MN14" s="67"/>
      <c r="MP14" s="98"/>
      <c r="MQ14" s="99"/>
      <c r="MR14" s="100"/>
      <c r="MS14" s="77"/>
      <c r="MT14" s="78"/>
      <c r="MU14" s="78"/>
      <c r="MV14" s="79"/>
      <c r="MW14" s="67"/>
      <c r="MY14" s="98"/>
      <c r="MZ14" s="99"/>
      <c r="NA14" s="100"/>
      <c r="NB14" s="77"/>
      <c r="NC14" s="78"/>
      <c r="ND14" s="78"/>
      <c r="NE14" s="79"/>
      <c r="NF14" s="67"/>
      <c r="NH14" s="98"/>
      <c r="NI14" s="99"/>
      <c r="NJ14" s="329"/>
      <c r="NK14" s="77"/>
      <c r="NL14" s="78"/>
      <c r="NM14" s="78"/>
      <c r="NN14" s="79"/>
      <c r="NO14" s="67"/>
      <c r="NQ14" s="98"/>
      <c r="NR14" s="99"/>
      <c r="NS14" s="100"/>
      <c r="NT14" s="77"/>
      <c r="NU14" s="78"/>
      <c r="NV14" s="78"/>
      <c r="NW14" s="79"/>
      <c r="NX14" s="67"/>
      <c r="NZ14" s="71"/>
      <c r="OA14" s="72"/>
      <c r="OB14" s="73"/>
      <c r="OC14" s="77"/>
      <c r="OD14" s="78"/>
      <c r="OE14" s="78"/>
      <c r="OF14" s="79"/>
      <c r="OG14" s="67"/>
      <c r="OI14" s="98"/>
      <c r="OJ14" s="99"/>
      <c r="OK14" s="329"/>
      <c r="OL14" s="77"/>
      <c r="OM14" s="78"/>
      <c r="ON14" s="78"/>
      <c r="OO14" s="79"/>
      <c r="OP14" s="67"/>
      <c r="OR14" s="71"/>
      <c r="OS14" s="72"/>
      <c r="OT14" s="73"/>
      <c r="OU14" s="77"/>
      <c r="OV14" s="78"/>
      <c r="OW14" s="78"/>
      <c r="OX14" s="79"/>
      <c r="OY14" s="67"/>
      <c r="PA14" s="98"/>
      <c r="PB14" s="99"/>
      <c r="PC14" s="100"/>
      <c r="PD14" s="77"/>
      <c r="PE14" s="78"/>
      <c r="PF14" s="78"/>
      <c r="PG14" s="79"/>
      <c r="PH14" s="67"/>
      <c r="PJ14" s="277"/>
      <c r="PK14" s="278"/>
      <c r="PL14" s="279"/>
      <c r="PM14" s="125"/>
      <c r="PN14" s="126"/>
      <c r="PO14" s="126"/>
      <c r="PP14" s="127"/>
      <c r="PQ14" s="128"/>
      <c r="PS14" s="403"/>
      <c r="PT14" s="404"/>
      <c r="PU14" s="405"/>
      <c r="PV14" s="330"/>
      <c r="PW14" s="331"/>
      <c r="PX14" s="331"/>
      <c r="PY14" s="332"/>
      <c r="PZ14" s="333"/>
      <c r="QB14" s="412"/>
      <c r="QC14" s="413"/>
      <c r="QD14" s="414"/>
      <c r="QE14" s="125"/>
      <c r="QF14" s="126"/>
      <c r="QG14" s="126"/>
      <c r="QH14" s="127"/>
      <c r="QI14" s="128"/>
      <c r="QK14" s="283"/>
      <c r="QL14" s="284"/>
      <c r="QM14" s="285"/>
      <c r="QN14" s="125"/>
      <c r="QO14" s="126"/>
      <c r="QP14" s="126"/>
      <c r="QQ14" s="127"/>
      <c r="QR14" s="128" t="str">
        <f>IF(QM14="","",'Name List'!$I$4)</f>
        <v/>
      </c>
      <c r="QS14" s="91"/>
      <c r="QT14" s="107">
        <f t="shared" si="50"/>
        <v>0</v>
      </c>
      <c r="QU14" s="130">
        <f t="shared" si="51"/>
        <v>5</v>
      </c>
      <c r="QV14" s="130">
        <f t="shared" si="52"/>
        <v>36</v>
      </c>
      <c r="QW14" s="108">
        <f t="shared" si="53"/>
        <v>18</v>
      </c>
      <c r="QY14" s="260">
        <f t="shared" si="54"/>
        <v>8</v>
      </c>
      <c r="RA14" s="141">
        <f t="shared" si="55"/>
        <v>21</v>
      </c>
      <c r="RB14" s="106">
        <f t="shared" si="56"/>
        <v>18</v>
      </c>
      <c r="RC14" s="106">
        <f t="shared" si="57"/>
        <v>37</v>
      </c>
      <c r="RD14" s="106">
        <f t="shared" si="58"/>
        <v>12</v>
      </c>
      <c r="RE14" s="106">
        <f t="shared" si="59"/>
        <v>4</v>
      </c>
      <c r="RF14" s="142">
        <f t="shared" si="60"/>
        <v>19</v>
      </c>
      <c r="RG14" s="106"/>
      <c r="RH14" s="139">
        <f t="shared" si="61"/>
        <v>31</v>
      </c>
      <c r="RI14" s="140">
        <f t="shared" si="62"/>
        <v>31</v>
      </c>
      <c r="RJ14" s="106"/>
      <c r="RK14" s="136">
        <f t="shared" si="63"/>
        <v>26.625</v>
      </c>
      <c r="RL14" s="106"/>
      <c r="RM14" s="137">
        <f t="shared" si="64"/>
        <v>0</v>
      </c>
      <c r="RN14" s="138">
        <f t="shared" si="65"/>
        <v>0</v>
      </c>
      <c r="RO14" s="106"/>
      <c r="RP14" s="259">
        <f t="shared" si="66"/>
        <v>0</v>
      </c>
    </row>
    <row r="15" spans="1:484" x14ac:dyDescent="0.2">
      <c r="A15" s="89" t="str">
        <f>'Name List'!B15</f>
        <v>Martin Coomber</v>
      </c>
      <c r="C15" s="98"/>
      <c r="D15" s="99"/>
      <c r="E15" s="329" t="str">
        <f t="shared" si="0"/>
        <v/>
      </c>
      <c r="F15" s="77"/>
      <c r="G15" s="78"/>
      <c r="H15" s="78"/>
      <c r="I15" s="76"/>
      <c r="J15" s="333" t="str">
        <f>IF(E15="","",'Name List'!$I$4)</f>
        <v/>
      </c>
      <c r="L15" s="98"/>
      <c r="M15" s="99"/>
      <c r="N15" s="100"/>
      <c r="O15" s="77"/>
      <c r="P15" s="78"/>
      <c r="Q15" s="78"/>
      <c r="R15" s="79"/>
      <c r="S15" s="67"/>
      <c r="U15" s="71">
        <v>12</v>
      </c>
      <c r="V15" s="72">
        <v>18</v>
      </c>
      <c r="W15" s="396">
        <f t="shared" si="2"/>
        <v>30</v>
      </c>
      <c r="X15" s="77">
        <v>0</v>
      </c>
      <c r="Y15" s="78">
        <v>0</v>
      </c>
      <c r="Z15" s="78">
        <v>9</v>
      </c>
      <c r="AA15" s="79">
        <v>2</v>
      </c>
      <c r="AB15" s="333">
        <f>IF(W15="","",'Name List'!$I$4)</f>
        <v>5</v>
      </c>
      <c r="AD15" s="98">
        <v>17</v>
      </c>
      <c r="AE15" s="99">
        <v>16</v>
      </c>
      <c r="AF15" s="329">
        <f t="shared" si="3"/>
        <v>33</v>
      </c>
      <c r="AG15" s="77">
        <v>0</v>
      </c>
      <c r="AH15" s="78">
        <v>0</v>
      </c>
      <c r="AI15" s="78">
        <v>3</v>
      </c>
      <c r="AJ15" s="79">
        <v>0</v>
      </c>
      <c r="AK15" s="333">
        <f>IF(AF15="","",'Name List'!$I$4)</f>
        <v>5</v>
      </c>
      <c r="AM15" s="98">
        <v>20</v>
      </c>
      <c r="AN15" s="99">
        <v>14</v>
      </c>
      <c r="AO15" s="329">
        <f t="shared" si="4"/>
        <v>34</v>
      </c>
      <c r="AP15" s="77">
        <v>0</v>
      </c>
      <c r="AQ15" s="78">
        <v>2</v>
      </c>
      <c r="AR15" s="78">
        <v>7</v>
      </c>
      <c r="AS15" s="79">
        <v>2</v>
      </c>
      <c r="AT15" s="333">
        <f>IF(AO15="","",'Name List'!$I$4)</f>
        <v>5</v>
      </c>
      <c r="AV15" s="458">
        <v>20</v>
      </c>
      <c r="AW15" s="401">
        <v>16</v>
      </c>
      <c r="AX15" s="400">
        <f t="shared" si="5"/>
        <v>36</v>
      </c>
      <c r="AY15" s="77">
        <v>0</v>
      </c>
      <c r="AZ15" s="78">
        <v>2</v>
      </c>
      <c r="BA15" s="78">
        <v>9</v>
      </c>
      <c r="BB15" s="79">
        <v>1</v>
      </c>
      <c r="BC15" s="457">
        <f>IF(AX15="","",'Name List'!$I$4)</f>
        <v>5</v>
      </c>
      <c r="BE15" s="71">
        <v>15</v>
      </c>
      <c r="BF15" s="72">
        <v>18</v>
      </c>
      <c r="BG15" s="383">
        <f t="shared" si="6"/>
        <v>33</v>
      </c>
      <c r="BH15" s="77">
        <v>0</v>
      </c>
      <c r="BI15" s="78">
        <v>0</v>
      </c>
      <c r="BJ15" s="78">
        <v>8</v>
      </c>
      <c r="BK15" s="79">
        <v>0</v>
      </c>
      <c r="BL15" s="333">
        <f>IF(BG15="","",'Name List'!$I$4)</f>
        <v>5</v>
      </c>
      <c r="BN15" s="98"/>
      <c r="BO15" s="99"/>
      <c r="BP15" s="100"/>
      <c r="BQ15" s="77"/>
      <c r="BR15" s="78"/>
      <c r="BS15" s="78"/>
      <c r="BT15" s="79"/>
      <c r="BU15" s="67"/>
      <c r="BW15" s="98"/>
      <c r="BX15" s="99"/>
      <c r="BY15" s="329" t="str">
        <f t="shared" si="8"/>
        <v/>
      </c>
      <c r="BZ15" s="77"/>
      <c r="CA15" s="78"/>
      <c r="CB15" s="78"/>
      <c r="CC15" s="79"/>
      <c r="CD15" s="333" t="str">
        <f>IF(BY15="","",'Name List'!$I$4)</f>
        <v/>
      </c>
      <c r="CF15" s="68">
        <v>16</v>
      </c>
      <c r="CG15" s="69">
        <v>19</v>
      </c>
      <c r="CH15" s="282">
        <f t="shared" si="49"/>
        <v>35</v>
      </c>
      <c r="CI15" s="77">
        <v>0</v>
      </c>
      <c r="CJ15" s="78">
        <v>0</v>
      </c>
      <c r="CK15" s="78">
        <v>12</v>
      </c>
      <c r="CL15" s="79">
        <v>1</v>
      </c>
      <c r="CM15" s="333">
        <f>IF(CH15="","",'Name List'!$I$4)</f>
        <v>5</v>
      </c>
      <c r="CO15" s="71">
        <v>20</v>
      </c>
      <c r="CP15" s="72">
        <v>18</v>
      </c>
      <c r="CQ15" s="383">
        <f t="shared" si="9"/>
        <v>38</v>
      </c>
      <c r="CR15" s="77">
        <v>0</v>
      </c>
      <c r="CS15" s="78">
        <v>3</v>
      </c>
      <c r="CT15" s="78">
        <v>7</v>
      </c>
      <c r="CU15" s="79">
        <v>2</v>
      </c>
      <c r="CV15" s="333">
        <f>IF(CQ15="","",'Name List'!$I$4)</f>
        <v>5</v>
      </c>
      <c r="CX15" s="98"/>
      <c r="CY15" s="99"/>
      <c r="CZ15" s="329" t="str">
        <f t="shared" si="10"/>
        <v/>
      </c>
      <c r="DA15" s="77"/>
      <c r="DB15" s="78"/>
      <c r="DC15" s="78"/>
      <c r="DD15" s="79"/>
      <c r="DE15" s="333" t="str">
        <f>IF(CZ15="","",'Name List'!$I$4)</f>
        <v/>
      </c>
      <c r="DG15" s="98"/>
      <c r="DH15" s="99"/>
      <c r="DI15" s="329" t="str">
        <f t="shared" si="11"/>
        <v/>
      </c>
      <c r="DJ15" s="77"/>
      <c r="DK15" s="78"/>
      <c r="DL15" s="78"/>
      <c r="DM15" s="79"/>
      <c r="DN15" s="333" t="str">
        <f>IF(DI15="","",'Name List'!$I$4)</f>
        <v/>
      </c>
      <c r="DP15" s="98">
        <v>17</v>
      </c>
      <c r="DQ15" s="99">
        <v>16</v>
      </c>
      <c r="DR15" s="329">
        <f t="shared" si="12"/>
        <v>33</v>
      </c>
      <c r="DS15" s="77">
        <v>0</v>
      </c>
      <c r="DT15" s="78">
        <v>1</v>
      </c>
      <c r="DU15" s="78">
        <v>10</v>
      </c>
      <c r="DV15" s="79">
        <v>2</v>
      </c>
      <c r="DW15" s="333">
        <f>IF(DR15="","",'Name List'!$I$4)</f>
        <v>5</v>
      </c>
      <c r="DY15" s="98">
        <v>13</v>
      </c>
      <c r="DZ15" s="99">
        <v>16</v>
      </c>
      <c r="EA15" s="329">
        <f t="shared" si="13"/>
        <v>29</v>
      </c>
      <c r="EB15" s="77">
        <v>0</v>
      </c>
      <c r="EC15" s="78">
        <v>1</v>
      </c>
      <c r="ED15" s="78">
        <v>8</v>
      </c>
      <c r="EE15" s="79">
        <v>4</v>
      </c>
      <c r="EF15" s="333">
        <f>IF(EA15="","",'Name List'!$I$4)</f>
        <v>5</v>
      </c>
      <c r="EH15" s="98"/>
      <c r="EI15" s="99"/>
      <c r="EJ15" s="329" t="str">
        <f t="shared" si="14"/>
        <v/>
      </c>
      <c r="EK15" s="77"/>
      <c r="EL15" s="78"/>
      <c r="EM15" s="78"/>
      <c r="EN15" s="79"/>
      <c r="EO15" s="333" t="str">
        <f>IF(EJ15="","",'Name List'!$I$4)</f>
        <v/>
      </c>
      <c r="EQ15" s="115"/>
      <c r="ER15" s="116"/>
      <c r="ES15" s="117"/>
      <c r="ET15" s="77"/>
      <c r="EU15" s="78"/>
      <c r="EV15" s="78"/>
      <c r="EW15" s="79"/>
      <c r="EX15" s="333" t="str">
        <f>IF(ES15="","",'Name List'!$I$4)</f>
        <v/>
      </c>
      <c r="EZ15" s="68"/>
      <c r="FA15" s="69"/>
      <c r="FB15" s="70"/>
      <c r="FC15" s="77"/>
      <c r="FD15" s="78"/>
      <c r="FE15" s="78"/>
      <c r="FF15" s="79"/>
      <c r="FG15" s="67"/>
      <c r="FI15" s="98">
        <v>16</v>
      </c>
      <c r="FJ15" s="99">
        <v>20</v>
      </c>
      <c r="FK15" s="329">
        <f t="shared" si="16"/>
        <v>36</v>
      </c>
      <c r="FL15" s="77">
        <v>0</v>
      </c>
      <c r="FM15" s="78">
        <v>4</v>
      </c>
      <c r="FN15" s="78">
        <v>6</v>
      </c>
      <c r="FO15" s="79">
        <v>2</v>
      </c>
      <c r="FP15" s="333">
        <f>IF(FK15="","",'Name List'!$I$4)</f>
        <v>5</v>
      </c>
      <c r="FR15" s="98"/>
      <c r="FS15" s="99"/>
      <c r="FT15" s="329" t="str">
        <f t="shared" si="17"/>
        <v/>
      </c>
      <c r="FU15" s="77"/>
      <c r="FV15" s="78"/>
      <c r="FW15" s="78"/>
      <c r="FX15" s="79"/>
      <c r="FY15" s="333" t="str">
        <f>IF(FT15="","",'Name List'!$I$4)</f>
        <v/>
      </c>
      <c r="GA15" s="98">
        <v>18</v>
      </c>
      <c r="GB15" s="99">
        <v>17</v>
      </c>
      <c r="GC15" s="329">
        <f t="shared" si="18"/>
        <v>35</v>
      </c>
      <c r="GD15" s="77">
        <v>0</v>
      </c>
      <c r="GE15" s="78">
        <v>1</v>
      </c>
      <c r="GF15" s="78">
        <v>10</v>
      </c>
      <c r="GG15" s="79">
        <v>1</v>
      </c>
      <c r="GH15" s="333">
        <f>IF(GC15="","",'Name List'!$I$4)</f>
        <v>5</v>
      </c>
      <c r="GJ15" s="98">
        <v>17</v>
      </c>
      <c r="GK15" s="99">
        <v>18</v>
      </c>
      <c r="GL15" s="329">
        <f t="shared" si="19"/>
        <v>35</v>
      </c>
      <c r="GM15" s="77">
        <v>0</v>
      </c>
      <c r="GN15" s="78">
        <v>2</v>
      </c>
      <c r="GO15" s="78">
        <v>9</v>
      </c>
      <c r="GP15" s="79">
        <v>1</v>
      </c>
      <c r="GQ15" s="333">
        <f>IF(GL15="","",'Name List'!$I$4)</f>
        <v>5</v>
      </c>
      <c r="GS15" s="68"/>
      <c r="GT15" s="69"/>
      <c r="GU15" s="70"/>
      <c r="GV15" s="77"/>
      <c r="GW15" s="78"/>
      <c r="GX15" s="78"/>
      <c r="GY15" s="79"/>
      <c r="GZ15" s="67"/>
      <c r="HB15" s="98">
        <v>14</v>
      </c>
      <c r="HC15" s="99">
        <v>20</v>
      </c>
      <c r="HD15" s="329">
        <f t="shared" si="21"/>
        <v>34</v>
      </c>
      <c r="HE15" s="77">
        <v>0</v>
      </c>
      <c r="HF15" s="78">
        <v>2</v>
      </c>
      <c r="HG15" s="78">
        <v>4</v>
      </c>
      <c r="HH15" s="79">
        <v>2</v>
      </c>
      <c r="HI15" s="333">
        <f>IF(HD15="","",'Name List'!$I$4)</f>
        <v>5</v>
      </c>
      <c r="HK15" s="71"/>
      <c r="HL15" s="72"/>
      <c r="HM15" s="383" t="str">
        <f t="shared" si="22"/>
        <v/>
      </c>
      <c r="HN15" s="77"/>
      <c r="HO15" s="78"/>
      <c r="HP15" s="78"/>
      <c r="HQ15" s="79"/>
      <c r="HR15" s="333" t="str">
        <f>IF(HM15="","",'Name List'!$I$4)</f>
        <v/>
      </c>
      <c r="HT15" s="68"/>
      <c r="HU15" s="69"/>
      <c r="HV15" s="70"/>
      <c r="HW15" s="77"/>
      <c r="HX15" s="78"/>
      <c r="HY15" s="78"/>
      <c r="HZ15" s="79"/>
      <c r="IA15" s="67"/>
      <c r="IC15" s="115"/>
      <c r="ID15" s="116"/>
      <c r="IE15" s="117"/>
      <c r="IF15" s="77"/>
      <c r="IG15" s="78"/>
      <c r="IH15" s="78"/>
      <c r="II15" s="79"/>
      <c r="IJ15" s="333" t="str">
        <f>IF(IE15="","",'Name List'!$I$4)</f>
        <v/>
      </c>
      <c r="IL15" s="98"/>
      <c r="IM15" s="99"/>
      <c r="IN15" s="100"/>
      <c r="IO15" s="77"/>
      <c r="IP15" s="78"/>
      <c r="IQ15" s="78"/>
      <c r="IR15" s="79"/>
      <c r="IS15" s="67"/>
      <c r="IU15" s="98"/>
      <c r="IV15" s="99"/>
      <c r="IW15" s="100"/>
      <c r="IX15" s="77"/>
      <c r="IY15" s="78"/>
      <c r="IZ15" s="78"/>
      <c r="JA15" s="79"/>
      <c r="JB15" s="67"/>
      <c r="JD15" s="98"/>
      <c r="JE15" s="99"/>
      <c r="JF15" s="100"/>
      <c r="JG15" s="77"/>
      <c r="JH15" s="78"/>
      <c r="JI15" s="78"/>
      <c r="JJ15" s="79"/>
      <c r="JK15" s="67"/>
      <c r="JM15" s="98"/>
      <c r="JN15" s="99"/>
      <c r="JO15" s="275"/>
      <c r="JP15" s="77"/>
      <c r="JQ15" s="78"/>
      <c r="JR15" s="78"/>
      <c r="JS15" s="79"/>
      <c r="JT15" s="67"/>
      <c r="JV15" s="98"/>
      <c r="JW15" s="99"/>
      <c r="JX15" s="100"/>
      <c r="JY15" s="77"/>
      <c r="JZ15" s="78"/>
      <c r="KA15" s="78"/>
      <c r="KB15" s="79"/>
      <c r="KC15" s="67"/>
      <c r="KE15" s="98"/>
      <c r="KF15" s="99"/>
      <c r="KG15" s="100"/>
      <c r="KH15" s="77"/>
      <c r="KI15" s="78"/>
      <c r="KJ15" s="78"/>
      <c r="KK15" s="79"/>
      <c r="KL15" s="67"/>
      <c r="KN15" s="68"/>
      <c r="KO15" s="69"/>
      <c r="KP15" s="70"/>
      <c r="KQ15" s="77"/>
      <c r="KR15" s="78"/>
      <c r="KS15" s="78"/>
      <c r="KT15" s="79"/>
      <c r="KU15" s="67"/>
      <c r="KW15" s="98"/>
      <c r="KX15" s="99"/>
      <c r="KY15" s="100"/>
      <c r="KZ15" s="77"/>
      <c r="LA15" s="78"/>
      <c r="LB15" s="78"/>
      <c r="LC15" s="79"/>
      <c r="LD15" s="67"/>
      <c r="LF15" s="71"/>
      <c r="LG15" s="72"/>
      <c r="LH15" s="73"/>
      <c r="LI15" s="77"/>
      <c r="LJ15" s="78"/>
      <c r="LK15" s="78"/>
      <c r="LL15" s="79"/>
      <c r="LM15" s="67"/>
      <c r="LO15" s="98"/>
      <c r="LP15" s="99"/>
      <c r="LQ15" s="329"/>
      <c r="LR15" s="77"/>
      <c r="LS15" s="78"/>
      <c r="LT15" s="78"/>
      <c r="LU15" s="79"/>
      <c r="LV15" s="67"/>
      <c r="LX15" s="98"/>
      <c r="LY15" s="99"/>
      <c r="LZ15" s="100"/>
      <c r="MA15" s="77"/>
      <c r="MB15" s="78"/>
      <c r="MC15" s="78"/>
      <c r="MD15" s="79"/>
      <c r="ME15" s="67"/>
      <c r="MG15" s="98"/>
      <c r="MH15" s="99"/>
      <c r="MI15" s="100"/>
      <c r="MJ15" s="77"/>
      <c r="MK15" s="78"/>
      <c r="ML15" s="78"/>
      <c r="MM15" s="79"/>
      <c r="MN15" s="67"/>
      <c r="MP15" s="98"/>
      <c r="MQ15" s="99"/>
      <c r="MR15" s="100"/>
      <c r="MS15" s="77"/>
      <c r="MT15" s="78"/>
      <c r="MU15" s="78"/>
      <c r="MV15" s="79"/>
      <c r="MW15" s="67"/>
      <c r="MY15" s="98"/>
      <c r="MZ15" s="99"/>
      <c r="NA15" s="100"/>
      <c r="NB15" s="77"/>
      <c r="NC15" s="78"/>
      <c r="ND15" s="78"/>
      <c r="NE15" s="79"/>
      <c r="NF15" s="67"/>
      <c r="NH15" s="98"/>
      <c r="NI15" s="99"/>
      <c r="NJ15" s="329"/>
      <c r="NK15" s="77"/>
      <c r="NL15" s="78"/>
      <c r="NM15" s="78"/>
      <c r="NN15" s="79"/>
      <c r="NO15" s="67"/>
      <c r="NQ15" s="98"/>
      <c r="NR15" s="99"/>
      <c r="NS15" s="100"/>
      <c r="NT15" s="77"/>
      <c r="NU15" s="78"/>
      <c r="NV15" s="78"/>
      <c r="NW15" s="79"/>
      <c r="NX15" s="67"/>
      <c r="NZ15" s="71"/>
      <c r="OA15" s="72"/>
      <c r="OB15" s="73"/>
      <c r="OC15" s="77"/>
      <c r="OD15" s="78"/>
      <c r="OE15" s="78"/>
      <c r="OF15" s="79"/>
      <c r="OG15" s="67"/>
      <c r="OI15" s="98"/>
      <c r="OJ15" s="99"/>
      <c r="OK15" s="329"/>
      <c r="OL15" s="77"/>
      <c r="OM15" s="78"/>
      <c r="ON15" s="78"/>
      <c r="OO15" s="79"/>
      <c r="OP15" s="67"/>
      <c r="OR15" s="71"/>
      <c r="OS15" s="72"/>
      <c r="OT15" s="73"/>
      <c r="OU15" s="77"/>
      <c r="OV15" s="78"/>
      <c r="OW15" s="78"/>
      <c r="OX15" s="79"/>
      <c r="OY15" s="67"/>
      <c r="PA15" s="98"/>
      <c r="PB15" s="99"/>
      <c r="PC15" s="100"/>
      <c r="PD15" s="77"/>
      <c r="PE15" s="78"/>
      <c r="PF15" s="78"/>
      <c r="PG15" s="79"/>
      <c r="PH15" s="67"/>
      <c r="PJ15" s="277"/>
      <c r="PK15" s="278"/>
      <c r="PL15" s="279"/>
      <c r="PM15" s="125"/>
      <c r="PN15" s="126"/>
      <c r="PO15" s="126"/>
      <c r="PP15" s="127"/>
      <c r="PQ15" s="128"/>
      <c r="PS15" s="403"/>
      <c r="PT15" s="404"/>
      <c r="PU15" s="405"/>
      <c r="PV15" s="330"/>
      <c r="PW15" s="331"/>
      <c r="PX15" s="331"/>
      <c r="PY15" s="332"/>
      <c r="PZ15" s="333"/>
      <c r="QB15" s="412"/>
      <c r="QC15" s="413"/>
      <c r="QD15" s="414"/>
      <c r="QE15" s="125"/>
      <c r="QF15" s="126"/>
      <c r="QG15" s="126"/>
      <c r="QH15" s="127"/>
      <c r="QI15" s="128"/>
      <c r="QK15" s="283"/>
      <c r="QL15" s="284"/>
      <c r="QM15" s="285"/>
      <c r="QN15" s="125"/>
      <c r="QO15" s="126"/>
      <c r="QP15" s="126"/>
      <c r="QQ15" s="127"/>
      <c r="QR15" s="128" t="str">
        <f>IF(QM15="","",'Name List'!$I$4)</f>
        <v/>
      </c>
      <c r="QS15" s="91"/>
      <c r="QT15" s="107">
        <f t="shared" si="50"/>
        <v>0</v>
      </c>
      <c r="QU15" s="130">
        <f t="shared" si="51"/>
        <v>18</v>
      </c>
      <c r="QV15" s="130">
        <f t="shared" si="52"/>
        <v>102</v>
      </c>
      <c r="QW15" s="108">
        <f t="shared" si="53"/>
        <v>20</v>
      </c>
      <c r="QY15" s="260">
        <f t="shared" si="54"/>
        <v>13</v>
      </c>
      <c r="RA15" s="141">
        <f t="shared" si="55"/>
        <v>20</v>
      </c>
      <c r="RB15" s="106">
        <f t="shared" si="56"/>
        <v>20</v>
      </c>
      <c r="RC15" s="106">
        <f t="shared" si="57"/>
        <v>36</v>
      </c>
      <c r="RD15" s="106">
        <f t="shared" si="58"/>
        <v>13</v>
      </c>
      <c r="RE15" s="106">
        <f t="shared" si="59"/>
        <v>14</v>
      </c>
      <c r="RF15" s="142">
        <f t="shared" si="60"/>
        <v>29</v>
      </c>
      <c r="RG15" s="106"/>
      <c r="RH15" s="139">
        <f t="shared" si="61"/>
        <v>38</v>
      </c>
      <c r="RI15" s="140">
        <f t="shared" si="62"/>
        <v>30</v>
      </c>
      <c r="RJ15" s="106"/>
      <c r="RK15" s="136">
        <f t="shared" si="63"/>
        <v>33.92307692307692</v>
      </c>
      <c r="RL15" s="106"/>
      <c r="RM15" s="137">
        <f t="shared" si="64"/>
        <v>0</v>
      </c>
      <c r="RN15" s="138">
        <f t="shared" si="65"/>
        <v>0</v>
      </c>
      <c r="RO15" s="106"/>
      <c r="RP15" s="259">
        <f t="shared" si="66"/>
        <v>0</v>
      </c>
    </row>
    <row r="16" spans="1:484" x14ac:dyDescent="0.2">
      <c r="A16" s="89" t="str">
        <f>'Name List'!B16</f>
        <v>Dominic Coughlin</v>
      </c>
      <c r="C16" s="98"/>
      <c r="D16" s="99"/>
      <c r="E16" s="329" t="str">
        <f t="shared" si="0"/>
        <v/>
      </c>
      <c r="F16" s="77"/>
      <c r="G16" s="78"/>
      <c r="H16" s="78"/>
      <c r="I16" s="76"/>
      <c r="J16" s="333" t="str">
        <f>IF(E16="","",'Name List'!$I$4)</f>
        <v/>
      </c>
      <c r="L16" s="98"/>
      <c r="M16" s="99"/>
      <c r="N16" s="100"/>
      <c r="O16" s="77"/>
      <c r="P16" s="78"/>
      <c r="Q16" s="78"/>
      <c r="R16" s="79"/>
      <c r="S16" s="67"/>
      <c r="U16" s="71"/>
      <c r="V16" s="72"/>
      <c r="W16" s="396" t="str">
        <f t="shared" si="2"/>
        <v/>
      </c>
      <c r="X16" s="77"/>
      <c r="Y16" s="78"/>
      <c r="Z16" s="78"/>
      <c r="AA16" s="79"/>
      <c r="AB16" s="333" t="str">
        <f>IF(W16="","",'Name List'!$I$4)</f>
        <v/>
      </c>
      <c r="AD16" s="98"/>
      <c r="AE16" s="99"/>
      <c r="AF16" s="329" t="str">
        <f t="shared" si="3"/>
        <v/>
      </c>
      <c r="AG16" s="77"/>
      <c r="AH16" s="78"/>
      <c r="AI16" s="78"/>
      <c r="AJ16" s="79"/>
      <c r="AK16" s="333" t="str">
        <f>IF(AF16="","",'Name List'!$I$4)</f>
        <v/>
      </c>
      <c r="AM16" s="98">
        <v>3</v>
      </c>
      <c r="AN16" s="99">
        <v>16</v>
      </c>
      <c r="AO16" s="329">
        <f t="shared" si="4"/>
        <v>19</v>
      </c>
      <c r="AP16" s="77">
        <v>0</v>
      </c>
      <c r="AQ16" s="78">
        <v>0</v>
      </c>
      <c r="AR16" s="78">
        <v>2</v>
      </c>
      <c r="AS16" s="79">
        <v>8</v>
      </c>
      <c r="AT16" s="333">
        <f>IF(AO16="","",'Name List'!$I$4)</f>
        <v>5</v>
      </c>
      <c r="AV16" s="458"/>
      <c r="AW16" s="401"/>
      <c r="AX16" s="400" t="str">
        <f t="shared" si="5"/>
        <v/>
      </c>
      <c r="AY16" s="77"/>
      <c r="AZ16" s="78"/>
      <c r="BA16" s="78"/>
      <c r="BB16" s="79"/>
      <c r="BC16" s="457" t="str">
        <f>IF(AX16="","",'Name List'!$I$4)</f>
        <v/>
      </c>
      <c r="BE16" s="71"/>
      <c r="BF16" s="72"/>
      <c r="BG16" s="383" t="str">
        <f t="shared" si="6"/>
        <v/>
      </c>
      <c r="BH16" s="77"/>
      <c r="BI16" s="78"/>
      <c r="BJ16" s="78"/>
      <c r="BK16" s="79"/>
      <c r="BL16" s="333" t="str">
        <f>IF(BG16="","",'Name List'!$I$4)</f>
        <v/>
      </c>
      <c r="BN16" s="98"/>
      <c r="BO16" s="99"/>
      <c r="BP16" s="100"/>
      <c r="BQ16" s="77"/>
      <c r="BR16" s="78"/>
      <c r="BS16" s="78"/>
      <c r="BT16" s="79"/>
      <c r="BU16" s="67"/>
      <c r="BW16" s="98"/>
      <c r="BX16" s="99"/>
      <c r="BY16" s="329" t="str">
        <f t="shared" si="8"/>
        <v/>
      </c>
      <c r="BZ16" s="77"/>
      <c r="CA16" s="78"/>
      <c r="CB16" s="78"/>
      <c r="CC16" s="79"/>
      <c r="CD16" s="333" t="str">
        <f>IF(BY16="","",'Name List'!$I$4)</f>
        <v/>
      </c>
      <c r="CF16" s="68"/>
      <c r="CG16" s="69"/>
      <c r="CH16" s="282" t="str">
        <f t="shared" si="49"/>
        <v/>
      </c>
      <c r="CI16" s="77"/>
      <c r="CJ16" s="78"/>
      <c r="CK16" s="78"/>
      <c r="CL16" s="79"/>
      <c r="CM16" s="333" t="str">
        <f>IF(CH16="","",'Name List'!$I$4)</f>
        <v/>
      </c>
      <c r="CO16" s="71"/>
      <c r="CP16" s="72"/>
      <c r="CQ16" s="383" t="str">
        <f t="shared" si="9"/>
        <v/>
      </c>
      <c r="CR16" s="77"/>
      <c r="CS16" s="78"/>
      <c r="CT16" s="78"/>
      <c r="CU16" s="79"/>
      <c r="CV16" s="333" t="str">
        <f>IF(CQ16="","",'Name List'!$I$4)</f>
        <v/>
      </c>
      <c r="CX16" s="98"/>
      <c r="CY16" s="99"/>
      <c r="CZ16" s="329" t="str">
        <f t="shared" si="10"/>
        <v/>
      </c>
      <c r="DA16" s="77"/>
      <c r="DB16" s="78"/>
      <c r="DC16" s="78"/>
      <c r="DD16" s="79"/>
      <c r="DE16" s="333" t="str">
        <f>IF(CZ16="","",'Name List'!$I$4)</f>
        <v/>
      </c>
      <c r="DG16" s="98"/>
      <c r="DH16" s="99"/>
      <c r="DI16" s="329" t="str">
        <f t="shared" si="11"/>
        <v/>
      </c>
      <c r="DJ16" s="77"/>
      <c r="DK16" s="78"/>
      <c r="DL16" s="78"/>
      <c r="DM16" s="79"/>
      <c r="DN16" s="333" t="str">
        <f>IF(DI16="","",'Name List'!$I$4)</f>
        <v/>
      </c>
      <c r="DP16" s="98"/>
      <c r="DQ16" s="99"/>
      <c r="DR16" s="329" t="str">
        <f t="shared" si="12"/>
        <v/>
      </c>
      <c r="DS16" s="77"/>
      <c r="DT16" s="78"/>
      <c r="DU16" s="78"/>
      <c r="DV16" s="79"/>
      <c r="DW16" s="333" t="str">
        <f>IF(DR16="","",'Name List'!$I$4)</f>
        <v/>
      </c>
      <c r="DY16" s="98"/>
      <c r="DZ16" s="99"/>
      <c r="EA16" s="329" t="str">
        <f t="shared" si="13"/>
        <v/>
      </c>
      <c r="EB16" s="77"/>
      <c r="EC16" s="78"/>
      <c r="ED16" s="78"/>
      <c r="EE16" s="79"/>
      <c r="EF16" s="333" t="str">
        <f>IF(EA16="","",'Name List'!$I$4)</f>
        <v/>
      </c>
      <c r="EH16" s="98"/>
      <c r="EI16" s="99"/>
      <c r="EJ16" s="329" t="str">
        <f t="shared" si="14"/>
        <v/>
      </c>
      <c r="EK16" s="77"/>
      <c r="EL16" s="78"/>
      <c r="EM16" s="78"/>
      <c r="EN16" s="79"/>
      <c r="EO16" s="333" t="str">
        <f>IF(EJ16="","",'Name List'!$I$4)</f>
        <v/>
      </c>
      <c r="EQ16" s="115"/>
      <c r="ER16" s="116"/>
      <c r="ES16" s="117"/>
      <c r="ET16" s="77"/>
      <c r="EU16" s="78"/>
      <c r="EV16" s="78"/>
      <c r="EW16" s="79"/>
      <c r="EX16" s="333" t="str">
        <f>IF(ES16="","",'Name List'!$I$4)</f>
        <v/>
      </c>
      <c r="EZ16" s="68"/>
      <c r="FA16" s="69"/>
      <c r="FB16" s="70"/>
      <c r="FC16" s="77"/>
      <c r="FD16" s="78"/>
      <c r="FE16" s="78"/>
      <c r="FF16" s="79"/>
      <c r="FG16" s="67"/>
      <c r="FI16" s="98"/>
      <c r="FJ16" s="99"/>
      <c r="FK16" s="329" t="str">
        <f t="shared" si="16"/>
        <v/>
      </c>
      <c r="FL16" s="77"/>
      <c r="FM16" s="78"/>
      <c r="FN16" s="78"/>
      <c r="FO16" s="79"/>
      <c r="FP16" s="333" t="str">
        <f>IF(FK16="","",'Name List'!$I$4)</f>
        <v/>
      </c>
      <c r="FR16" s="98"/>
      <c r="FS16" s="99"/>
      <c r="FT16" s="329" t="str">
        <f t="shared" si="17"/>
        <v/>
      </c>
      <c r="FU16" s="77"/>
      <c r="FV16" s="78"/>
      <c r="FW16" s="78"/>
      <c r="FX16" s="79"/>
      <c r="FY16" s="333" t="str">
        <f>IF(FT16="","",'Name List'!$I$4)</f>
        <v/>
      </c>
      <c r="GA16" s="98"/>
      <c r="GB16" s="99"/>
      <c r="GC16" s="329" t="str">
        <f t="shared" si="18"/>
        <v/>
      </c>
      <c r="GD16" s="77"/>
      <c r="GE16" s="78"/>
      <c r="GF16" s="78"/>
      <c r="GG16" s="79"/>
      <c r="GH16" s="333" t="str">
        <f>IF(GC16="","",'Name List'!$I$4)</f>
        <v/>
      </c>
      <c r="GJ16" s="98"/>
      <c r="GK16" s="99"/>
      <c r="GL16" s="329" t="str">
        <f t="shared" si="19"/>
        <v/>
      </c>
      <c r="GM16" s="77"/>
      <c r="GN16" s="78"/>
      <c r="GO16" s="78"/>
      <c r="GP16" s="79"/>
      <c r="GQ16" s="333" t="str">
        <f>IF(GL16="","",'Name List'!$I$4)</f>
        <v/>
      </c>
      <c r="GS16" s="68"/>
      <c r="GT16" s="69"/>
      <c r="GU16" s="70"/>
      <c r="GV16" s="77"/>
      <c r="GW16" s="78"/>
      <c r="GX16" s="78"/>
      <c r="GY16" s="79"/>
      <c r="GZ16" s="67"/>
      <c r="HB16" s="98"/>
      <c r="HC16" s="99"/>
      <c r="HD16" s="329" t="str">
        <f t="shared" si="21"/>
        <v/>
      </c>
      <c r="HE16" s="77"/>
      <c r="HF16" s="78"/>
      <c r="HG16" s="78"/>
      <c r="HH16" s="79"/>
      <c r="HI16" s="333" t="str">
        <f>IF(HD16="","",'Name List'!$I$4)</f>
        <v/>
      </c>
      <c r="HK16" s="71"/>
      <c r="HL16" s="72"/>
      <c r="HM16" s="383" t="str">
        <f t="shared" si="22"/>
        <v/>
      </c>
      <c r="HN16" s="77"/>
      <c r="HO16" s="78"/>
      <c r="HP16" s="78"/>
      <c r="HQ16" s="79"/>
      <c r="HR16" s="333" t="str">
        <f>IF(HM16="","",'Name List'!$I$4)</f>
        <v/>
      </c>
      <c r="HT16" s="68"/>
      <c r="HU16" s="69"/>
      <c r="HV16" s="70"/>
      <c r="HW16" s="77"/>
      <c r="HX16" s="78"/>
      <c r="HY16" s="78"/>
      <c r="HZ16" s="79"/>
      <c r="IA16" s="67"/>
      <c r="IC16" s="115"/>
      <c r="ID16" s="116"/>
      <c r="IE16" s="117"/>
      <c r="IF16" s="77"/>
      <c r="IG16" s="78"/>
      <c r="IH16" s="78"/>
      <c r="II16" s="79"/>
      <c r="IJ16" s="333" t="str">
        <f>IF(IE16="","",'Name List'!$I$4)</f>
        <v/>
      </c>
      <c r="IL16" s="98"/>
      <c r="IM16" s="99"/>
      <c r="IN16" s="100"/>
      <c r="IO16" s="77"/>
      <c r="IP16" s="78"/>
      <c r="IQ16" s="78"/>
      <c r="IR16" s="79"/>
      <c r="IS16" s="67"/>
      <c r="IU16" s="98"/>
      <c r="IV16" s="99"/>
      <c r="IW16" s="100"/>
      <c r="IX16" s="77"/>
      <c r="IY16" s="78"/>
      <c r="IZ16" s="78"/>
      <c r="JA16" s="79"/>
      <c r="JB16" s="67"/>
      <c r="JD16" s="98"/>
      <c r="JE16" s="99"/>
      <c r="JF16" s="100"/>
      <c r="JG16" s="77"/>
      <c r="JH16" s="78"/>
      <c r="JI16" s="78"/>
      <c r="JJ16" s="79"/>
      <c r="JK16" s="67"/>
      <c r="JM16" s="98"/>
      <c r="JN16" s="99"/>
      <c r="JO16" s="275"/>
      <c r="JP16" s="77"/>
      <c r="JQ16" s="78"/>
      <c r="JR16" s="78"/>
      <c r="JS16" s="79"/>
      <c r="JT16" s="67"/>
      <c r="JV16" s="98"/>
      <c r="JW16" s="99"/>
      <c r="JX16" s="100"/>
      <c r="JY16" s="77"/>
      <c r="JZ16" s="78"/>
      <c r="KA16" s="78"/>
      <c r="KB16" s="79"/>
      <c r="KC16" s="67"/>
      <c r="KE16" s="98"/>
      <c r="KF16" s="99"/>
      <c r="KG16" s="100"/>
      <c r="KH16" s="77"/>
      <c r="KI16" s="78"/>
      <c r="KJ16" s="78"/>
      <c r="KK16" s="79"/>
      <c r="KL16" s="67"/>
      <c r="KN16" s="68"/>
      <c r="KO16" s="69"/>
      <c r="KP16" s="70"/>
      <c r="KQ16" s="77"/>
      <c r="KR16" s="78"/>
      <c r="KS16" s="78"/>
      <c r="KT16" s="79"/>
      <c r="KU16" s="67"/>
      <c r="KW16" s="98"/>
      <c r="KX16" s="99"/>
      <c r="KY16" s="100"/>
      <c r="KZ16" s="77"/>
      <c r="LA16" s="78"/>
      <c r="LB16" s="78"/>
      <c r="LC16" s="79"/>
      <c r="LD16" s="67"/>
      <c r="LF16" s="71"/>
      <c r="LG16" s="72"/>
      <c r="LH16" s="73"/>
      <c r="LI16" s="77"/>
      <c r="LJ16" s="78"/>
      <c r="LK16" s="78"/>
      <c r="LL16" s="79"/>
      <c r="LM16" s="67"/>
      <c r="LO16" s="98"/>
      <c r="LP16" s="99"/>
      <c r="LQ16" s="329"/>
      <c r="LR16" s="77"/>
      <c r="LS16" s="78"/>
      <c r="LT16" s="78"/>
      <c r="LU16" s="79"/>
      <c r="LV16" s="67"/>
      <c r="LX16" s="98"/>
      <c r="LY16" s="99"/>
      <c r="LZ16" s="100"/>
      <c r="MA16" s="77"/>
      <c r="MB16" s="78"/>
      <c r="MC16" s="78"/>
      <c r="MD16" s="79"/>
      <c r="ME16" s="67"/>
      <c r="MG16" s="98"/>
      <c r="MH16" s="99"/>
      <c r="MI16" s="100"/>
      <c r="MJ16" s="77"/>
      <c r="MK16" s="78"/>
      <c r="ML16" s="78"/>
      <c r="MM16" s="79"/>
      <c r="MN16" s="67"/>
      <c r="MP16" s="98"/>
      <c r="MQ16" s="99"/>
      <c r="MR16" s="100"/>
      <c r="MS16" s="77"/>
      <c r="MT16" s="78"/>
      <c r="MU16" s="78"/>
      <c r="MV16" s="79"/>
      <c r="MW16" s="67"/>
      <c r="MY16" s="98"/>
      <c r="MZ16" s="99"/>
      <c r="NA16" s="100"/>
      <c r="NB16" s="77"/>
      <c r="NC16" s="78"/>
      <c r="ND16" s="78"/>
      <c r="NE16" s="79"/>
      <c r="NF16" s="67"/>
      <c r="NH16" s="98"/>
      <c r="NI16" s="99"/>
      <c r="NJ16" s="329"/>
      <c r="NK16" s="77"/>
      <c r="NL16" s="78"/>
      <c r="NM16" s="78"/>
      <c r="NN16" s="79"/>
      <c r="NO16" s="67"/>
      <c r="NQ16" s="98"/>
      <c r="NR16" s="99"/>
      <c r="NS16" s="100"/>
      <c r="NT16" s="77"/>
      <c r="NU16" s="78"/>
      <c r="NV16" s="78"/>
      <c r="NW16" s="79"/>
      <c r="NX16" s="67"/>
      <c r="NZ16" s="71"/>
      <c r="OA16" s="72"/>
      <c r="OB16" s="73"/>
      <c r="OC16" s="77"/>
      <c r="OD16" s="78"/>
      <c r="OE16" s="78"/>
      <c r="OF16" s="79"/>
      <c r="OG16" s="67"/>
      <c r="OI16" s="98"/>
      <c r="OJ16" s="99"/>
      <c r="OK16" s="329"/>
      <c r="OL16" s="77"/>
      <c r="OM16" s="78"/>
      <c r="ON16" s="78"/>
      <c r="OO16" s="79"/>
      <c r="OP16" s="67"/>
      <c r="OR16" s="71"/>
      <c r="OS16" s="72"/>
      <c r="OT16" s="73"/>
      <c r="OU16" s="77"/>
      <c r="OV16" s="78"/>
      <c r="OW16" s="78"/>
      <c r="OX16" s="79"/>
      <c r="OY16" s="67"/>
      <c r="PA16" s="98"/>
      <c r="PB16" s="99"/>
      <c r="PC16" s="100"/>
      <c r="PD16" s="77"/>
      <c r="PE16" s="78"/>
      <c r="PF16" s="78"/>
      <c r="PG16" s="79"/>
      <c r="PH16" s="67"/>
      <c r="PJ16" s="277"/>
      <c r="PK16" s="278"/>
      <c r="PL16" s="279"/>
      <c r="PM16" s="125"/>
      <c r="PN16" s="126"/>
      <c r="PO16" s="126"/>
      <c r="PP16" s="127"/>
      <c r="PQ16" s="128"/>
      <c r="PS16" s="403"/>
      <c r="PT16" s="404"/>
      <c r="PU16" s="405"/>
      <c r="PV16" s="330"/>
      <c r="PW16" s="331"/>
      <c r="PX16" s="331"/>
      <c r="PY16" s="332"/>
      <c r="PZ16" s="333"/>
      <c r="QB16" s="412"/>
      <c r="QC16" s="413"/>
      <c r="QD16" s="414"/>
      <c r="QE16" s="125"/>
      <c r="QF16" s="126"/>
      <c r="QG16" s="126"/>
      <c r="QH16" s="127"/>
      <c r="QI16" s="128"/>
      <c r="QK16" s="283"/>
      <c r="QL16" s="284"/>
      <c r="QM16" s="285"/>
      <c r="QN16" s="125"/>
      <c r="QO16" s="126"/>
      <c r="QP16" s="126"/>
      <c r="QQ16" s="127"/>
      <c r="QR16" s="128" t="str">
        <f>IF(QM16="","",'Name List'!$I$4)</f>
        <v/>
      </c>
      <c r="QS16" s="91"/>
      <c r="QT16" s="107">
        <f t="shared" si="50"/>
        <v>0</v>
      </c>
      <c r="QU16" s="130">
        <f t="shared" si="51"/>
        <v>0</v>
      </c>
      <c r="QV16" s="130">
        <f t="shared" si="52"/>
        <v>2</v>
      </c>
      <c r="QW16" s="108">
        <f t="shared" si="53"/>
        <v>8</v>
      </c>
      <c r="QY16" s="260">
        <f t="shared" si="54"/>
        <v>1</v>
      </c>
      <c r="RA16" s="141">
        <f t="shared" si="55"/>
        <v>3</v>
      </c>
      <c r="RB16" s="106">
        <f t="shared" si="56"/>
        <v>16</v>
      </c>
      <c r="RC16" s="106">
        <f t="shared" si="57"/>
        <v>19</v>
      </c>
      <c r="RD16" s="106">
        <f t="shared" si="58"/>
        <v>3</v>
      </c>
      <c r="RE16" s="106">
        <f t="shared" si="59"/>
        <v>16</v>
      </c>
      <c r="RF16" s="142">
        <f t="shared" si="60"/>
        <v>19</v>
      </c>
      <c r="RG16" s="106"/>
      <c r="RH16" s="139">
        <f t="shared" si="61"/>
        <v>0</v>
      </c>
      <c r="RI16" s="140">
        <f t="shared" si="62"/>
        <v>0</v>
      </c>
      <c r="RJ16" s="106"/>
      <c r="RK16" s="136">
        <f t="shared" si="63"/>
        <v>19</v>
      </c>
      <c r="RL16" s="106"/>
      <c r="RM16" s="137">
        <f t="shared" si="64"/>
        <v>0</v>
      </c>
      <c r="RN16" s="138">
        <f t="shared" si="65"/>
        <v>0</v>
      </c>
      <c r="RO16" s="106"/>
      <c r="RP16" s="259">
        <f t="shared" si="66"/>
        <v>0</v>
      </c>
    </row>
    <row r="17" spans="1:484" x14ac:dyDescent="0.2">
      <c r="A17" s="89" t="str">
        <f>'Name List'!B17</f>
        <v>Gareth Davies</v>
      </c>
      <c r="C17" s="98"/>
      <c r="D17" s="99"/>
      <c r="E17" s="329" t="str">
        <f t="shared" si="0"/>
        <v/>
      </c>
      <c r="F17" s="77"/>
      <c r="G17" s="78"/>
      <c r="H17" s="78"/>
      <c r="I17" s="79"/>
      <c r="J17" s="333" t="str">
        <f>IF(E17="","",'Name List'!$I$4)</f>
        <v/>
      </c>
      <c r="L17" s="98"/>
      <c r="M17" s="99"/>
      <c r="N17" s="100"/>
      <c r="O17" s="77"/>
      <c r="P17" s="78"/>
      <c r="Q17" s="78"/>
      <c r="R17" s="79"/>
      <c r="S17" s="67"/>
      <c r="U17" s="71">
        <v>13</v>
      </c>
      <c r="V17" s="72">
        <v>13</v>
      </c>
      <c r="W17" s="396">
        <f t="shared" si="2"/>
        <v>26</v>
      </c>
      <c r="X17" s="77">
        <v>0</v>
      </c>
      <c r="Y17" s="78">
        <v>1</v>
      </c>
      <c r="Z17" s="78">
        <v>4</v>
      </c>
      <c r="AA17" s="79">
        <v>3</v>
      </c>
      <c r="AB17" s="333">
        <f>IF(W17="","",'Name List'!$I$4)</f>
        <v>5</v>
      </c>
      <c r="AD17" s="98"/>
      <c r="AE17" s="99"/>
      <c r="AF17" s="329" t="str">
        <f t="shared" si="3"/>
        <v/>
      </c>
      <c r="AG17" s="77"/>
      <c r="AH17" s="78"/>
      <c r="AI17" s="78"/>
      <c r="AJ17" s="79"/>
      <c r="AK17" s="333" t="str">
        <f>IF(AF17="","",'Name List'!$I$4)</f>
        <v/>
      </c>
      <c r="AM17" s="98"/>
      <c r="AN17" s="99"/>
      <c r="AO17" s="329" t="str">
        <f t="shared" si="4"/>
        <v/>
      </c>
      <c r="AP17" s="77"/>
      <c r="AQ17" s="78"/>
      <c r="AR17" s="78"/>
      <c r="AS17" s="79"/>
      <c r="AT17" s="333" t="str">
        <f>IF(AO17="","",'Name List'!$I$4)</f>
        <v/>
      </c>
      <c r="AV17" s="458"/>
      <c r="AW17" s="401"/>
      <c r="AX17" s="400" t="str">
        <f t="shared" si="5"/>
        <v/>
      </c>
      <c r="AY17" s="77"/>
      <c r="AZ17" s="78"/>
      <c r="BA17" s="78"/>
      <c r="BB17" s="79"/>
      <c r="BC17" s="457" t="str">
        <f>IF(AX17="","",'Name List'!$I$4)</f>
        <v/>
      </c>
      <c r="BE17" s="71"/>
      <c r="BF17" s="72"/>
      <c r="BG17" s="383" t="str">
        <f t="shared" si="6"/>
        <v/>
      </c>
      <c r="BH17" s="77"/>
      <c r="BI17" s="78"/>
      <c r="BJ17" s="78"/>
      <c r="BK17" s="79"/>
      <c r="BL17" s="333" t="str">
        <f>IF(BG17="","",'Name List'!$I$4)</f>
        <v/>
      </c>
      <c r="BN17" s="98"/>
      <c r="BO17" s="99"/>
      <c r="BP17" s="100"/>
      <c r="BQ17" s="77"/>
      <c r="BR17" s="78"/>
      <c r="BS17" s="78"/>
      <c r="BT17" s="79"/>
      <c r="BU17" s="67"/>
      <c r="BW17" s="98"/>
      <c r="BX17" s="99"/>
      <c r="BY17" s="329" t="str">
        <f t="shared" si="8"/>
        <v/>
      </c>
      <c r="BZ17" s="77"/>
      <c r="CA17" s="78"/>
      <c r="CB17" s="78"/>
      <c r="CC17" s="79"/>
      <c r="CD17" s="333" t="str">
        <f>IF(BY17="","",'Name List'!$I$4)</f>
        <v/>
      </c>
      <c r="CF17" s="68"/>
      <c r="CG17" s="69"/>
      <c r="CH17" s="282" t="str">
        <f t="shared" si="49"/>
        <v/>
      </c>
      <c r="CI17" s="77"/>
      <c r="CJ17" s="78"/>
      <c r="CK17" s="78"/>
      <c r="CL17" s="79"/>
      <c r="CM17" s="333" t="str">
        <f>IF(CH17="","",'Name List'!$I$4)</f>
        <v/>
      </c>
      <c r="CO17" s="71"/>
      <c r="CP17" s="72"/>
      <c r="CQ17" s="383" t="str">
        <f t="shared" si="9"/>
        <v/>
      </c>
      <c r="CR17" s="77"/>
      <c r="CS17" s="78"/>
      <c r="CT17" s="78"/>
      <c r="CU17" s="79"/>
      <c r="CV17" s="333" t="str">
        <f>IF(CQ17="","",'Name List'!$I$4)</f>
        <v/>
      </c>
      <c r="CX17" s="98"/>
      <c r="CY17" s="99"/>
      <c r="CZ17" s="329" t="str">
        <f t="shared" si="10"/>
        <v/>
      </c>
      <c r="DA17" s="77"/>
      <c r="DB17" s="78"/>
      <c r="DC17" s="78"/>
      <c r="DD17" s="79"/>
      <c r="DE17" s="333" t="str">
        <f>IF(CZ17="","",'Name List'!$I$4)</f>
        <v/>
      </c>
      <c r="DG17" s="98"/>
      <c r="DH17" s="99"/>
      <c r="DI17" s="329" t="str">
        <f t="shared" si="11"/>
        <v/>
      </c>
      <c r="DJ17" s="77"/>
      <c r="DK17" s="78"/>
      <c r="DL17" s="78"/>
      <c r="DM17" s="79"/>
      <c r="DN17" s="333" t="str">
        <f>IF(DI17="","",'Name List'!$I$4)</f>
        <v/>
      </c>
      <c r="DP17" s="98"/>
      <c r="DQ17" s="99"/>
      <c r="DR17" s="329" t="str">
        <f t="shared" si="12"/>
        <v/>
      </c>
      <c r="DS17" s="77"/>
      <c r="DT17" s="78"/>
      <c r="DU17" s="78"/>
      <c r="DV17" s="79"/>
      <c r="DW17" s="333" t="str">
        <f>IF(DR17="","",'Name List'!$I$4)</f>
        <v/>
      </c>
      <c r="DY17" s="98">
        <v>16</v>
      </c>
      <c r="DZ17" s="99">
        <v>13</v>
      </c>
      <c r="EA17" s="329">
        <f t="shared" si="13"/>
        <v>29</v>
      </c>
      <c r="EB17" s="77">
        <v>0</v>
      </c>
      <c r="EC17" s="78">
        <v>0</v>
      </c>
      <c r="ED17" s="78">
        <v>6</v>
      </c>
      <c r="EE17" s="79">
        <v>3</v>
      </c>
      <c r="EF17" s="333">
        <f>IF(EA17="","",'Name List'!$I$4)</f>
        <v>5</v>
      </c>
      <c r="EH17" s="98">
        <v>18</v>
      </c>
      <c r="EI17" s="99">
        <v>12</v>
      </c>
      <c r="EJ17" s="329">
        <f t="shared" si="14"/>
        <v>30</v>
      </c>
      <c r="EK17" s="77">
        <v>0</v>
      </c>
      <c r="EL17" s="78">
        <v>1</v>
      </c>
      <c r="EM17" s="78">
        <v>6</v>
      </c>
      <c r="EN17" s="79">
        <v>4</v>
      </c>
      <c r="EO17" s="333">
        <f>IF(EJ17="","",'Name List'!$I$4)</f>
        <v>5</v>
      </c>
      <c r="EQ17" s="115"/>
      <c r="ER17" s="116"/>
      <c r="ES17" s="117">
        <v>82</v>
      </c>
      <c r="ET17" s="77">
        <v>0</v>
      </c>
      <c r="EU17" s="78">
        <v>0</v>
      </c>
      <c r="EV17" s="78">
        <v>9</v>
      </c>
      <c r="EW17" s="79"/>
      <c r="EX17" s="333">
        <f>IF(ES17="","",'Name List'!$I$4)</f>
        <v>5</v>
      </c>
      <c r="EZ17" s="68"/>
      <c r="FA17" s="69"/>
      <c r="FB17" s="70"/>
      <c r="FC17" s="77"/>
      <c r="FD17" s="78"/>
      <c r="FE17" s="78"/>
      <c r="FF17" s="79"/>
      <c r="FG17" s="67"/>
      <c r="FI17" s="98"/>
      <c r="FJ17" s="99"/>
      <c r="FK17" s="329" t="str">
        <f t="shared" si="16"/>
        <v/>
      </c>
      <c r="FL17" s="77"/>
      <c r="FM17" s="78"/>
      <c r="FN17" s="78"/>
      <c r="FO17" s="79"/>
      <c r="FP17" s="333" t="str">
        <f>IF(FK17="","",'Name List'!$I$4)</f>
        <v/>
      </c>
      <c r="FR17" s="98"/>
      <c r="FS17" s="99"/>
      <c r="FT17" s="329" t="str">
        <f t="shared" si="17"/>
        <v/>
      </c>
      <c r="FU17" s="77"/>
      <c r="FV17" s="78"/>
      <c r="FW17" s="78"/>
      <c r="FX17" s="79"/>
      <c r="FY17" s="333" t="str">
        <f>IF(FT17="","",'Name List'!$I$4)</f>
        <v/>
      </c>
      <c r="GA17" s="98"/>
      <c r="GB17" s="99"/>
      <c r="GC17" s="329" t="str">
        <f t="shared" si="18"/>
        <v/>
      </c>
      <c r="GD17" s="77"/>
      <c r="GE17" s="78"/>
      <c r="GF17" s="78"/>
      <c r="GG17" s="79"/>
      <c r="GH17" s="333" t="str">
        <f>IF(GC17="","",'Name List'!$I$4)</f>
        <v/>
      </c>
      <c r="GJ17" s="98">
        <v>11</v>
      </c>
      <c r="GK17" s="99">
        <v>15</v>
      </c>
      <c r="GL17" s="329">
        <f t="shared" si="19"/>
        <v>26</v>
      </c>
      <c r="GM17" s="77">
        <v>0</v>
      </c>
      <c r="GN17" s="78">
        <v>1</v>
      </c>
      <c r="GO17" s="78">
        <v>6</v>
      </c>
      <c r="GP17" s="79">
        <v>2</v>
      </c>
      <c r="GQ17" s="333">
        <f>IF(GL17="","",'Name List'!$I$4)</f>
        <v>5</v>
      </c>
      <c r="GS17" s="68"/>
      <c r="GT17" s="69"/>
      <c r="GU17" s="70"/>
      <c r="GV17" s="77"/>
      <c r="GW17" s="78"/>
      <c r="GX17" s="78"/>
      <c r="GY17" s="79"/>
      <c r="GZ17" s="67"/>
      <c r="HB17" s="98"/>
      <c r="HC17" s="99"/>
      <c r="HD17" s="329" t="str">
        <f t="shared" si="21"/>
        <v/>
      </c>
      <c r="HE17" s="77"/>
      <c r="HF17" s="78"/>
      <c r="HG17" s="78"/>
      <c r="HH17" s="79"/>
      <c r="HI17" s="333" t="str">
        <f>IF(HD17="","",'Name List'!$I$4)</f>
        <v/>
      </c>
      <c r="HK17" s="71"/>
      <c r="HL17" s="72"/>
      <c r="HM17" s="383" t="str">
        <f t="shared" si="22"/>
        <v/>
      </c>
      <c r="HN17" s="77"/>
      <c r="HO17" s="78"/>
      <c r="HP17" s="78"/>
      <c r="HQ17" s="79"/>
      <c r="HR17" s="333" t="str">
        <f>IF(HM17="","",'Name List'!$I$4)</f>
        <v/>
      </c>
      <c r="HT17" s="68"/>
      <c r="HU17" s="69"/>
      <c r="HV17" s="70"/>
      <c r="HW17" s="77"/>
      <c r="HX17" s="78"/>
      <c r="HY17" s="78"/>
      <c r="HZ17" s="79"/>
      <c r="IA17" s="67"/>
      <c r="IC17" s="115"/>
      <c r="ID17" s="116"/>
      <c r="IE17" s="117"/>
      <c r="IF17" s="77"/>
      <c r="IG17" s="78"/>
      <c r="IH17" s="78"/>
      <c r="II17" s="79"/>
      <c r="IJ17" s="333" t="str">
        <f>IF(IE17="","",'Name List'!$I$4)</f>
        <v/>
      </c>
      <c r="IL17" s="98"/>
      <c r="IM17" s="99"/>
      <c r="IN17" s="100"/>
      <c r="IO17" s="77"/>
      <c r="IP17" s="78"/>
      <c r="IQ17" s="78"/>
      <c r="IR17" s="79"/>
      <c r="IS17" s="67"/>
      <c r="IU17" s="98"/>
      <c r="IV17" s="99"/>
      <c r="IW17" s="100"/>
      <c r="IX17" s="77"/>
      <c r="IY17" s="78"/>
      <c r="IZ17" s="78"/>
      <c r="JA17" s="79"/>
      <c r="JB17" s="67"/>
      <c r="JD17" s="98"/>
      <c r="JE17" s="99"/>
      <c r="JF17" s="100"/>
      <c r="JG17" s="77"/>
      <c r="JH17" s="78"/>
      <c r="JI17" s="78"/>
      <c r="JJ17" s="79"/>
      <c r="JK17" s="67"/>
      <c r="JM17" s="98"/>
      <c r="JN17" s="99"/>
      <c r="JO17" s="275"/>
      <c r="JP17" s="77"/>
      <c r="JQ17" s="78"/>
      <c r="JR17" s="78"/>
      <c r="JS17" s="79"/>
      <c r="JT17" s="67"/>
      <c r="JV17" s="98"/>
      <c r="JW17" s="99"/>
      <c r="JX17" s="100"/>
      <c r="JY17" s="77"/>
      <c r="JZ17" s="78"/>
      <c r="KA17" s="78"/>
      <c r="KB17" s="79"/>
      <c r="KC17" s="67"/>
      <c r="KE17" s="98"/>
      <c r="KF17" s="99"/>
      <c r="KG17" s="100"/>
      <c r="KH17" s="77"/>
      <c r="KI17" s="78"/>
      <c r="KJ17" s="78"/>
      <c r="KK17" s="79"/>
      <c r="KL17" s="67"/>
      <c r="KN17" s="68"/>
      <c r="KO17" s="69"/>
      <c r="KP17" s="70"/>
      <c r="KQ17" s="77"/>
      <c r="KR17" s="78"/>
      <c r="KS17" s="78"/>
      <c r="KT17" s="79"/>
      <c r="KU17" s="67"/>
      <c r="KW17" s="98"/>
      <c r="KX17" s="99"/>
      <c r="KY17" s="100"/>
      <c r="KZ17" s="77"/>
      <c r="LA17" s="78"/>
      <c r="LB17" s="78"/>
      <c r="LC17" s="79"/>
      <c r="LD17" s="67"/>
      <c r="LF17" s="71"/>
      <c r="LG17" s="72"/>
      <c r="LH17" s="73"/>
      <c r="LI17" s="77"/>
      <c r="LJ17" s="78"/>
      <c r="LK17" s="78"/>
      <c r="LL17" s="79"/>
      <c r="LM17" s="67"/>
      <c r="LO17" s="98"/>
      <c r="LP17" s="99"/>
      <c r="LQ17" s="329"/>
      <c r="LR17" s="77"/>
      <c r="LS17" s="78"/>
      <c r="LT17" s="78"/>
      <c r="LU17" s="79"/>
      <c r="LV17" s="67"/>
      <c r="LX17" s="98"/>
      <c r="LY17" s="99"/>
      <c r="LZ17" s="100"/>
      <c r="MA17" s="77"/>
      <c r="MB17" s="78"/>
      <c r="MC17" s="78"/>
      <c r="MD17" s="79"/>
      <c r="ME17" s="67"/>
      <c r="MG17" s="98"/>
      <c r="MH17" s="99"/>
      <c r="MI17" s="100"/>
      <c r="MJ17" s="77"/>
      <c r="MK17" s="78"/>
      <c r="ML17" s="78"/>
      <c r="MM17" s="79"/>
      <c r="MN17" s="67"/>
      <c r="MP17" s="98"/>
      <c r="MQ17" s="99"/>
      <c r="MR17" s="100"/>
      <c r="MS17" s="77"/>
      <c r="MT17" s="78"/>
      <c r="MU17" s="78"/>
      <c r="MV17" s="79"/>
      <c r="MW17" s="67"/>
      <c r="MY17" s="98"/>
      <c r="MZ17" s="99"/>
      <c r="NA17" s="100"/>
      <c r="NB17" s="77"/>
      <c r="NC17" s="78"/>
      <c r="ND17" s="78"/>
      <c r="NE17" s="79"/>
      <c r="NF17" s="67"/>
      <c r="NH17" s="98"/>
      <c r="NI17" s="99"/>
      <c r="NJ17" s="329"/>
      <c r="NK17" s="77"/>
      <c r="NL17" s="78"/>
      <c r="NM17" s="78"/>
      <c r="NN17" s="79"/>
      <c r="NO17" s="67"/>
      <c r="NQ17" s="98"/>
      <c r="NR17" s="99"/>
      <c r="NS17" s="100"/>
      <c r="NT17" s="77"/>
      <c r="NU17" s="78"/>
      <c r="NV17" s="78"/>
      <c r="NW17" s="79"/>
      <c r="NX17" s="67"/>
      <c r="NZ17" s="71"/>
      <c r="OA17" s="72"/>
      <c r="OB17" s="73"/>
      <c r="OC17" s="77"/>
      <c r="OD17" s="78"/>
      <c r="OE17" s="78"/>
      <c r="OF17" s="79"/>
      <c r="OG17" s="67"/>
      <c r="OI17" s="98"/>
      <c r="OJ17" s="99"/>
      <c r="OK17" s="329"/>
      <c r="OL17" s="77"/>
      <c r="OM17" s="78"/>
      <c r="ON17" s="78"/>
      <c r="OO17" s="79"/>
      <c r="OP17" s="67"/>
      <c r="OR17" s="71"/>
      <c r="OS17" s="72"/>
      <c r="OT17" s="73"/>
      <c r="OU17" s="77"/>
      <c r="OV17" s="78"/>
      <c r="OW17" s="78"/>
      <c r="OX17" s="79"/>
      <c r="OY17" s="67"/>
      <c r="PA17" s="98"/>
      <c r="PB17" s="99"/>
      <c r="PC17" s="100"/>
      <c r="PD17" s="77"/>
      <c r="PE17" s="78"/>
      <c r="PF17" s="78"/>
      <c r="PG17" s="79"/>
      <c r="PH17" s="67"/>
      <c r="PJ17" s="277"/>
      <c r="PK17" s="278"/>
      <c r="PL17" s="279"/>
      <c r="PM17" s="125"/>
      <c r="PN17" s="126"/>
      <c r="PO17" s="126"/>
      <c r="PP17" s="127"/>
      <c r="PQ17" s="128"/>
      <c r="PS17" s="403"/>
      <c r="PT17" s="404"/>
      <c r="PU17" s="405"/>
      <c r="PV17" s="330"/>
      <c r="PW17" s="331"/>
      <c r="PX17" s="331"/>
      <c r="PY17" s="332"/>
      <c r="PZ17" s="333"/>
      <c r="QB17" s="412"/>
      <c r="QC17" s="413"/>
      <c r="QD17" s="414"/>
      <c r="QE17" s="125"/>
      <c r="QF17" s="126"/>
      <c r="QG17" s="126"/>
      <c r="QH17" s="127"/>
      <c r="QI17" s="128"/>
      <c r="QK17" s="283"/>
      <c r="QL17" s="284"/>
      <c r="QM17" s="285"/>
      <c r="QN17" s="125"/>
      <c r="QO17" s="126"/>
      <c r="QP17" s="126"/>
      <c r="QQ17" s="127"/>
      <c r="QR17" s="128" t="str">
        <f>IF(QM17="","",'Name List'!$I$4)</f>
        <v/>
      </c>
      <c r="QS17" s="91"/>
      <c r="QT17" s="107">
        <f t="shared" si="50"/>
        <v>0</v>
      </c>
      <c r="QU17" s="130">
        <f t="shared" si="51"/>
        <v>3</v>
      </c>
      <c r="QV17" s="130">
        <f t="shared" si="52"/>
        <v>31</v>
      </c>
      <c r="QW17" s="108">
        <f t="shared" si="53"/>
        <v>12</v>
      </c>
      <c r="QY17" s="260">
        <f t="shared" si="54"/>
        <v>4</v>
      </c>
      <c r="RA17" s="141">
        <f t="shared" si="55"/>
        <v>18</v>
      </c>
      <c r="RB17" s="106">
        <f t="shared" si="56"/>
        <v>15</v>
      </c>
      <c r="RC17" s="106">
        <f t="shared" si="57"/>
        <v>30</v>
      </c>
      <c r="RD17" s="106">
        <f t="shared" si="58"/>
        <v>11</v>
      </c>
      <c r="RE17" s="106">
        <f t="shared" si="59"/>
        <v>12</v>
      </c>
      <c r="RF17" s="142">
        <f t="shared" si="60"/>
        <v>26</v>
      </c>
      <c r="RG17" s="106"/>
      <c r="RH17" s="139">
        <f t="shared" si="61"/>
        <v>26</v>
      </c>
      <c r="RI17" s="140">
        <f t="shared" si="62"/>
        <v>26</v>
      </c>
      <c r="RJ17" s="106"/>
      <c r="RK17" s="136">
        <f t="shared" si="63"/>
        <v>27.75</v>
      </c>
      <c r="RL17" s="106"/>
      <c r="RM17" s="137">
        <f t="shared" si="64"/>
        <v>82</v>
      </c>
      <c r="RN17" s="138">
        <f t="shared" si="65"/>
        <v>82</v>
      </c>
      <c r="RO17" s="106"/>
      <c r="RP17" s="259">
        <f t="shared" si="66"/>
        <v>1</v>
      </c>
    </row>
    <row r="18" spans="1:484" x14ac:dyDescent="0.2">
      <c r="A18" s="89" t="str">
        <f>'Name List'!B18</f>
        <v>Peter Donovan</v>
      </c>
      <c r="C18" s="98"/>
      <c r="D18" s="99"/>
      <c r="E18" s="329" t="str">
        <f t="shared" si="0"/>
        <v/>
      </c>
      <c r="F18" s="77"/>
      <c r="G18" s="78"/>
      <c r="H18" s="78"/>
      <c r="I18" s="79"/>
      <c r="J18" s="333" t="str">
        <f>IF(E18="","",'Name List'!$I$4)</f>
        <v/>
      </c>
      <c r="L18" s="98"/>
      <c r="M18" s="99"/>
      <c r="N18" s="100"/>
      <c r="O18" s="77"/>
      <c r="P18" s="78"/>
      <c r="Q18" s="78"/>
      <c r="R18" s="79"/>
      <c r="S18" s="67"/>
      <c r="U18" s="71"/>
      <c r="V18" s="72"/>
      <c r="W18" s="396" t="str">
        <f t="shared" si="2"/>
        <v/>
      </c>
      <c r="X18" s="77"/>
      <c r="Y18" s="78"/>
      <c r="Z18" s="78"/>
      <c r="AA18" s="79"/>
      <c r="AB18" s="333" t="str">
        <f>IF(W18="","",'Name List'!$I$4)</f>
        <v/>
      </c>
      <c r="AD18" s="98"/>
      <c r="AE18" s="99"/>
      <c r="AF18" s="329" t="str">
        <f t="shared" si="3"/>
        <v/>
      </c>
      <c r="AG18" s="77"/>
      <c r="AH18" s="78"/>
      <c r="AI18" s="78"/>
      <c r="AJ18" s="79"/>
      <c r="AK18" s="333" t="str">
        <f>IF(AF18="","",'Name List'!$I$4)</f>
        <v/>
      </c>
      <c r="AM18" s="98"/>
      <c r="AN18" s="99"/>
      <c r="AO18" s="329" t="str">
        <f t="shared" si="4"/>
        <v/>
      </c>
      <c r="AP18" s="77"/>
      <c r="AQ18" s="78"/>
      <c r="AR18" s="78"/>
      <c r="AS18" s="79"/>
      <c r="AT18" s="333" t="str">
        <f>IF(AO18="","",'Name List'!$I$4)</f>
        <v/>
      </c>
      <c r="AV18" s="458"/>
      <c r="AW18" s="401"/>
      <c r="AX18" s="400" t="str">
        <f t="shared" si="5"/>
        <v/>
      </c>
      <c r="AY18" s="77"/>
      <c r="AZ18" s="78"/>
      <c r="BA18" s="78"/>
      <c r="BB18" s="79"/>
      <c r="BC18" s="457" t="str">
        <f>IF(AX18="","",'Name List'!$I$4)</f>
        <v/>
      </c>
      <c r="BE18" s="71"/>
      <c r="BF18" s="72"/>
      <c r="BG18" s="383" t="str">
        <f t="shared" si="6"/>
        <v/>
      </c>
      <c r="BH18" s="77"/>
      <c r="BI18" s="78"/>
      <c r="BJ18" s="78"/>
      <c r="BK18" s="79"/>
      <c r="BL18" s="333" t="str">
        <f>IF(BG18="","",'Name List'!$I$4)</f>
        <v/>
      </c>
      <c r="BN18" s="98"/>
      <c r="BO18" s="99"/>
      <c r="BP18" s="100"/>
      <c r="BQ18" s="77"/>
      <c r="BR18" s="78"/>
      <c r="BS18" s="78"/>
      <c r="BT18" s="79"/>
      <c r="BU18" s="67"/>
      <c r="BW18" s="98"/>
      <c r="BX18" s="99"/>
      <c r="BY18" s="329" t="str">
        <f t="shared" si="8"/>
        <v/>
      </c>
      <c r="BZ18" s="77"/>
      <c r="CA18" s="78"/>
      <c r="CB18" s="78"/>
      <c r="CC18" s="79"/>
      <c r="CD18" s="333" t="str">
        <f>IF(BY18="","",'Name List'!$I$4)</f>
        <v/>
      </c>
      <c r="CF18" s="68"/>
      <c r="CG18" s="69"/>
      <c r="CH18" s="282" t="str">
        <f t="shared" si="49"/>
        <v/>
      </c>
      <c r="CI18" s="77"/>
      <c r="CJ18" s="78"/>
      <c r="CK18" s="78"/>
      <c r="CL18" s="79"/>
      <c r="CM18" s="333" t="str">
        <f>IF(CH18="","",'Name List'!$I$4)</f>
        <v/>
      </c>
      <c r="CO18" s="71"/>
      <c r="CP18" s="72"/>
      <c r="CQ18" s="383" t="str">
        <f t="shared" si="9"/>
        <v/>
      </c>
      <c r="CR18" s="77"/>
      <c r="CS18" s="78"/>
      <c r="CT18" s="78"/>
      <c r="CU18" s="79"/>
      <c r="CV18" s="333" t="str">
        <f>IF(CQ18="","",'Name List'!$I$4)</f>
        <v/>
      </c>
      <c r="CX18" s="98"/>
      <c r="CY18" s="99"/>
      <c r="CZ18" s="329" t="str">
        <f t="shared" si="10"/>
        <v/>
      </c>
      <c r="DA18" s="77"/>
      <c r="DB18" s="78"/>
      <c r="DC18" s="78"/>
      <c r="DD18" s="79"/>
      <c r="DE18" s="333" t="str">
        <f>IF(CZ18="","",'Name List'!$I$4)</f>
        <v/>
      </c>
      <c r="DG18" s="98"/>
      <c r="DH18" s="99"/>
      <c r="DI18" s="329" t="str">
        <f t="shared" si="11"/>
        <v/>
      </c>
      <c r="DJ18" s="77"/>
      <c r="DK18" s="78"/>
      <c r="DL18" s="78"/>
      <c r="DM18" s="79"/>
      <c r="DN18" s="333" t="str">
        <f>IF(DI18="","",'Name List'!$I$4)</f>
        <v/>
      </c>
      <c r="DP18" s="98"/>
      <c r="DQ18" s="99"/>
      <c r="DR18" s="329" t="str">
        <f t="shared" si="12"/>
        <v/>
      </c>
      <c r="DS18" s="77"/>
      <c r="DT18" s="78"/>
      <c r="DU18" s="78"/>
      <c r="DV18" s="79"/>
      <c r="DW18" s="333" t="str">
        <f>IF(DR18="","",'Name List'!$I$4)</f>
        <v/>
      </c>
      <c r="DY18" s="98"/>
      <c r="DZ18" s="99"/>
      <c r="EA18" s="329" t="str">
        <f t="shared" si="13"/>
        <v/>
      </c>
      <c r="EB18" s="77"/>
      <c r="EC18" s="78"/>
      <c r="ED18" s="78"/>
      <c r="EE18" s="79"/>
      <c r="EF18" s="333" t="str">
        <f>IF(EA18="","",'Name List'!$I$4)</f>
        <v/>
      </c>
      <c r="EH18" s="98"/>
      <c r="EI18" s="99"/>
      <c r="EJ18" s="329" t="str">
        <f t="shared" si="14"/>
        <v/>
      </c>
      <c r="EK18" s="77"/>
      <c r="EL18" s="78"/>
      <c r="EM18" s="78"/>
      <c r="EN18" s="79"/>
      <c r="EO18" s="333" t="str">
        <f>IF(EJ18="","",'Name List'!$I$4)</f>
        <v/>
      </c>
      <c r="EQ18" s="115"/>
      <c r="ER18" s="116"/>
      <c r="ES18" s="117"/>
      <c r="ET18" s="77"/>
      <c r="EU18" s="78"/>
      <c r="EV18" s="78"/>
      <c r="EW18" s="79"/>
      <c r="EX18" s="333" t="str">
        <f>IF(ES18="","",'Name List'!$I$4)</f>
        <v/>
      </c>
      <c r="EZ18" s="68"/>
      <c r="FA18" s="69"/>
      <c r="FB18" s="70"/>
      <c r="FC18" s="77"/>
      <c r="FD18" s="78"/>
      <c r="FE18" s="78"/>
      <c r="FF18" s="79"/>
      <c r="FG18" s="67"/>
      <c r="FI18" s="98"/>
      <c r="FJ18" s="99"/>
      <c r="FK18" s="329" t="str">
        <f t="shared" si="16"/>
        <v/>
      </c>
      <c r="FL18" s="77"/>
      <c r="FM18" s="78"/>
      <c r="FN18" s="78"/>
      <c r="FO18" s="79"/>
      <c r="FP18" s="333" t="str">
        <f>IF(FK18="","",'Name List'!$I$4)</f>
        <v/>
      </c>
      <c r="FR18" s="98"/>
      <c r="FS18" s="99"/>
      <c r="FT18" s="329" t="str">
        <f t="shared" si="17"/>
        <v/>
      </c>
      <c r="FU18" s="77"/>
      <c r="FV18" s="78"/>
      <c r="FW18" s="78"/>
      <c r="FX18" s="79"/>
      <c r="FY18" s="333" t="str">
        <f>IF(FT18="","",'Name List'!$I$4)</f>
        <v/>
      </c>
      <c r="GA18" s="98"/>
      <c r="GB18" s="99"/>
      <c r="GC18" s="329" t="str">
        <f t="shared" si="18"/>
        <v/>
      </c>
      <c r="GD18" s="77"/>
      <c r="GE18" s="78"/>
      <c r="GF18" s="78"/>
      <c r="GG18" s="79"/>
      <c r="GH18" s="333" t="str">
        <f>IF(GC18="","",'Name List'!$I$4)</f>
        <v/>
      </c>
      <c r="GJ18" s="98"/>
      <c r="GK18" s="99"/>
      <c r="GL18" s="329" t="str">
        <f t="shared" si="19"/>
        <v/>
      </c>
      <c r="GM18" s="77"/>
      <c r="GN18" s="78"/>
      <c r="GO18" s="78"/>
      <c r="GP18" s="79"/>
      <c r="GQ18" s="333" t="str">
        <f>IF(GL18="","",'Name List'!$I$4)</f>
        <v/>
      </c>
      <c r="GS18" s="68"/>
      <c r="GT18" s="69"/>
      <c r="GU18" s="70"/>
      <c r="GV18" s="77"/>
      <c r="GW18" s="78"/>
      <c r="GX18" s="78"/>
      <c r="GY18" s="79"/>
      <c r="GZ18" s="67"/>
      <c r="HB18" s="98"/>
      <c r="HC18" s="99"/>
      <c r="HD18" s="329" t="str">
        <f t="shared" si="21"/>
        <v/>
      </c>
      <c r="HE18" s="77"/>
      <c r="HF18" s="78"/>
      <c r="HG18" s="78"/>
      <c r="HH18" s="79"/>
      <c r="HI18" s="333" t="str">
        <f>IF(HD18="","",'Name List'!$I$4)</f>
        <v/>
      </c>
      <c r="HK18" s="71"/>
      <c r="HL18" s="72"/>
      <c r="HM18" s="383" t="str">
        <f t="shared" si="22"/>
        <v/>
      </c>
      <c r="HN18" s="77"/>
      <c r="HO18" s="78"/>
      <c r="HP18" s="78"/>
      <c r="HQ18" s="79"/>
      <c r="HR18" s="333" t="str">
        <f>IF(HM18="","",'Name List'!$I$4)</f>
        <v/>
      </c>
      <c r="HT18" s="68"/>
      <c r="HU18" s="69"/>
      <c r="HV18" s="70"/>
      <c r="HW18" s="77"/>
      <c r="HX18" s="78"/>
      <c r="HY18" s="78"/>
      <c r="HZ18" s="79"/>
      <c r="IA18" s="67"/>
      <c r="IC18" s="115"/>
      <c r="ID18" s="116"/>
      <c r="IE18" s="117"/>
      <c r="IF18" s="77"/>
      <c r="IG18" s="78"/>
      <c r="IH18" s="78"/>
      <c r="II18" s="79"/>
      <c r="IJ18" s="333" t="str">
        <f>IF(IE18="","",'Name List'!$I$4)</f>
        <v/>
      </c>
      <c r="IL18" s="98"/>
      <c r="IM18" s="99"/>
      <c r="IN18" s="100"/>
      <c r="IO18" s="77"/>
      <c r="IP18" s="78"/>
      <c r="IQ18" s="78"/>
      <c r="IR18" s="79"/>
      <c r="IS18" s="67"/>
      <c r="IU18" s="98"/>
      <c r="IV18" s="99"/>
      <c r="IW18" s="100"/>
      <c r="IX18" s="77"/>
      <c r="IY18" s="78"/>
      <c r="IZ18" s="78"/>
      <c r="JA18" s="79"/>
      <c r="JB18" s="67"/>
      <c r="JD18" s="98"/>
      <c r="JE18" s="99"/>
      <c r="JF18" s="100"/>
      <c r="JG18" s="77"/>
      <c r="JH18" s="78"/>
      <c r="JI18" s="78"/>
      <c r="JJ18" s="79"/>
      <c r="JK18" s="67"/>
      <c r="JM18" s="98"/>
      <c r="JN18" s="99"/>
      <c r="JO18" s="275"/>
      <c r="JP18" s="77"/>
      <c r="JQ18" s="78"/>
      <c r="JR18" s="78"/>
      <c r="JS18" s="79"/>
      <c r="JT18" s="67"/>
      <c r="JV18" s="98"/>
      <c r="JW18" s="99"/>
      <c r="JX18" s="100"/>
      <c r="JY18" s="77"/>
      <c r="JZ18" s="78"/>
      <c r="KA18" s="78"/>
      <c r="KB18" s="79"/>
      <c r="KC18" s="67"/>
      <c r="KE18" s="98"/>
      <c r="KF18" s="99"/>
      <c r="KG18" s="100"/>
      <c r="KH18" s="77"/>
      <c r="KI18" s="78"/>
      <c r="KJ18" s="78"/>
      <c r="KK18" s="79"/>
      <c r="KL18" s="67"/>
      <c r="KN18" s="68"/>
      <c r="KO18" s="69"/>
      <c r="KP18" s="70"/>
      <c r="KQ18" s="77"/>
      <c r="KR18" s="78"/>
      <c r="KS18" s="78"/>
      <c r="KT18" s="79"/>
      <c r="KU18" s="67"/>
      <c r="KW18" s="98"/>
      <c r="KX18" s="99"/>
      <c r="KY18" s="100"/>
      <c r="KZ18" s="77"/>
      <c r="LA18" s="78"/>
      <c r="LB18" s="78"/>
      <c r="LC18" s="79"/>
      <c r="LD18" s="67"/>
      <c r="LF18" s="71"/>
      <c r="LG18" s="72"/>
      <c r="LH18" s="73"/>
      <c r="LI18" s="77"/>
      <c r="LJ18" s="78"/>
      <c r="LK18" s="78"/>
      <c r="LL18" s="79"/>
      <c r="LM18" s="67"/>
      <c r="LO18" s="98"/>
      <c r="LP18" s="99"/>
      <c r="LQ18" s="329"/>
      <c r="LR18" s="77"/>
      <c r="LS18" s="78"/>
      <c r="LT18" s="78"/>
      <c r="LU18" s="79"/>
      <c r="LV18" s="67"/>
      <c r="LX18" s="98"/>
      <c r="LY18" s="99"/>
      <c r="LZ18" s="100"/>
      <c r="MA18" s="77"/>
      <c r="MB18" s="78"/>
      <c r="MC18" s="78"/>
      <c r="MD18" s="79"/>
      <c r="ME18" s="67"/>
      <c r="MG18" s="98"/>
      <c r="MH18" s="99"/>
      <c r="MI18" s="100"/>
      <c r="MJ18" s="77"/>
      <c r="MK18" s="78"/>
      <c r="ML18" s="78"/>
      <c r="MM18" s="79"/>
      <c r="MN18" s="67"/>
      <c r="MP18" s="98"/>
      <c r="MQ18" s="99"/>
      <c r="MR18" s="100"/>
      <c r="MS18" s="77"/>
      <c r="MT18" s="78"/>
      <c r="MU18" s="78"/>
      <c r="MV18" s="79"/>
      <c r="MW18" s="67"/>
      <c r="MY18" s="98"/>
      <c r="MZ18" s="99"/>
      <c r="NA18" s="100"/>
      <c r="NB18" s="77"/>
      <c r="NC18" s="78"/>
      <c r="ND18" s="78"/>
      <c r="NE18" s="79"/>
      <c r="NF18" s="67"/>
      <c r="NH18" s="98"/>
      <c r="NI18" s="99"/>
      <c r="NJ18" s="329"/>
      <c r="NK18" s="77"/>
      <c r="NL18" s="78"/>
      <c r="NM18" s="78"/>
      <c r="NN18" s="79"/>
      <c r="NO18" s="67"/>
      <c r="NQ18" s="98"/>
      <c r="NR18" s="99"/>
      <c r="NS18" s="100"/>
      <c r="NT18" s="77"/>
      <c r="NU18" s="78"/>
      <c r="NV18" s="78"/>
      <c r="NW18" s="79"/>
      <c r="NX18" s="67"/>
      <c r="NZ18" s="71"/>
      <c r="OA18" s="72"/>
      <c r="OB18" s="73"/>
      <c r="OC18" s="77"/>
      <c r="OD18" s="78"/>
      <c r="OE18" s="78"/>
      <c r="OF18" s="79"/>
      <c r="OG18" s="67"/>
      <c r="OI18" s="98"/>
      <c r="OJ18" s="99"/>
      <c r="OK18" s="329"/>
      <c r="OL18" s="77"/>
      <c r="OM18" s="78"/>
      <c r="ON18" s="78"/>
      <c r="OO18" s="79"/>
      <c r="OP18" s="67"/>
      <c r="OR18" s="71"/>
      <c r="OS18" s="72"/>
      <c r="OT18" s="73"/>
      <c r="OU18" s="77"/>
      <c r="OV18" s="78"/>
      <c r="OW18" s="78"/>
      <c r="OX18" s="79"/>
      <c r="OY18" s="67"/>
      <c r="PA18" s="98"/>
      <c r="PB18" s="99"/>
      <c r="PC18" s="100"/>
      <c r="PD18" s="77"/>
      <c r="PE18" s="78"/>
      <c r="PF18" s="78"/>
      <c r="PG18" s="79"/>
      <c r="PH18" s="67"/>
      <c r="PJ18" s="277"/>
      <c r="PK18" s="278"/>
      <c r="PL18" s="279"/>
      <c r="PM18" s="125"/>
      <c r="PN18" s="126"/>
      <c r="PO18" s="126"/>
      <c r="PP18" s="127"/>
      <c r="PQ18" s="128"/>
      <c r="PS18" s="403"/>
      <c r="PT18" s="404"/>
      <c r="PU18" s="405"/>
      <c r="PV18" s="330"/>
      <c r="PW18" s="331"/>
      <c r="PX18" s="331"/>
      <c r="PY18" s="332"/>
      <c r="PZ18" s="333"/>
      <c r="QB18" s="412"/>
      <c r="QC18" s="413"/>
      <c r="QD18" s="414"/>
      <c r="QE18" s="125"/>
      <c r="QF18" s="126"/>
      <c r="QG18" s="126"/>
      <c r="QH18" s="127"/>
      <c r="QI18" s="128"/>
      <c r="QK18" s="283"/>
      <c r="QL18" s="284"/>
      <c r="QM18" s="285"/>
      <c r="QN18" s="125"/>
      <c r="QO18" s="126"/>
      <c r="QP18" s="126"/>
      <c r="QQ18" s="127"/>
      <c r="QR18" s="128" t="str">
        <f>IF(QM18="","",'Name List'!$I$4)</f>
        <v/>
      </c>
      <c r="QS18" s="91"/>
      <c r="QT18" s="107">
        <f t="shared" si="50"/>
        <v>0</v>
      </c>
      <c r="QU18" s="130">
        <f t="shared" si="51"/>
        <v>0</v>
      </c>
      <c r="QV18" s="130">
        <f t="shared" si="52"/>
        <v>0</v>
      </c>
      <c r="QW18" s="108">
        <f t="shared" si="53"/>
        <v>0</v>
      </c>
      <c r="QY18" s="260">
        <f t="shared" si="54"/>
        <v>0</v>
      </c>
      <c r="RA18" s="141">
        <f t="shared" si="55"/>
        <v>0</v>
      </c>
      <c r="RB18" s="106">
        <f t="shared" si="56"/>
        <v>0</v>
      </c>
      <c r="RC18" s="106">
        <f t="shared" si="57"/>
        <v>0</v>
      </c>
      <c r="RD18" s="106">
        <f t="shared" si="58"/>
        <v>0</v>
      </c>
      <c r="RE18" s="106">
        <f t="shared" si="59"/>
        <v>0</v>
      </c>
      <c r="RF18" s="142">
        <f t="shared" si="60"/>
        <v>0</v>
      </c>
      <c r="RG18" s="106"/>
      <c r="RH18" s="139">
        <f t="shared" si="61"/>
        <v>0</v>
      </c>
      <c r="RI18" s="140">
        <f t="shared" si="62"/>
        <v>0</v>
      </c>
      <c r="RJ18" s="106"/>
      <c r="RK18" s="136">
        <f t="shared" si="63"/>
        <v>0</v>
      </c>
      <c r="RL18" s="106"/>
      <c r="RM18" s="137">
        <f t="shared" si="64"/>
        <v>0</v>
      </c>
      <c r="RN18" s="138">
        <f t="shared" si="65"/>
        <v>0</v>
      </c>
      <c r="RO18" s="106"/>
      <c r="RP18" s="259">
        <f t="shared" si="66"/>
        <v>0</v>
      </c>
    </row>
    <row r="19" spans="1:484" x14ac:dyDescent="0.2">
      <c r="A19" s="89" t="str">
        <f>'Name List'!B19</f>
        <v>James Dunn</v>
      </c>
      <c r="C19" s="98"/>
      <c r="D19" s="99"/>
      <c r="E19" s="329" t="str">
        <f t="shared" si="0"/>
        <v/>
      </c>
      <c r="F19" s="77"/>
      <c r="G19" s="78"/>
      <c r="H19" s="78"/>
      <c r="I19" s="79"/>
      <c r="J19" s="333" t="str">
        <f>IF(E19="","",'Name List'!$I$4)</f>
        <v/>
      </c>
      <c r="L19" s="98"/>
      <c r="M19" s="99"/>
      <c r="N19" s="100"/>
      <c r="O19" s="77"/>
      <c r="P19" s="78"/>
      <c r="Q19" s="78"/>
      <c r="R19" s="79"/>
      <c r="S19" s="67"/>
      <c r="U19" s="71"/>
      <c r="V19" s="72"/>
      <c r="W19" s="396" t="str">
        <f t="shared" si="2"/>
        <v/>
      </c>
      <c r="X19" s="77"/>
      <c r="Y19" s="78"/>
      <c r="Z19" s="78"/>
      <c r="AA19" s="79"/>
      <c r="AB19" s="333" t="str">
        <f>IF(W19="","",'Name List'!$I$4)</f>
        <v/>
      </c>
      <c r="AD19" s="98"/>
      <c r="AE19" s="99"/>
      <c r="AF19" s="329" t="str">
        <f t="shared" si="3"/>
        <v/>
      </c>
      <c r="AG19" s="77"/>
      <c r="AH19" s="78"/>
      <c r="AI19" s="78"/>
      <c r="AJ19" s="79"/>
      <c r="AK19" s="333" t="str">
        <f>IF(AF19="","",'Name List'!$I$4)</f>
        <v/>
      </c>
      <c r="AM19" s="98"/>
      <c r="AN19" s="99"/>
      <c r="AO19" s="329" t="str">
        <f t="shared" si="4"/>
        <v/>
      </c>
      <c r="AP19" s="77"/>
      <c r="AQ19" s="78"/>
      <c r="AR19" s="78"/>
      <c r="AS19" s="79"/>
      <c r="AT19" s="333" t="str">
        <f>IF(AO19="","",'Name List'!$I$4)</f>
        <v/>
      </c>
      <c r="AV19" s="458"/>
      <c r="AW19" s="401"/>
      <c r="AX19" s="400" t="str">
        <f t="shared" si="5"/>
        <v/>
      </c>
      <c r="AY19" s="77"/>
      <c r="AZ19" s="78"/>
      <c r="BA19" s="78"/>
      <c r="BB19" s="79"/>
      <c r="BC19" s="457" t="str">
        <f>IF(AX19="","",'Name List'!$I$4)</f>
        <v/>
      </c>
      <c r="BE19" s="71"/>
      <c r="BF19" s="72"/>
      <c r="BG19" s="383" t="str">
        <f t="shared" si="6"/>
        <v/>
      </c>
      <c r="BH19" s="77"/>
      <c r="BI19" s="78"/>
      <c r="BJ19" s="78"/>
      <c r="BK19" s="79"/>
      <c r="BL19" s="333" t="str">
        <f>IF(BG19="","",'Name List'!$I$4)</f>
        <v/>
      </c>
      <c r="BN19" s="98"/>
      <c r="BO19" s="99"/>
      <c r="BP19" s="100"/>
      <c r="BQ19" s="77"/>
      <c r="BR19" s="78"/>
      <c r="BS19" s="78"/>
      <c r="BT19" s="79"/>
      <c r="BU19" s="67"/>
      <c r="BW19" s="98"/>
      <c r="BX19" s="99"/>
      <c r="BY19" s="329" t="str">
        <f t="shared" si="8"/>
        <v/>
      </c>
      <c r="BZ19" s="77"/>
      <c r="CA19" s="78"/>
      <c r="CB19" s="78"/>
      <c r="CC19" s="79"/>
      <c r="CD19" s="333" t="str">
        <f>IF(BY19="","",'Name List'!$I$4)</f>
        <v/>
      </c>
      <c r="CF19" s="68">
        <v>19</v>
      </c>
      <c r="CG19" s="69">
        <v>18</v>
      </c>
      <c r="CH19" s="282">
        <f t="shared" si="49"/>
        <v>37</v>
      </c>
      <c r="CI19" s="77">
        <v>1</v>
      </c>
      <c r="CJ19" s="78">
        <v>2</v>
      </c>
      <c r="CK19" s="78">
        <v>15</v>
      </c>
      <c r="CL19" s="79">
        <v>0</v>
      </c>
      <c r="CM19" s="333">
        <f>IF(CH19="","",'Name List'!$I$4)</f>
        <v>5</v>
      </c>
      <c r="CO19" s="71"/>
      <c r="CP19" s="72"/>
      <c r="CQ19" s="383" t="str">
        <f t="shared" si="9"/>
        <v/>
      </c>
      <c r="CR19" s="77"/>
      <c r="CS19" s="78"/>
      <c r="CT19" s="78"/>
      <c r="CU19" s="79"/>
      <c r="CV19" s="333" t="str">
        <f>IF(CQ19="","",'Name List'!$I$4)</f>
        <v/>
      </c>
      <c r="CX19" s="98"/>
      <c r="CY19" s="99"/>
      <c r="CZ19" s="329" t="str">
        <f t="shared" si="10"/>
        <v/>
      </c>
      <c r="DA19" s="77"/>
      <c r="DB19" s="78"/>
      <c r="DC19" s="78"/>
      <c r="DD19" s="79"/>
      <c r="DE19" s="333" t="str">
        <f>IF(CZ19="","",'Name List'!$I$4)</f>
        <v/>
      </c>
      <c r="DG19" s="98"/>
      <c r="DH19" s="99"/>
      <c r="DI19" s="329" t="str">
        <f t="shared" si="11"/>
        <v/>
      </c>
      <c r="DJ19" s="77"/>
      <c r="DK19" s="78"/>
      <c r="DL19" s="78"/>
      <c r="DM19" s="79"/>
      <c r="DN19" s="333" t="str">
        <f>IF(DI19="","",'Name List'!$I$4)</f>
        <v/>
      </c>
      <c r="DP19" s="98"/>
      <c r="DQ19" s="99"/>
      <c r="DR19" s="329" t="str">
        <f t="shared" si="12"/>
        <v/>
      </c>
      <c r="DS19" s="77"/>
      <c r="DT19" s="78"/>
      <c r="DU19" s="78"/>
      <c r="DV19" s="79"/>
      <c r="DW19" s="333" t="str">
        <f>IF(DR19="","",'Name List'!$I$4)</f>
        <v/>
      </c>
      <c r="DY19" s="98"/>
      <c r="DZ19" s="99"/>
      <c r="EA19" s="329" t="str">
        <f t="shared" si="13"/>
        <v/>
      </c>
      <c r="EB19" s="77"/>
      <c r="EC19" s="78"/>
      <c r="ED19" s="78"/>
      <c r="EE19" s="79"/>
      <c r="EF19" s="333" t="str">
        <f>IF(EA19="","",'Name List'!$I$4)</f>
        <v/>
      </c>
      <c r="EH19" s="98"/>
      <c r="EI19" s="99"/>
      <c r="EJ19" s="329" t="str">
        <f t="shared" si="14"/>
        <v/>
      </c>
      <c r="EK19" s="77"/>
      <c r="EL19" s="78"/>
      <c r="EM19" s="78"/>
      <c r="EN19" s="79"/>
      <c r="EO19" s="333" t="str">
        <f>IF(EJ19="","",'Name List'!$I$4)</f>
        <v/>
      </c>
      <c r="EQ19" s="115"/>
      <c r="ER19" s="116"/>
      <c r="ES19" s="117"/>
      <c r="ET19" s="77"/>
      <c r="EU19" s="78"/>
      <c r="EV19" s="78"/>
      <c r="EW19" s="79"/>
      <c r="EX19" s="333" t="str">
        <f>IF(ES19="","",'Name List'!$I$4)</f>
        <v/>
      </c>
      <c r="EZ19" s="68"/>
      <c r="FA19" s="69"/>
      <c r="FB19" s="70"/>
      <c r="FC19" s="77"/>
      <c r="FD19" s="78"/>
      <c r="FE19" s="78"/>
      <c r="FF19" s="79"/>
      <c r="FG19" s="67"/>
      <c r="FI19" s="98"/>
      <c r="FJ19" s="99"/>
      <c r="FK19" s="329" t="str">
        <f t="shared" si="16"/>
        <v/>
      </c>
      <c r="FL19" s="77"/>
      <c r="FM19" s="78"/>
      <c r="FN19" s="78"/>
      <c r="FO19" s="79"/>
      <c r="FP19" s="333" t="str">
        <f>IF(FK19="","",'Name List'!$I$4)</f>
        <v/>
      </c>
      <c r="FR19" s="98"/>
      <c r="FS19" s="99"/>
      <c r="FT19" s="329" t="str">
        <f t="shared" si="17"/>
        <v/>
      </c>
      <c r="FU19" s="77"/>
      <c r="FV19" s="78"/>
      <c r="FW19" s="78"/>
      <c r="FX19" s="79"/>
      <c r="FY19" s="333" t="str">
        <f>IF(FT19="","",'Name List'!$I$4)</f>
        <v/>
      </c>
      <c r="GA19" s="98"/>
      <c r="GB19" s="99"/>
      <c r="GC19" s="329" t="str">
        <f t="shared" si="18"/>
        <v/>
      </c>
      <c r="GD19" s="77"/>
      <c r="GE19" s="78"/>
      <c r="GF19" s="78"/>
      <c r="GG19" s="79"/>
      <c r="GH19" s="333" t="str">
        <f>IF(GC19="","",'Name List'!$I$4)</f>
        <v/>
      </c>
      <c r="GJ19" s="98"/>
      <c r="GK19" s="99"/>
      <c r="GL19" s="329" t="str">
        <f t="shared" si="19"/>
        <v/>
      </c>
      <c r="GM19" s="77"/>
      <c r="GN19" s="78"/>
      <c r="GO19" s="78"/>
      <c r="GP19" s="79"/>
      <c r="GQ19" s="333" t="str">
        <f>IF(GL19="","",'Name List'!$I$4)</f>
        <v/>
      </c>
      <c r="GS19" s="68"/>
      <c r="GT19" s="69"/>
      <c r="GU19" s="70"/>
      <c r="GV19" s="77"/>
      <c r="GW19" s="78"/>
      <c r="GX19" s="78"/>
      <c r="GY19" s="79"/>
      <c r="GZ19" s="67"/>
      <c r="HB19" s="98"/>
      <c r="HC19" s="99"/>
      <c r="HD19" s="329" t="str">
        <f t="shared" si="21"/>
        <v/>
      </c>
      <c r="HE19" s="77"/>
      <c r="HF19" s="78"/>
      <c r="HG19" s="78"/>
      <c r="HH19" s="79"/>
      <c r="HI19" s="333" t="str">
        <f>IF(HD19="","",'Name List'!$I$4)</f>
        <v/>
      </c>
      <c r="HK19" s="71"/>
      <c r="HL19" s="72"/>
      <c r="HM19" s="383" t="str">
        <f t="shared" si="22"/>
        <v/>
      </c>
      <c r="HN19" s="77"/>
      <c r="HO19" s="78"/>
      <c r="HP19" s="78"/>
      <c r="HQ19" s="79"/>
      <c r="HR19" s="333" t="str">
        <f>IF(HM19="","",'Name List'!$I$4)</f>
        <v/>
      </c>
      <c r="HT19" s="68"/>
      <c r="HU19" s="69"/>
      <c r="HV19" s="70"/>
      <c r="HW19" s="77"/>
      <c r="HX19" s="78"/>
      <c r="HY19" s="78"/>
      <c r="HZ19" s="79"/>
      <c r="IA19" s="67"/>
      <c r="IC19" s="115"/>
      <c r="ID19" s="116"/>
      <c r="IE19" s="117"/>
      <c r="IF19" s="77"/>
      <c r="IG19" s="78"/>
      <c r="IH19" s="78"/>
      <c r="II19" s="79"/>
      <c r="IJ19" s="333" t="str">
        <f>IF(IE19="","",'Name List'!$I$4)</f>
        <v/>
      </c>
      <c r="IL19" s="98"/>
      <c r="IM19" s="99"/>
      <c r="IN19" s="100"/>
      <c r="IO19" s="77"/>
      <c r="IP19" s="78"/>
      <c r="IQ19" s="78"/>
      <c r="IR19" s="79"/>
      <c r="IS19" s="67"/>
      <c r="IU19" s="98"/>
      <c r="IV19" s="99"/>
      <c r="IW19" s="100"/>
      <c r="IX19" s="77"/>
      <c r="IY19" s="78"/>
      <c r="IZ19" s="78"/>
      <c r="JA19" s="79"/>
      <c r="JB19" s="67"/>
      <c r="JD19" s="98"/>
      <c r="JE19" s="99"/>
      <c r="JF19" s="100"/>
      <c r="JG19" s="77"/>
      <c r="JH19" s="78"/>
      <c r="JI19" s="78"/>
      <c r="JJ19" s="79"/>
      <c r="JK19" s="67"/>
      <c r="JM19" s="98"/>
      <c r="JN19" s="99"/>
      <c r="JO19" s="275"/>
      <c r="JP19" s="77"/>
      <c r="JQ19" s="78"/>
      <c r="JR19" s="78"/>
      <c r="JS19" s="79"/>
      <c r="JT19" s="67"/>
      <c r="JV19" s="98"/>
      <c r="JW19" s="99"/>
      <c r="JX19" s="100"/>
      <c r="JY19" s="77"/>
      <c r="JZ19" s="78"/>
      <c r="KA19" s="78"/>
      <c r="KB19" s="79"/>
      <c r="KC19" s="67"/>
      <c r="KE19" s="98"/>
      <c r="KF19" s="99"/>
      <c r="KG19" s="100"/>
      <c r="KH19" s="77"/>
      <c r="KI19" s="78"/>
      <c r="KJ19" s="78"/>
      <c r="KK19" s="79"/>
      <c r="KL19" s="67"/>
      <c r="KN19" s="68"/>
      <c r="KO19" s="69"/>
      <c r="KP19" s="70"/>
      <c r="KQ19" s="77"/>
      <c r="KR19" s="78"/>
      <c r="KS19" s="78"/>
      <c r="KT19" s="79"/>
      <c r="KU19" s="67"/>
      <c r="KW19" s="98"/>
      <c r="KX19" s="99"/>
      <c r="KY19" s="100"/>
      <c r="KZ19" s="77"/>
      <c r="LA19" s="78"/>
      <c r="LB19" s="78"/>
      <c r="LC19" s="79"/>
      <c r="LD19" s="67"/>
      <c r="LF19" s="71"/>
      <c r="LG19" s="72"/>
      <c r="LH19" s="73"/>
      <c r="LI19" s="77"/>
      <c r="LJ19" s="78"/>
      <c r="LK19" s="78"/>
      <c r="LL19" s="79"/>
      <c r="LM19" s="67"/>
      <c r="LO19" s="98"/>
      <c r="LP19" s="99"/>
      <c r="LQ19" s="329"/>
      <c r="LR19" s="77"/>
      <c r="LS19" s="78"/>
      <c r="LT19" s="78"/>
      <c r="LU19" s="79"/>
      <c r="LV19" s="67"/>
      <c r="LX19" s="98"/>
      <c r="LY19" s="99"/>
      <c r="LZ19" s="100"/>
      <c r="MA19" s="77"/>
      <c r="MB19" s="78"/>
      <c r="MC19" s="78"/>
      <c r="MD19" s="79"/>
      <c r="ME19" s="67"/>
      <c r="MG19" s="98"/>
      <c r="MH19" s="99"/>
      <c r="MI19" s="100"/>
      <c r="MJ19" s="77"/>
      <c r="MK19" s="78"/>
      <c r="ML19" s="78"/>
      <c r="MM19" s="79"/>
      <c r="MN19" s="67"/>
      <c r="MP19" s="98"/>
      <c r="MQ19" s="99"/>
      <c r="MR19" s="100"/>
      <c r="MS19" s="77"/>
      <c r="MT19" s="78"/>
      <c r="MU19" s="78"/>
      <c r="MV19" s="79"/>
      <c r="MW19" s="67"/>
      <c r="MY19" s="98"/>
      <c r="MZ19" s="99"/>
      <c r="NA19" s="100"/>
      <c r="NB19" s="77"/>
      <c r="NC19" s="78"/>
      <c r="ND19" s="78"/>
      <c r="NE19" s="79"/>
      <c r="NF19" s="67"/>
      <c r="NH19" s="98"/>
      <c r="NI19" s="99"/>
      <c r="NJ19" s="329"/>
      <c r="NK19" s="77"/>
      <c r="NL19" s="78"/>
      <c r="NM19" s="78"/>
      <c r="NN19" s="79"/>
      <c r="NO19" s="67"/>
      <c r="NQ19" s="98"/>
      <c r="NR19" s="99"/>
      <c r="NS19" s="100"/>
      <c r="NT19" s="77"/>
      <c r="NU19" s="78"/>
      <c r="NV19" s="78"/>
      <c r="NW19" s="79"/>
      <c r="NX19" s="67"/>
      <c r="NZ19" s="71"/>
      <c r="OA19" s="72"/>
      <c r="OB19" s="73"/>
      <c r="OC19" s="77"/>
      <c r="OD19" s="78"/>
      <c r="OE19" s="78"/>
      <c r="OF19" s="79"/>
      <c r="OG19" s="67"/>
      <c r="OI19" s="98"/>
      <c r="OJ19" s="99"/>
      <c r="OK19" s="329"/>
      <c r="OL19" s="77"/>
      <c r="OM19" s="78"/>
      <c r="ON19" s="78"/>
      <c r="OO19" s="79"/>
      <c r="OP19" s="67"/>
      <c r="OR19" s="71"/>
      <c r="OS19" s="72"/>
      <c r="OT19" s="73"/>
      <c r="OU19" s="77"/>
      <c r="OV19" s="78"/>
      <c r="OW19" s="78"/>
      <c r="OX19" s="79"/>
      <c r="OY19" s="67"/>
      <c r="PA19" s="98"/>
      <c r="PB19" s="99"/>
      <c r="PC19" s="100"/>
      <c r="PD19" s="77"/>
      <c r="PE19" s="78"/>
      <c r="PF19" s="78"/>
      <c r="PG19" s="79"/>
      <c r="PH19" s="67"/>
      <c r="PJ19" s="277"/>
      <c r="PK19" s="278"/>
      <c r="PL19" s="279"/>
      <c r="PM19" s="125"/>
      <c r="PN19" s="126"/>
      <c r="PO19" s="126"/>
      <c r="PP19" s="127"/>
      <c r="PQ19" s="128"/>
      <c r="PS19" s="403"/>
      <c r="PT19" s="404"/>
      <c r="PU19" s="405"/>
      <c r="PV19" s="330"/>
      <c r="PW19" s="331"/>
      <c r="PX19" s="331"/>
      <c r="PY19" s="332"/>
      <c r="PZ19" s="333"/>
      <c r="QB19" s="412"/>
      <c r="QC19" s="413"/>
      <c r="QD19" s="414"/>
      <c r="QE19" s="125"/>
      <c r="QF19" s="126"/>
      <c r="QG19" s="126"/>
      <c r="QH19" s="127"/>
      <c r="QI19" s="128"/>
      <c r="QK19" s="283"/>
      <c r="QL19" s="284"/>
      <c r="QM19" s="285"/>
      <c r="QN19" s="125"/>
      <c r="QO19" s="126"/>
      <c r="QP19" s="126"/>
      <c r="QQ19" s="127"/>
      <c r="QR19" s="128" t="str">
        <f>IF(QM19="","",'Name List'!$I$4)</f>
        <v/>
      </c>
      <c r="QS19" s="91"/>
      <c r="QT19" s="107">
        <f t="shared" si="50"/>
        <v>1</v>
      </c>
      <c r="QU19" s="130">
        <f t="shared" si="51"/>
        <v>2</v>
      </c>
      <c r="QV19" s="130">
        <f t="shared" si="52"/>
        <v>15</v>
      </c>
      <c r="QW19" s="108">
        <f t="shared" si="53"/>
        <v>0</v>
      </c>
      <c r="QY19" s="260">
        <f t="shared" si="54"/>
        <v>1</v>
      </c>
      <c r="RA19" s="141">
        <f t="shared" si="55"/>
        <v>19</v>
      </c>
      <c r="RB19" s="106">
        <f t="shared" si="56"/>
        <v>18</v>
      </c>
      <c r="RC19" s="106">
        <f t="shared" si="57"/>
        <v>37</v>
      </c>
      <c r="RD19" s="106">
        <f t="shared" si="58"/>
        <v>19</v>
      </c>
      <c r="RE19" s="106">
        <f t="shared" si="59"/>
        <v>18</v>
      </c>
      <c r="RF19" s="142">
        <f t="shared" si="60"/>
        <v>37</v>
      </c>
      <c r="RG19" s="106"/>
      <c r="RH19" s="139">
        <f t="shared" si="61"/>
        <v>0</v>
      </c>
      <c r="RI19" s="140">
        <f t="shared" si="62"/>
        <v>0</v>
      </c>
      <c r="RJ19" s="106"/>
      <c r="RK19" s="136">
        <f t="shared" si="63"/>
        <v>37</v>
      </c>
      <c r="RL19" s="106"/>
      <c r="RM19" s="137">
        <f t="shared" si="64"/>
        <v>0</v>
      </c>
      <c r="RN19" s="138">
        <f t="shared" si="65"/>
        <v>0</v>
      </c>
      <c r="RO19" s="106"/>
      <c r="RP19" s="259">
        <f t="shared" si="66"/>
        <v>0</v>
      </c>
    </row>
    <row r="20" spans="1:484" x14ac:dyDescent="0.2">
      <c r="A20" s="89" t="str">
        <f>'Name List'!B20</f>
        <v>Gordon Fielding</v>
      </c>
      <c r="C20" s="98"/>
      <c r="D20" s="99"/>
      <c r="E20" s="329" t="str">
        <f t="shared" si="0"/>
        <v/>
      </c>
      <c r="F20" s="77"/>
      <c r="G20" s="78"/>
      <c r="H20" s="78"/>
      <c r="I20" s="79"/>
      <c r="J20" s="333" t="str">
        <f>IF(E20="","",'Name List'!$I$4)</f>
        <v/>
      </c>
      <c r="L20" s="98"/>
      <c r="M20" s="99"/>
      <c r="N20" s="100"/>
      <c r="O20" s="77"/>
      <c r="P20" s="78"/>
      <c r="Q20" s="78"/>
      <c r="R20" s="79"/>
      <c r="S20" s="67"/>
      <c r="U20" s="71"/>
      <c r="V20" s="72"/>
      <c r="W20" s="396" t="str">
        <f t="shared" si="2"/>
        <v/>
      </c>
      <c r="X20" s="77"/>
      <c r="Y20" s="78"/>
      <c r="Z20" s="78"/>
      <c r="AA20" s="79"/>
      <c r="AB20" s="333" t="str">
        <f>IF(W20="","",'Name List'!$I$4)</f>
        <v/>
      </c>
      <c r="AD20" s="98"/>
      <c r="AE20" s="99"/>
      <c r="AF20" s="329" t="str">
        <f t="shared" si="3"/>
        <v/>
      </c>
      <c r="AG20" s="77"/>
      <c r="AH20" s="78"/>
      <c r="AI20" s="78"/>
      <c r="AJ20" s="79"/>
      <c r="AK20" s="333" t="str">
        <f>IF(AF20="","",'Name List'!$I$4)</f>
        <v/>
      </c>
      <c r="AM20" s="98"/>
      <c r="AN20" s="99"/>
      <c r="AO20" s="329" t="str">
        <f t="shared" si="4"/>
        <v/>
      </c>
      <c r="AP20" s="77"/>
      <c r="AQ20" s="78"/>
      <c r="AR20" s="78"/>
      <c r="AS20" s="79"/>
      <c r="AT20" s="333" t="str">
        <f>IF(AO20="","",'Name List'!$I$4)</f>
        <v/>
      </c>
      <c r="AV20" s="458"/>
      <c r="AW20" s="401"/>
      <c r="AX20" s="400" t="str">
        <f t="shared" si="5"/>
        <v/>
      </c>
      <c r="AY20" s="77"/>
      <c r="AZ20" s="78"/>
      <c r="BA20" s="78"/>
      <c r="BB20" s="79"/>
      <c r="BC20" s="457" t="str">
        <f>IF(AX20="","",'Name List'!$I$4)</f>
        <v/>
      </c>
      <c r="BE20" s="71"/>
      <c r="BF20" s="72"/>
      <c r="BG20" s="383" t="str">
        <f t="shared" si="6"/>
        <v/>
      </c>
      <c r="BH20" s="77"/>
      <c r="BI20" s="78"/>
      <c r="BJ20" s="78"/>
      <c r="BK20" s="79"/>
      <c r="BL20" s="333" t="str">
        <f>IF(BG20="","",'Name List'!$I$4)</f>
        <v/>
      </c>
      <c r="BN20" s="98"/>
      <c r="BO20" s="99"/>
      <c r="BP20" s="100"/>
      <c r="BQ20" s="77"/>
      <c r="BR20" s="78"/>
      <c r="BS20" s="78"/>
      <c r="BT20" s="79"/>
      <c r="BU20" s="67"/>
      <c r="BW20" s="98"/>
      <c r="BX20" s="99"/>
      <c r="BY20" s="329" t="str">
        <f t="shared" si="8"/>
        <v/>
      </c>
      <c r="BZ20" s="77"/>
      <c r="CA20" s="78"/>
      <c r="CB20" s="78"/>
      <c r="CC20" s="79"/>
      <c r="CD20" s="333" t="str">
        <f>IF(BY20="","",'Name List'!$I$4)</f>
        <v/>
      </c>
      <c r="CF20" s="68"/>
      <c r="CG20" s="69"/>
      <c r="CH20" s="282" t="str">
        <f t="shared" si="49"/>
        <v/>
      </c>
      <c r="CI20" s="77"/>
      <c r="CJ20" s="78"/>
      <c r="CK20" s="78"/>
      <c r="CL20" s="79"/>
      <c r="CM20" s="333" t="str">
        <f>IF(CH20="","",'Name List'!$I$4)</f>
        <v/>
      </c>
      <c r="CO20" s="71"/>
      <c r="CP20" s="72"/>
      <c r="CQ20" s="383" t="str">
        <f t="shared" si="9"/>
        <v/>
      </c>
      <c r="CR20" s="77"/>
      <c r="CS20" s="78"/>
      <c r="CT20" s="78"/>
      <c r="CU20" s="79"/>
      <c r="CV20" s="333" t="str">
        <f>IF(CQ20="","",'Name List'!$I$4)</f>
        <v/>
      </c>
      <c r="CX20" s="98"/>
      <c r="CY20" s="99"/>
      <c r="CZ20" s="329" t="str">
        <f t="shared" si="10"/>
        <v/>
      </c>
      <c r="DA20" s="77"/>
      <c r="DB20" s="78"/>
      <c r="DC20" s="78"/>
      <c r="DD20" s="79"/>
      <c r="DE20" s="333" t="str">
        <f>IF(CZ20="","",'Name List'!$I$4)</f>
        <v/>
      </c>
      <c r="DG20" s="98"/>
      <c r="DH20" s="99"/>
      <c r="DI20" s="329" t="str">
        <f t="shared" si="11"/>
        <v/>
      </c>
      <c r="DJ20" s="77"/>
      <c r="DK20" s="78"/>
      <c r="DL20" s="78"/>
      <c r="DM20" s="79"/>
      <c r="DN20" s="333" t="str">
        <f>IF(DI20="","",'Name List'!$I$4)</f>
        <v/>
      </c>
      <c r="DP20" s="98"/>
      <c r="DQ20" s="99"/>
      <c r="DR20" s="329" t="str">
        <f t="shared" si="12"/>
        <v/>
      </c>
      <c r="DS20" s="77"/>
      <c r="DT20" s="78"/>
      <c r="DU20" s="78"/>
      <c r="DV20" s="79"/>
      <c r="DW20" s="333" t="str">
        <f>IF(DR20="","",'Name List'!$I$4)</f>
        <v/>
      </c>
      <c r="DY20" s="98"/>
      <c r="DZ20" s="99"/>
      <c r="EA20" s="329" t="str">
        <f t="shared" si="13"/>
        <v/>
      </c>
      <c r="EB20" s="77"/>
      <c r="EC20" s="78"/>
      <c r="ED20" s="78"/>
      <c r="EE20" s="79"/>
      <c r="EF20" s="333" t="str">
        <f>IF(EA20="","",'Name List'!$I$4)</f>
        <v/>
      </c>
      <c r="EH20" s="98"/>
      <c r="EI20" s="99"/>
      <c r="EJ20" s="329" t="str">
        <f t="shared" si="14"/>
        <v/>
      </c>
      <c r="EK20" s="77"/>
      <c r="EL20" s="78"/>
      <c r="EM20" s="78"/>
      <c r="EN20" s="79"/>
      <c r="EO20" s="333" t="str">
        <f>IF(EJ20="","",'Name List'!$I$4)</f>
        <v/>
      </c>
      <c r="EQ20" s="115"/>
      <c r="ER20" s="116"/>
      <c r="ES20" s="117"/>
      <c r="ET20" s="77"/>
      <c r="EU20" s="78"/>
      <c r="EV20" s="78"/>
      <c r="EW20" s="79"/>
      <c r="EX20" s="333" t="str">
        <f>IF(ES20="","",'Name List'!$I$4)</f>
        <v/>
      </c>
      <c r="EZ20" s="68"/>
      <c r="FA20" s="69"/>
      <c r="FB20" s="70"/>
      <c r="FC20" s="77"/>
      <c r="FD20" s="78"/>
      <c r="FE20" s="78"/>
      <c r="FF20" s="79"/>
      <c r="FG20" s="67"/>
      <c r="FI20" s="98"/>
      <c r="FJ20" s="99"/>
      <c r="FK20" s="329" t="str">
        <f t="shared" si="16"/>
        <v/>
      </c>
      <c r="FL20" s="77"/>
      <c r="FM20" s="78"/>
      <c r="FN20" s="78"/>
      <c r="FO20" s="79"/>
      <c r="FP20" s="333" t="str">
        <f>IF(FK20="","",'Name List'!$I$4)</f>
        <v/>
      </c>
      <c r="FR20" s="98"/>
      <c r="FS20" s="99"/>
      <c r="FT20" s="329" t="str">
        <f t="shared" si="17"/>
        <v/>
      </c>
      <c r="FU20" s="77"/>
      <c r="FV20" s="78"/>
      <c r="FW20" s="78"/>
      <c r="FX20" s="79"/>
      <c r="FY20" s="333" t="str">
        <f>IF(FT20="","",'Name List'!$I$4)</f>
        <v/>
      </c>
      <c r="GA20" s="98"/>
      <c r="GB20" s="99"/>
      <c r="GC20" s="329" t="str">
        <f t="shared" si="18"/>
        <v/>
      </c>
      <c r="GD20" s="77"/>
      <c r="GE20" s="78"/>
      <c r="GF20" s="78"/>
      <c r="GG20" s="79"/>
      <c r="GH20" s="333" t="str">
        <f>IF(GC20="","",'Name List'!$I$4)</f>
        <v/>
      </c>
      <c r="GJ20" s="98"/>
      <c r="GK20" s="99"/>
      <c r="GL20" s="329" t="str">
        <f t="shared" si="19"/>
        <v/>
      </c>
      <c r="GM20" s="77"/>
      <c r="GN20" s="78"/>
      <c r="GO20" s="78"/>
      <c r="GP20" s="79"/>
      <c r="GQ20" s="333" t="str">
        <f>IF(GL20="","",'Name List'!$I$4)</f>
        <v/>
      </c>
      <c r="GS20" s="68"/>
      <c r="GT20" s="69"/>
      <c r="GU20" s="70"/>
      <c r="GV20" s="77"/>
      <c r="GW20" s="78"/>
      <c r="GX20" s="78"/>
      <c r="GY20" s="79"/>
      <c r="GZ20" s="67"/>
      <c r="HB20" s="98"/>
      <c r="HC20" s="99"/>
      <c r="HD20" s="329" t="str">
        <f t="shared" si="21"/>
        <v/>
      </c>
      <c r="HE20" s="77"/>
      <c r="HF20" s="78"/>
      <c r="HG20" s="78"/>
      <c r="HH20" s="79"/>
      <c r="HI20" s="333" t="str">
        <f>IF(HD20="","",'Name List'!$I$4)</f>
        <v/>
      </c>
      <c r="HK20" s="71"/>
      <c r="HL20" s="72"/>
      <c r="HM20" s="383" t="str">
        <f t="shared" si="22"/>
        <v/>
      </c>
      <c r="HN20" s="77"/>
      <c r="HO20" s="78"/>
      <c r="HP20" s="78"/>
      <c r="HQ20" s="79"/>
      <c r="HR20" s="333" t="str">
        <f>IF(HM20="","",'Name List'!$I$4)</f>
        <v/>
      </c>
      <c r="HT20" s="68"/>
      <c r="HU20" s="69"/>
      <c r="HV20" s="70"/>
      <c r="HW20" s="77"/>
      <c r="HX20" s="78"/>
      <c r="HY20" s="78"/>
      <c r="HZ20" s="79"/>
      <c r="IA20" s="67"/>
      <c r="IC20" s="115"/>
      <c r="ID20" s="116"/>
      <c r="IE20" s="117"/>
      <c r="IF20" s="77"/>
      <c r="IG20" s="78"/>
      <c r="IH20" s="78"/>
      <c r="II20" s="79"/>
      <c r="IJ20" s="333" t="str">
        <f>IF(IE20="","",'Name List'!$I$4)</f>
        <v/>
      </c>
      <c r="IL20" s="98"/>
      <c r="IM20" s="99"/>
      <c r="IN20" s="100"/>
      <c r="IO20" s="77"/>
      <c r="IP20" s="78"/>
      <c r="IQ20" s="78"/>
      <c r="IR20" s="79"/>
      <c r="IS20" s="67"/>
      <c r="IU20" s="98"/>
      <c r="IV20" s="99"/>
      <c r="IW20" s="100"/>
      <c r="IX20" s="77"/>
      <c r="IY20" s="78"/>
      <c r="IZ20" s="78"/>
      <c r="JA20" s="79"/>
      <c r="JB20" s="67"/>
      <c r="JD20" s="98"/>
      <c r="JE20" s="99"/>
      <c r="JF20" s="100"/>
      <c r="JG20" s="77"/>
      <c r="JH20" s="78"/>
      <c r="JI20" s="78"/>
      <c r="JJ20" s="79"/>
      <c r="JK20" s="67"/>
      <c r="JM20" s="98"/>
      <c r="JN20" s="99"/>
      <c r="JO20" s="275"/>
      <c r="JP20" s="77"/>
      <c r="JQ20" s="78"/>
      <c r="JR20" s="78"/>
      <c r="JS20" s="79"/>
      <c r="JT20" s="67"/>
      <c r="JV20" s="98"/>
      <c r="JW20" s="99"/>
      <c r="JX20" s="100"/>
      <c r="JY20" s="77"/>
      <c r="JZ20" s="78"/>
      <c r="KA20" s="78"/>
      <c r="KB20" s="79"/>
      <c r="KC20" s="67"/>
      <c r="KE20" s="98"/>
      <c r="KF20" s="99"/>
      <c r="KG20" s="100"/>
      <c r="KH20" s="77"/>
      <c r="KI20" s="78"/>
      <c r="KJ20" s="78"/>
      <c r="KK20" s="79"/>
      <c r="KL20" s="67"/>
      <c r="KN20" s="68"/>
      <c r="KO20" s="69"/>
      <c r="KP20" s="70"/>
      <c r="KQ20" s="77"/>
      <c r="KR20" s="78"/>
      <c r="KS20" s="78"/>
      <c r="KT20" s="79"/>
      <c r="KU20" s="67"/>
      <c r="KW20" s="98"/>
      <c r="KX20" s="99"/>
      <c r="KY20" s="100"/>
      <c r="KZ20" s="77"/>
      <c r="LA20" s="78"/>
      <c r="LB20" s="78"/>
      <c r="LC20" s="79"/>
      <c r="LD20" s="67"/>
      <c r="LF20" s="71"/>
      <c r="LG20" s="72"/>
      <c r="LH20" s="73"/>
      <c r="LI20" s="77"/>
      <c r="LJ20" s="78"/>
      <c r="LK20" s="78"/>
      <c r="LL20" s="79"/>
      <c r="LM20" s="67"/>
      <c r="LO20" s="98"/>
      <c r="LP20" s="99"/>
      <c r="LQ20" s="329"/>
      <c r="LR20" s="77"/>
      <c r="LS20" s="78"/>
      <c r="LT20" s="78"/>
      <c r="LU20" s="79"/>
      <c r="LV20" s="67"/>
      <c r="LX20" s="98"/>
      <c r="LY20" s="99"/>
      <c r="LZ20" s="100"/>
      <c r="MA20" s="77"/>
      <c r="MB20" s="78"/>
      <c r="MC20" s="78"/>
      <c r="MD20" s="79"/>
      <c r="ME20" s="67"/>
      <c r="MG20" s="98"/>
      <c r="MH20" s="99"/>
      <c r="MI20" s="100"/>
      <c r="MJ20" s="77"/>
      <c r="MK20" s="78"/>
      <c r="ML20" s="78"/>
      <c r="MM20" s="79"/>
      <c r="MN20" s="67"/>
      <c r="MP20" s="98"/>
      <c r="MQ20" s="99"/>
      <c r="MR20" s="100"/>
      <c r="MS20" s="77"/>
      <c r="MT20" s="78"/>
      <c r="MU20" s="78"/>
      <c r="MV20" s="79"/>
      <c r="MW20" s="67"/>
      <c r="MY20" s="98"/>
      <c r="MZ20" s="99"/>
      <c r="NA20" s="100"/>
      <c r="NB20" s="77"/>
      <c r="NC20" s="78"/>
      <c r="ND20" s="78"/>
      <c r="NE20" s="79"/>
      <c r="NF20" s="67"/>
      <c r="NH20" s="98"/>
      <c r="NI20" s="99"/>
      <c r="NJ20" s="329"/>
      <c r="NK20" s="77"/>
      <c r="NL20" s="78"/>
      <c r="NM20" s="78"/>
      <c r="NN20" s="79"/>
      <c r="NO20" s="67"/>
      <c r="NQ20" s="98"/>
      <c r="NR20" s="99"/>
      <c r="NS20" s="100"/>
      <c r="NT20" s="77"/>
      <c r="NU20" s="78"/>
      <c r="NV20" s="78"/>
      <c r="NW20" s="79"/>
      <c r="NX20" s="67"/>
      <c r="NZ20" s="71"/>
      <c r="OA20" s="72"/>
      <c r="OB20" s="73"/>
      <c r="OC20" s="77"/>
      <c r="OD20" s="78"/>
      <c r="OE20" s="78"/>
      <c r="OF20" s="79"/>
      <c r="OG20" s="67"/>
      <c r="OI20" s="98"/>
      <c r="OJ20" s="99"/>
      <c r="OK20" s="329"/>
      <c r="OL20" s="77"/>
      <c r="OM20" s="78"/>
      <c r="ON20" s="78"/>
      <c r="OO20" s="79"/>
      <c r="OP20" s="67"/>
      <c r="OR20" s="71"/>
      <c r="OS20" s="72"/>
      <c r="OT20" s="73"/>
      <c r="OU20" s="77"/>
      <c r="OV20" s="78"/>
      <c r="OW20" s="78"/>
      <c r="OX20" s="79"/>
      <c r="OY20" s="67"/>
      <c r="PA20" s="98"/>
      <c r="PB20" s="99"/>
      <c r="PC20" s="100"/>
      <c r="PD20" s="77"/>
      <c r="PE20" s="78"/>
      <c r="PF20" s="78"/>
      <c r="PG20" s="79"/>
      <c r="PH20" s="67"/>
      <c r="PJ20" s="277"/>
      <c r="PK20" s="278"/>
      <c r="PL20" s="279"/>
      <c r="PM20" s="125"/>
      <c r="PN20" s="126"/>
      <c r="PO20" s="126"/>
      <c r="PP20" s="127"/>
      <c r="PQ20" s="128"/>
      <c r="PS20" s="403"/>
      <c r="PT20" s="404"/>
      <c r="PU20" s="405"/>
      <c r="PV20" s="330"/>
      <c r="PW20" s="331"/>
      <c r="PX20" s="331"/>
      <c r="PY20" s="332"/>
      <c r="PZ20" s="333"/>
      <c r="QB20" s="412"/>
      <c r="QC20" s="413"/>
      <c r="QD20" s="414"/>
      <c r="QE20" s="125"/>
      <c r="QF20" s="126"/>
      <c r="QG20" s="126"/>
      <c r="QH20" s="127"/>
      <c r="QI20" s="128"/>
      <c r="QK20" s="283"/>
      <c r="QL20" s="284"/>
      <c r="QM20" s="285"/>
      <c r="QN20" s="125"/>
      <c r="QO20" s="126"/>
      <c r="QP20" s="126"/>
      <c r="QQ20" s="127"/>
      <c r="QR20" s="128" t="str">
        <f>IF(QM20="","",'Name List'!$I$4)</f>
        <v/>
      </c>
      <c r="QS20" s="91"/>
      <c r="QT20" s="107">
        <f t="shared" si="50"/>
        <v>0</v>
      </c>
      <c r="QU20" s="130">
        <f t="shared" si="51"/>
        <v>0</v>
      </c>
      <c r="QV20" s="130">
        <f t="shared" si="52"/>
        <v>0</v>
      </c>
      <c r="QW20" s="108">
        <f t="shared" si="53"/>
        <v>0</v>
      </c>
      <c r="QY20" s="260">
        <f t="shared" si="54"/>
        <v>0</v>
      </c>
      <c r="RA20" s="141">
        <f t="shared" si="55"/>
        <v>0</v>
      </c>
      <c r="RB20" s="106">
        <f t="shared" si="56"/>
        <v>0</v>
      </c>
      <c r="RC20" s="106">
        <f t="shared" si="57"/>
        <v>0</v>
      </c>
      <c r="RD20" s="106">
        <f t="shared" si="58"/>
        <v>0</v>
      </c>
      <c r="RE20" s="106">
        <f t="shared" si="59"/>
        <v>0</v>
      </c>
      <c r="RF20" s="142">
        <f t="shared" si="60"/>
        <v>0</v>
      </c>
      <c r="RG20" s="106"/>
      <c r="RH20" s="139">
        <f t="shared" si="61"/>
        <v>0</v>
      </c>
      <c r="RI20" s="140">
        <f t="shared" si="62"/>
        <v>0</v>
      </c>
      <c r="RJ20" s="106"/>
      <c r="RK20" s="136">
        <f t="shared" si="63"/>
        <v>0</v>
      </c>
      <c r="RL20" s="106"/>
      <c r="RM20" s="137">
        <f t="shared" si="64"/>
        <v>0</v>
      </c>
      <c r="RN20" s="138">
        <f t="shared" si="65"/>
        <v>0</v>
      </c>
      <c r="RO20" s="106"/>
      <c r="RP20" s="259">
        <f t="shared" si="66"/>
        <v>0</v>
      </c>
    </row>
    <row r="21" spans="1:484" x14ac:dyDescent="0.2">
      <c r="A21" s="89" t="str">
        <f>'Name List'!B21</f>
        <v>Paul Fitzgerald</v>
      </c>
      <c r="C21" s="98"/>
      <c r="D21" s="99"/>
      <c r="E21" s="329" t="str">
        <f t="shared" si="0"/>
        <v/>
      </c>
      <c r="F21" s="77"/>
      <c r="G21" s="78"/>
      <c r="H21" s="78"/>
      <c r="I21" s="79"/>
      <c r="J21" s="333" t="str">
        <f>IF(E21="","",'Name List'!$I$4)</f>
        <v/>
      </c>
      <c r="L21" s="98"/>
      <c r="M21" s="99"/>
      <c r="N21" s="100"/>
      <c r="O21" s="77"/>
      <c r="P21" s="78"/>
      <c r="Q21" s="78"/>
      <c r="R21" s="79"/>
      <c r="S21" s="67"/>
      <c r="U21" s="71"/>
      <c r="V21" s="72"/>
      <c r="W21" s="396" t="str">
        <f t="shared" si="2"/>
        <v/>
      </c>
      <c r="X21" s="77"/>
      <c r="Y21" s="78"/>
      <c r="Z21" s="78"/>
      <c r="AA21" s="79"/>
      <c r="AB21" s="333" t="str">
        <f>IF(W21="","",'Name List'!$I$4)</f>
        <v/>
      </c>
      <c r="AD21" s="98"/>
      <c r="AE21" s="99"/>
      <c r="AF21" s="329" t="str">
        <f t="shared" si="3"/>
        <v/>
      </c>
      <c r="AG21" s="77"/>
      <c r="AH21" s="78"/>
      <c r="AI21" s="78"/>
      <c r="AJ21" s="79"/>
      <c r="AK21" s="333" t="str">
        <f>IF(AF21="","",'Name List'!$I$4)</f>
        <v/>
      </c>
      <c r="AM21" s="98">
        <v>16</v>
      </c>
      <c r="AN21" s="99">
        <v>20</v>
      </c>
      <c r="AO21" s="329">
        <f t="shared" si="4"/>
        <v>36</v>
      </c>
      <c r="AP21" s="77">
        <v>0</v>
      </c>
      <c r="AQ21" s="78">
        <v>1</v>
      </c>
      <c r="AR21" s="78">
        <v>6</v>
      </c>
      <c r="AS21" s="79">
        <v>0</v>
      </c>
      <c r="AT21" s="333">
        <f>IF(AO21="","",'Name List'!$I$4)</f>
        <v>5</v>
      </c>
      <c r="AV21" s="458"/>
      <c r="AW21" s="401"/>
      <c r="AX21" s="400" t="str">
        <f t="shared" si="5"/>
        <v/>
      </c>
      <c r="AY21" s="77"/>
      <c r="AZ21" s="78"/>
      <c r="BA21" s="78"/>
      <c r="BB21" s="79"/>
      <c r="BC21" s="457" t="str">
        <f>IF(AX21="","",'Name List'!$I$4)</f>
        <v/>
      </c>
      <c r="BE21" s="71"/>
      <c r="BF21" s="72"/>
      <c r="BG21" s="383" t="str">
        <f t="shared" si="6"/>
        <v/>
      </c>
      <c r="BH21" s="77"/>
      <c r="BI21" s="78"/>
      <c r="BJ21" s="78"/>
      <c r="BK21" s="79"/>
      <c r="BL21" s="333" t="str">
        <f>IF(BG21="","",'Name List'!$I$4)</f>
        <v/>
      </c>
      <c r="BN21" s="98"/>
      <c r="BO21" s="99"/>
      <c r="BP21" s="100"/>
      <c r="BQ21" s="77"/>
      <c r="BR21" s="78"/>
      <c r="BS21" s="78"/>
      <c r="BT21" s="79"/>
      <c r="BU21" s="67"/>
      <c r="BW21" s="98">
        <v>21</v>
      </c>
      <c r="BX21" s="99">
        <v>18</v>
      </c>
      <c r="BY21" s="329">
        <f t="shared" si="8"/>
        <v>39</v>
      </c>
      <c r="BZ21" s="77">
        <v>0</v>
      </c>
      <c r="CA21" s="78">
        <v>2</v>
      </c>
      <c r="CB21" s="78">
        <v>5</v>
      </c>
      <c r="CC21" s="79">
        <v>0</v>
      </c>
      <c r="CD21" s="333">
        <f>IF(BY21="","",'Name List'!$I$4)</f>
        <v>5</v>
      </c>
      <c r="CF21" s="68"/>
      <c r="CG21" s="69"/>
      <c r="CH21" s="282" t="str">
        <f t="shared" si="49"/>
        <v/>
      </c>
      <c r="CI21" s="77"/>
      <c r="CJ21" s="78"/>
      <c r="CK21" s="78"/>
      <c r="CL21" s="79"/>
      <c r="CM21" s="333" t="str">
        <f>IF(CH21="","",'Name List'!$I$4)</f>
        <v/>
      </c>
      <c r="CO21" s="71"/>
      <c r="CP21" s="72"/>
      <c r="CQ21" s="383" t="str">
        <f t="shared" si="9"/>
        <v/>
      </c>
      <c r="CR21" s="77"/>
      <c r="CS21" s="78"/>
      <c r="CT21" s="78"/>
      <c r="CU21" s="79"/>
      <c r="CV21" s="333" t="str">
        <f>IF(CQ21="","",'Name List'!$I$4)</f>
        <v/>
      </c>
      <c r="CX21" s="98"/>
      <c r="CY21" s="99"/>
      <c r="CZ21" s="329" t="str">
        <f t="shared" si="10"/>
        <v/>
      </c>
      <c r="DA21" s="77"/>
      <c r="DB21" s="78"/>
      <c r="DC21" s="78"/>
      <c r="DD21" s="79"/>
      <c r="DE21" s="333" t="str">
        <f>IF(CZ21="","",'Name List'!$I$4)</f>
        <v/>
      </c>
      <c r="DG21" s="98"/>
      <c r="DH21" s="99"/>
      <c r="DI21" s="329" t="str">
        <f t="shared" si="11"/>
        <v/>
      </c>
      <c r="DJ21" s="77"/>
      <c r="DK21" s="78"/>
      <c r="DL21" s="78"/>
      <c r="DM21" s="79"/>
      <c r="DN21" s="333" t="str">
        <f>IF(DI21="","",'Name List'!$I$4)</f>
        <v/>
      </c>
      <c r="DP21" s="98"/>
      <c r="DQ21" s="99"/>
      <c r="DR21" s="329" t="str">
        <f t="shared" si="12"/>
        <v/>
      </c>
      <c r="DS21" s="77"/>
      <c r="DT21" s="78"/>
      <c r="DU21" s="78"/>
      <c r="DV21" s="79"/>
      <c r="DW21" s="333" t="str">
        <f>IF(DR21="","",'Name List'!$I$4)</f>
        <v/>
      </c>
      <c r="DY21" s="98">
        <v>17</v>
      </c>
      <c r="DZ21" s="99">
        <v>12</v>
      </c>
      <c r="EA21" s="329">
        <f t="shared" si="13"/>
        <v>29</v>
      </c>
      <c r="EB21" s="77">
        <v>0</v>
      </c>
      <c r="EC21" s="78">
        <v>0</v>
      </c>
      <c r="ED21" s="78">
        <v>5</v>
      </c>
      <c r="EE21" s="79">
        <v>4</v>
      </c>
      <c r="EF21" s="333">
        <f>IF(EA21="","",'Name List'!$I$4)</f>
        <v>5</v>
      </c>
      <c r="EH21" s="98"/>
      <c r="EI21" s="99"/>
      <c r="EJ21" s="329" t="str">
        <f t="shared" si="14"/>
        <v/>
      </c>
      <c r="EK21" s="77"/>
      <c r="EL21" s="78"/>
      <c r="EM21" s="78"/>
      <c r="EN21" s="79"/>
      <c r="EO21" s="333" t="str">
        <f>IF(EJ21="","",'Name List'!$I$4)</f>
        <v/>
      </c>
      <c r="EQ21" s="115"/>
      <c r="ER21" s="116"/>
      <c r="ES21" s="117"/>
      <c r="ET21" s="77"/>
      <c r="EU21" s="78"/>
      <c r="EV21" s="78"/>
      <c r="EW21" s="79"/>
      <c r="EX21" s="333" t="str">
        <f>IF(ES21="","",'Name List'!$I$4)</f>
        <v/>
      </c>
      <c r="EZ21" s="68"/>
      <c r="FA21" s="69"/>
      <c r="FB21" s="70"/>
      <c r="FC21" s="77"/>
      <c r="FD21" s="78"/>
      <c r="FE21" s="78"/>
      <c r="FF21" s="79"/>
      <c r="FG21" s="67"/>
      <c r="FI21" s="98"/>
      <c r="FJ21" s="99"/>
      <c r="FK21" s="329" t="str">
        <f t="shared" si="16"/>
        <v/>
      </c>
      <c r="FL21" s="77"/>
      <c r="FM21" s="78"/>
      <c r="FN21" s="78"/>
      <c r="FO21" s="79"/>
      <c r="FP21" s="333" t="str">
        <f>IF(FK21="","",'Name List'!$I$4)</f>
        <v/>
      </c>
      <c r="FR21" s="98"/>
      <c r="FS21" s="99"/>
      <c r="FT21" s="329" t="str">
        <f t="shared" si="17"/>
        <v/>
      </c>
      <c r="FU21" s="77"/>
      <c r="FV21" s="78"/>
      <c r="FW21" s="78"/>
      <c r="FX21" s="79"/>
      <c r="FY21" s="333" t="str">
        <f>IF(FT21="","",'Name List'!$I$4)</f>
        <v/>
      </c>
      <c r="GA21" s="98"/>
      <c r="GB21" s="99"/>
      <c r="GC21" s="329" t="str">
        <f t="shared" si="18"/>
        <v/>
      </c>
      <c r="GD21" s="77"/>
      <c r="GE21" s="78"/>
      <c r="GF21" s="78"/>
      <c r="GG21" s="79"/>
      <c r="GH21" s="333" t="str">
        <f>IF(GC21="","",'Name List'!$I$4)</f>
        <v/>
      </c>
      <c r="GJ21" s="98">
        <v>15</v>
      </c>
      <c r="GK21" s="99">
        <v>12</v>
      </c>
      <c r="GL21" s="329">
        <f t="shared" si="19"/>
        <v>27</v>
      </c>
      <c r="GM21" s="77">
        <v>0</v>
      </c>
      <c r="GN21" s="78">
        <v>0</v>
      </c>
      <c r="GO21" s="78">
        <v>5</v>
      </c>
      <c r="GP21" s="79">
        <v>3</v>
      </c>
      <c r="GQ21" s="333">
        <f>IF(GL21="","",'Name List'!$I$4)</f>
        <v>5</v>
      </c>
      <c r="GS21" s="68"/>
      <c r="GT21" s="69"/>
      <c r="GU21" s="70"/>
      <c r="GV21" s="77"/>
      <c r="GW21" s="78"/>
      <c r="GX21" s="78"/>
      <c r="GY21" s="79"/>
      <c r="GZ21" s="67"/>
      <c r="HB21" s="98"/>
      <c r="HC21" s="99"/>
      <c r="HD21" s="329" t="str">
        <f t="shared" si="21"/>
        <v/>
      </c>
      <c r="HE21" s="77"/>
      <c r="HF21" s="78"/>
      <c r="HG21" s="78"/>
      <c r="HH21" s="79"/>
      <c r="HI21" s="333" t="str">
        <f>IF(HD21="","",'Name List'!$I$4)</f>
        <v/>
      </c>
      <c r="HK21" s="71"/>
      <c r="HL21" s="72"/>
      <c r="HM21" s="383" t="str">
        <f t="shared" si="22"/>
        <v/>
      </c>
      <c r="HN21" s="77"/>
      <c r="HO21" s="78"/>
      <c r="HP21" s="78"/>
      <c r="HQ21" s="79"/>
      <c r="HR21" s="333" t="str">
        <f>IF(HM21="","",'Name List'!$I$4)</f>
        <v/>
      </c>
      <c r="HT21" s="68"/>
      <c r="HU21" s="69"/>
      <c r="HV21" s="70"/>
      <c r="HW21" s="77"/>
      <c r="HX21" s="78"/>
      <c r="HY21" s="78"/>
      <c r="HZ21" s="79"/>
      <c r="IA21" s="67"/>
      <c r="IC21" s="115"/>
      <c r="ID21" s="116"/>
      <c r="IE21" s="117"/>
      <c r="IF21" s="77"/>
      <c r="IG21" s="78"/>
      <c r="IH21" s="78"/>
      <c r="II21" s="79"/>
      <c r="IJ21" s="333" t="str">
        <f>IF(IE21="","",'Name List'!$I$4)</f>
        <v/>
      </c>
      <c r="IL21" s="98"/>
      <c r="IM21" s="99"/>
      <c r="IN21" s="100"/>
      <c r="IO21" s="77"/>
      <c r="IP21" s="78"/>
      <c r="IQ21" s="78"/>
      <c r="IR21" s="79"/>
      <c r="IS21" s="67"/>
      <c r="IU21" s="98"/>
      <c r="IV21" s="99"/>
      <c r="IW21" s="100"/>
      <c r="IX21" s="77"/>
      <c r="IY21" s="78"/>
      <c r="IZ21" s="78"/>
      <c r="JA21" s="79"/>
      <c r="JB21" s="67"/>
      <c r="JD21" s="98"/>
      <c r="JE21" s="99"/>
      <c r="JF21" s="100"/>
      <c r="JG21" s="77"/>
      <c r="JH21" s="78"/>
      <c r="JI21" s="78"/>
      <c r="JJ21" s="79"/>
      <c r="JK21" s="67"/>
      <c r="JM21" s="98"/>
      <c r="JN21" s="99"/>
      <c r="JO21" s="275"/>
      <c r="JP21" s="77"/>
      <c r="JQ21" s="78"/>
      <c r="JR21" s="78"/>
      <c r="JS21" s="79"/>
      <c r="JT21" s="67"/>
      <c r="JV21" s="98"/>
      <c r="JW21" s="99"/>
      <c r="JX21" s="100"/>
      <c r="JY21" s="77"/>
      <c r="JZ21" s="78"/>
      <c r="KA21" s="78"/>
      <c r="KB21" s="79"/>
      <c r="KC21" s="67"/>
      <c r="KE21" s="98"/>
      <c r="KF21" s="99"/>
      <c r="KG21" s="100"/>
      <c r="KH21" s="77"/>
      <c r="KI21" s="78"/>
      <c r="KJ21" s="78"/>
      <c r="KK21" s="79"/>
      <c r="KL21" s="67"/>
      <c r="KN21" s="68"/>
      <c r="KO21" s="69"/>
      <c r="KP21" s="70"/>
      <c r="KQ21" s="77"/>
      <c r="KR21" s="78"/>
      <c r="KS21" s="78"/>
      <c r="KT21" s="79"/>
      <c r="KU21" s="67"/>
      <c r="KW21" s="98"/>
      <c r="KX21" s="99"/>
      <c r="KY21" s="100"/>
      <c r="KZ21" s="77"/>
      <c r="LA21" s="78"/>
      <c r="LB21" s="78"/>
      <c r="LC21" s="79"/>
      <c r="LD21" s="67"/>
      <c r="LF21" s="71"/>
      <c r="LG21" s="72"/>
      <c r="LH21" s="73"/>
      <c r="LI21" s="77"/>
      <c r="LJ21" s="78"/>
      <c r="LK21" s="78"/>
      <c r="LL21" s="79"/>
      <c r="LM21" s="67"/>
      <c r="LO21" s="98"/>
      <c r="LP21" s="99"/>
      <c r="LQ21" s="329"/>
      <c r="LR21" s="77"/>
      <c r="LS21" s="78"/>
      <c r="LT21" s="78"/>
      <c r="LU21" s="79"/>
      <c r="LV21" s="67"/>
      <c r="LX21" s="98"/>
      <c r="LY21" s="99"/>
      <c r="LZ21" s="100"/>
      <c r="MA21" s="77"/>
      <c r="MB21" s="78"/>
      <c r="MC21" s="78"/>
      <c r="MD21" s="79"/>
      <c r="ME21" s="67"/>
      <c r="MG21" s="98"/>
      <c r="MH21" s="99"/>
      <c r="MI21" s="100"/>
      <c r="MJ21" s="77"/>
      <c r="MK21" s="78"/>
      <c r="ML21" s="78"/>
      <c r="MM21" s="79"/>
      <c r="MN21" s="67"/>
      <c r="MP21" s="98"/>
      <c r="MQ21" s="99"/>
      <c r="MR21" s="100"/>
      <c r="MS21" s="77"/>
      <c r="MT21" s="78"/>
      <c r="MU21" s="78"/>
      <c r="MV21" s="79"/>
      <c r="MW21" s="67"/>
      <c r="MY21" s="98"/>
      <c r="MZ21" s="99"/>
      <c r="NA21" s="100"/>
      <c r="NB21" s="77"/>
      <c r="NC21" s="78"/>
      <c r="ND21" s="78"/>
      <c r="NE21" s="79"/>
      <c r="NF21" s="67"/>
      <c r="NH21" s="98"/>
      <c r="NI21" s="99"/>
      <c r="NJ21" s="329"/>
      <c r="NK21" s="77"/>
      <c r="NL21" s="78"/>
      <c r="NM21" s="78"/>
      <c r="NN21" s="79"/>
      <c r="NO21" s="67"/>
      <c r="NQ21" s="98"/>
      <c r="NR21" s="99"/>
      <c r="NS21" s="100"/>
      <c r="NT21" s="77"/>
      <c r="NU21" s="78"/>
      <c r="NV21" s="78"/>
      <c r="NW21" s="79"/>
      <c r="NX21" s="67"/>
      <c r="NZ21" s="71"/>
      <c r="OA21" s="72"/>
      <c r="OB21" s="73"/>
      <c r="OC21" s="77"/>
      <c r="OD21" s="78"/>
      <c r="OE21" s="78"/>
      <c r="OF21" s="79"/>
      <c r="OG21" s="67"/>
      <c r="OI21" s="98"/>
      <c r="OJ21" s="99"/>
      <c r="OK21" s="329"/>
      <c r="OL21" s="77"/>
      <c r="OM21" s="78"/>
      <c r="ON21" s="78"/>
      <c r="OO21" s="79"/>
      <c r="OP21" s="67"/>
      <c r="OR21" s="71"/>
      <c r="OS21" s="72"/>
      <c r="OT21" s="73"/>
      <c r="OU21" s="77"/>
      <c r="OV21" s="78"/>
      <c r="OW21" s="78"/>
      <c r="OX21" s="79"/>
      <c r="OY21" s="67"/>
      <c r="PA21" s="98"/>
      <c r="PB21" s="99"/>
      <c r="PC21" s="100"/>
      <c r="PD21" s="77"/>
      <c r="PE21" s="78"/>
      <c r="PF21" s="78"/>
      <c r="PG21" s="79"/>
      <c r="PH21" s="67"/>
      <c r="PJ21" s="277"/>
      <c r="PK21" s="278"/>
      <c r="PL21" s="279"/>
      <c r="PM21" s="125"/>
      <c r="PN21" s="126"/>
      <c r="PO21" s="126"/>
      <c r="PP21" s="127"/>
      <c r="PQ21" s="128"/>
      <c r="PS21" s="403"/>
      <c r="PT21" s="404"/>
      <c r="PU21" s="405"/>
      <c r="PV21" s="330"/>
      <c r="PW21" s="331"/>
      <c r="PX21" s="331"/>
      <c r="PY21" s="332"/>
      <c r="PZ21" s="333"/>
      <c r="QB21" s="412"/>
      <c r="QC21" s="413"/>
      <c r="QD21" s="414"/>
      <c r="QE21" s="125"/>
      <c r="QF21" s="126"/>
      <c r="QG21" s="126"/>
      <c r="QH21" s="127"/>
      <c r="QI21" s="128"/>
      <c r="QK21" s="283"/>
      <c r="QL21" s="284"/>
      <c r="QM21" s="285"/>
      <c r="QN21" s="125"/>
      <c r="QO21" s="126"/>
      <c r="QP21" s="126"/>
      <c r="QQ21" s="127"/>
      <c r="QR21" s="128" t="str">
        <f>IF(QM21="","",'Name List'!$I$4)</f>
        <v/>
      </c>
      <c r="QS21" s="91"/>
      <c r="QT21" s="107">
        <f t="shared" si="50"/>
        <v>0</v>
      </c>
      <c r="QU21" s="130">
        <f t="shared" si="51"/>
        <v>3</v>
      </c>
      <c r="QV21" s="130">
        <f t="shared" si="52"/>
        <v>21</v>
      </c>
      <c r="QW21" s="108">
        <f t="shared" si="53"/>
        <v>7</v>
      </c>
      <c r="QY21" s="260">
        <f t="shared" si="54"/>
        <v>4</v>
      </c>
      <c r="RA21" s="141">
        <f t="shared" si="55"/>
        <v>21</v>
      </c>
      <c r="RB21" s="106">
        <f t="shared" si="56"/>
        <v>20</v>
      </c>
      <c r="RC21" s="106">
        <f t="shared" si="57"/>
        <v>39</v>
      </c>
      <c r="RD21" s="106">
        <f t="shared" si="58"/>
        <v>15</v>
      </c>
      <c r="RE21" s="106">
        <f t="shared" si="59"/>
        <v>12</v>
      </c>
      <c r="RF21" s="142">
        <f t="shared" si="60"/>
        <v>27</v>
      </c>
      <c r="RG21" s="106"/>
      <c r="RH21" s="139">
        <f t="shared" si="61"/>
        <v>0</v>
      </c>
      <c r="RI21" s="140">
        <f t="shared" si="62"/>
        <v>0</v>
      </c>
      <c r="RJ21" s="106"/>
      <c r="RK21" s="136">
        <f t="shared" si="63"/>
        <v>32.75</v>
      </c>
      <c r="RL21" s="106"/>
      <c r="RM21" s="137">
        <f t="shared" si="64"/>
        <v>0</v>
      </c>
      <c r="RN21" s="138">
        <f t="shared" si="65"/>
        <v>0</v>
      </c>
      <c r="RO21" s="106"/>
      <c r="RP21" s="259">
        <f t="shared" si="66"/>
        <v>0</v>
      </c>
    </row>
    <row r="22" spans="1:484" x14ac:dyDescent="0.2">
      <c r="A22" s="89" t="str">
        <f>'Name List'!B22</f>
        <v>Ben Fleet</v>
      </c>
      <c r="C22" s="98"/>
      <c r="D22" s="99"/>
      <c r="E22" s="329" t="str">
        <f t="shared" si="0"/>
        <v/>
      </c>
      <c r="F22" s="77"/>
      <c r="G22" s="78"/>
      <c r="H22" s="78"/>
      <c r="I22" s="79"/>
      <c r="J22" s="333" t="str">
        <f>IF(E22="","",'Name List'!$I$4)</f>
        <v/>
      </c>
      <c r="L22" s="98"/>
      <c r="M22" s="99"/>
      <c r="N22" s="100"/>
      <c r="O22" s="77"/>
      <c r="P22" s="78"/>
      <c r="Q22" s="78"/>
      <c r="R22" s="79"/>
      <c r="S22" s="67"/>
      <c r="U22" s="71">
        <v>12</v>
      </c>
      <c r="V22" s="72">
        <v>13</v>
      </c>
      <c r="W22" s="396">
        <f t="shared" si="2"/>
        <v>25</v>
      </c>
      <c r="X22" s="77">
        <v>0</v>
      </c>
      <c r="Y22" s="78">
        <v>0</v>
      </c>
      <c r="Z22" s="78">
        <v>1</v>
      </c>
      <c r="AA22" s="79">
        <v>2</v>
      </c>
      <c r="AB22" s="333">
        <f>IF(W22="","",'Name List'!$I$4)</f>
        <v>5</v>
      </c>
      <c r="AD22" s="98"/>
      <c r="AE22" s="99"/>
      <c r="AF22" s="329" t="str">
        <f t="shared" si="3"/>
        <v/>
      </c>
      <c r="AG22" s="77"/>
      <c r="AH22" s="78"/>
      <c r="AI22" s="78"/>
      <c r="AJ22" s="79"/>
      <c r="AK22" s="333" t="str">
        <f>IF(AF22="","",'Name List'!$I$4)</f>
        <v/>
      </c>
      <c r="AM22" s="98">
        <v>17</v>
      </c>
      <c r="AN22" s="99">
        <v>18</v>
      </c>
      <c r="AO22" s="329">
        <f t="shared" si="4"/>
        <v>35</v>
      </c>
      <c r="AP22" s="77">
        <v>0</v>
      </c>
      <c r="AQ22" s="78">
        <v>0</v>
      </c>
      <c r="AR22" s="78">
        <v>8</v>
      </c>
      <c r="AS22" s="79">
        <v>1</v>
      </c>
      <c r="AT22" s="333">
        <f>IF(AO22="","",'Name List'!$I$4)</f>
        <v>5</v>
      </c>
      <c r="AV22" s="458">
        <v>14</v>
      </c>
      <c r="AW22" s="401">
        <v>17</v>
      </c>
      <c r="AX22" s="400">
        <f t="shared" si="5"/>
        <v>31</v>
      </c>
      <c r="AY22" s="77">
        <v>0</v>
      </c>
      <c r="AZ22" s="78">
        <v>0</v>
      </c>
      <c r="BA22" s="78">
        <v>6</v>
      </c>
      <c r="BB22" s="79">
        <v>1</v>
      </c>
      <c r="BC22" s="457">
        <f>IF(AX22="","",'Name List'!$I$4)</f>
        <v>5</v>
      </c>
      <c r="BE22" s="71">
        <v>9</v>
      </c>
      <c r="BF22" s="72">
        <v>13</v>
      </c>
      <c r="BG22" s="383">
        <f t="shared" si="6"/>
        <v>22</v>
      </c>
      <c r="BH22" s="77">
        <v>0</v>
      </c>
      <c r="BI22" s="78">
        <v>1</v>
      </c>
      <c r="BJ22" s="78">
        <v>2</v>
      </c>
      <c r="BK22" s="79">
        <v>5</v>
      </c>
      <c r="BL22" s="333">
        <f>IF(BG22="","",'Name List'!$I$4)</f>
        <v>5</v>
      </c>
      <c r="BN22" s="98"/>
      <c r="BO22" s="99"/>
      <c r="BP22" s="100"/>
      <c r="BQ22" s="77"/>
      <c r="BR22" s="78"/>
      <c r="BS22" s="78"/>
      <c r="BT22" s="79"/>
      <c r="BU22" s="67"/>
      <c r="BW22" s="98">
        <v>12</v>
      </c>
      <c r="BX22" s="99">
        <v>12</v>
      </c>
      <c r="BY22" s="329">
        <f t="shared" si="8"/>
        <v>24</v>
      </c>
      <c r="BZ22" s="77">
        <v>0</v>
      </c>
      <c r="CA22" s="78">
        <v>1</v>
      </c>
      <c r="CB22" s="78">
        <v>3</v>
      </c>
      <c r="CC22" s="79">
        <v>5</v>
      </c>
      <c r="CD22" s="333">
        <f>IF(BY22="","",'Name List'!$I$4)</f>
        <v>5</v>
      </c>
      <c r="CF22" s="68"/>
      <c r="CG22" s="69"/>
      <c r="CH22" s="282" t="str">
        <f t="shared" si="49"/>
        <v/>
      </c>
      <c r="CI22" s="77"/>
      <c r="CJ22" s="78"/>
      <c r="CK22" s="78"/>
      <c r="CL22" s="79"/>
      <c r="CM22" s="333" t="str">
        <f>IF(CH22="","",'Name List'!$I$4)</f>
        <v/>
      </c>
      <c r="CO22" s="71">
        <v>19</v>
      </c>
      <c r="CP22" s="72">
        <v>16</v>
      </c>
      <c r="CQ22" s="383">
        <f t="shared" si="9"/>
        <v>35</v>
      </c>
      <c r="CR22" s="77">
        <v>0</v>
      </c>
      <c r="CS22" s="78">
        <v>1</v>
      </c>
      <c r="CT22" s="78">
        <v>6</v>
      </c>
      <c r="CU22" s="79">
        <v>2</v>
      </c>
      <c r="CV22" s="333">
        <f>IF(CQ22="","",'Name List'!$I$4)</f>
        <v>5</v>
      </c>
      <c r="CX22" s="98">
        <v>14</v>
      </c>
      <c r="CY22" s="99">
        <v>15</v>
      </c>
      <c r="CZ22" s="329">
        <f t="shared" si="10"/>
        <v>29</v>
      </c>
      <c r="DA22" s="77">
        <v>0</v>
      </c>
      <c r="DB22" s="78">
        <v>0</v>
      </c>
      <c r="DC22" s="78">
        <v>8</v>
      </c>
      <c r="DD22" s="79">
        <v>3</v>
      </c>
      <c r="DE22" s="333">
        <f>IF(CZ22="","",'Name List'!$I$4)</f>
        <v>5</v>
      </c>
      <c r="DG22" s="98">
        <v>18</v>
      </c>
      <c r="DH22" s="99">
        <v>16</v>
      </c>
      <c r="DI22" s="329">
        <f t="shared" si="11"/>
        <v>34</v>
      </c>
      <c r="DJ22" s="77">
        <v>0</v>
      </c>
      <c r="DK22" s="78">
        <v>1</v>
      </c>
      <c r="DL22" s="78">
        <v>6</v>
      </c>
      <c r="DM22" s="79">
        <v>1</v>
      </c>
      <c r="DN22" s="333">
        <f>IF(DI22="","",'Name List'!$I$4)</f>
        <v>5</v>
      </c>
      <c r="DP22" s="98"/>
      <c r="DQ22" s="99"/>
      <c r="DR22" s="329" t="str">
        <f t="shared" si="12"/>
        <v/>
      </c>
      <c r="DS22" s="77"/>
      <c r="DT22" s="78"/>
      <c r="DU22" s="78"/>
      <c r="DV22" s="79"/>
      <c r="DW22" s="333" t="str">
        <f>IF(DR22="","",'Name List'!$I$4)</f>
        <v/>
      </c>
      <c r="DY22" s="98"/>
      <c r="DZ22" s="99"/>
      <c r="EA22" s="329" t="str">
        <f t="shared" si="13"/>
        <v/>
      </c>
      <c r="EB22" s="77"/>
      <c r="EC22" s="78"/>
      <c r="ED22" s="78"/>
      <c r="EE22" s="79"/>
      <c r="EF22" s="333" t="str">
        <f>IF(EA22="","",'Name List'!$I$4)</f>
        <v/>
      </c>
      <c r="EH22" s="98">
        <v>17</v>
      </c>
      <c r="EI22" s="99">
        <v>11</v>
      </c>
      <c r="EJ22" s="329">
        <f t="shared" si="14"/>
        <v>28</v>
      </c>
      <c r="EK22" s="77">
        <v>0</v>
      </c>
      <c r="EL22" s="78">
        <v>2</v>
      </c>
      <c r="EM22" s="78">
        <v>1</v>
      </c>
      <c r="EN22" s="79">
        <v>1</v>
      </c>
      <c r="EO22" s="333">
        <f>IF(EJ22="","",'Name List'!$I$4)</f>
        <v>5</v>
      </c>
      <c r="EQ22" s="115"/>
      <c r="ER22" s="116"/>
      <c r="ES22" s="117">
        <v>89</v>
      </c>
      <c r="ET22" s="77">
        <v>0</v>
      </c>
      <c r="EU22" s="78">
        <v>1</v>
      </c>
      <c r="EV22" s="78">
        <v>6</v>
      </c>
      <c r="EW22" s="79"/>
      <c r="EX22" s="333">
        <f>IF(ES22="","",'Name List'!$I$4)</f>
        <v>5</v>
      </c>
      <c r="EZ22" s="68"/>
      <c r="FA22" s="69"/>
      <c r="FB22" s="70"/>
      <c r="FC22" s="77"/>
      <c r="FD22" s="78"/>
      <c r="FE22" s="78"/>
      <c r="FF22" s="79"/>
      <c r="FG22" s="67"/>
      <c r="FI22" s="98"/>
      <c r="FJ22" s="99"/>
      <c r="FK22" s="329" t="str">
        <f t="shared" si="16"/>
        <v/>
      </c>
      <c r="FL22" s="77"/>
      <c r="FM22" s="78"/>
      <c r="FN22" s="78"/>
      <c r="FO22" s="79"/>
      <c r="FP22" s="333" t="str">
        <f>IF(FK22="","",'Name List'!$I$4)</f>
        <v/>
      </c>
      <c r="FR22" s="98">
        <v>18</v>
      </c>
      <c r="FS22" s="99">
        <v>15</v>
      </c>
      <c r="FT22" s="329">
        <f t="shared" si="17"/>
        <v>33</v>
      </c>
      <c r="FU22" s="77">
        <v>0</v>
      </c>
      <c r="FV22" s="78">
        <v>0</v>
      </c>
      <c r="FW22" s="78">
        <v>7</v>
      </c>
      <c r="FX22" s="79">
        <v>1</v>
      </c>
      <c r="FY22" s="333">
        <f>IF(FT22="","",'Name List'!$I$4)</f>
        <v>5</v>
      </c>
      <c r="GA22" s="98">
        <v>10</v>
      </c>
      <c r="GB22" s="99">
        <v>15</v>
      </c>
      <c r="GC22" s="329">
        <f t="shared" si="18"/>
        <v>25</v>
      </c>
      <c r="GD22" s="77">
        <v>0</v>
      </c>
      <c r="GE22" s="78">
        <v>0</v>
      </c>
      <c r="GF22" s="78">
        <v>4</v>
      </c>
      <c r="GG22" s="79">
        <v>4</v>
      </c>
      <c r="GH22" s="333">
        <f>IF(GC22="","",'Name List'!$I$4)</f>
        <v>5</v>
      </c>
      <c r="GJ22" s="98">
        <v>21</v>
      </c>
      <c r="GK22" s="99">
        <v>14</v>
      </c>
      <c r="GL22" s="329">
        <f t="shared" si="19"/>
        <v>35</v>
      </c>
      <c r="GM22" s="77">
        <v>0</v>
      </c>
      <c r="GN22" s="78">
        <v>1</v>
      </c>
      <c r="GO22" s="78">
        <v>8</v>
      </c>
      <c r="GP22" s="79">
        <v>1</v>
      </c>
      <c r="GQ22" s="333">
        <f>IF(GL22="","",'Name List'!$I$4)</f>
        <v>5</v>
      </c>
      <c r="GS22" s="68"/>
      <c r="GT22" s="69"/>
      <c r="GU22" s="70"/>
      <c r="GV22" s="77"/>
      <c r="GW22" s="78"/>
      <c r="GX22" s="78"/>
      <c r="GY22" s="79"/>
      <c r="GZ22" s="67"/>
      <c r="HB22" s="98">
        <v>21</v>
      </c>
      <c r="HC22" s="99">
        <v>20</v>
      </c>
      <c r="HD22" s="329">
        <f t="shared" si="21"/>
        <v>41</v>
      </c>
      <c r="HE22" s="77">
        <v>0</v>
      </c>
      <c r="HF22" s="78">
        <v>0</v>
      </c>
      <c r="HG22" s="78">
        <v>11</v>
      </c>
      <c r="HH22" s="79">
        <v>0</v>
      </c>
      <c r="HI22" s="333">
        <f>IF(HD22="","",'Name List'!$I$4)</f>
        <v>5</v>
      </c>
      <c r="HK22" s="71"/>
      <c r="HL22" s="72"/>
      <c r="HM22" s="383" t="str">
        <f t="shared" si="22"/>
        <v/>
      </c>
      <c r="HN22" s="77"/>
      <c r="HO22" s="78"/>
      <c r="HP22" s="78"/>
      <c r="HQ22" s="79"/>
      <c r="HR22" s="333" t="str">
        <f>IF(HM22="","",'Name List'!$I$4)</f>
        <v/>
      </c>
      <c r="HT22" s="68"/>
      <c r="HU22" s="69"/>
      <c r="HV22" s="70"/>
      <c r="HW22" s="77"/>
      <c r="HX22" s="78"/>
      <c r="HY22" s="78"/>
      <c r="HZ22" s="79"/>
      <c r="IA22" s="67"/>
      <c r="IC22" s="115"/>
      <c r="ID22" s="116"/>
      <c r="IE22" s="117"/>
      <c r="IF22" s="77"/>
      <c r="IG22" s="78"/>
      <c r="IH22" s="78"/>
      <c r="II22" s="79"/>
      <c r="IJ22" s="333" t="str">
        <f>IF(IE22="","",'Name List'!$I$4)</f>
        <v/>
      </c>
      <c r="IL22" s="98"/>
      <c r="IM22" s="99"/>
      <c r="IN22" s="100"/>
      <c r="IO22" s="77"/>
      <c r="IP22" s="78"/>
      <c r="IQ22" s="78"/>
      <c r="IR22" s="79"/>
      <c r="IS22" s="67"/>
      <c r="IU22" s="98"/>
      <c r="IV22" s="99"/>
      <c r="IW22" s="100"/>
      <c r="IX22" s="77"/>
      <c r="IY22" s="78"/>
      <c r="IZ22" s="78"/>
      <c r="JA22" s="79"/>
      <c r="JB22" s="67"/>
      <c r="JD22" s="98"/>
      <c r="JE22" s="99"/>
      <c r="JF22" s="100"/>
      <c r="JG22" s="77"/>
      <c r="JH22" s="78"/>
      <c r="JI22" s="78"/>
      <c r="JJ22" s="79"/>
      <c r="JK22" s="67"/>
      <c r="JM22" s="98"/>
      <c r="JN22" s="99"/>
      <c r="JO22" s="275"/>
      <c r="JP22" s="77"/>
      <c r="JQ22" s="78"/>
      <c r="JR22" s="78"/>
      <c r="JS22" s="79"/>
      <c r="JT22" s="67"/>
      <c r="JV22" s="98"/>
      <c r="JW22" s="99"/>
      <c r="JX22" s="100"/>
      <c r="JY22" s="77"/>
      <c r="JZ22" s="78"/>
      <c r="KA22" s="78"/>
      <c r="KB22" s="79"/>
      <c r="KC22" s="67"/>
      <c r="KE22" s="98"/>
      <c r="KF22" s="99"/>
      <c r="KG22" s="100"/>
      <c r="KH22" s="77"/>
      <c r="KI22" s="78"/>
      <c r="KJ22" s="78"/>
      <c r="KK22" s="79"/>
      <c r="KL22" s="67"/>
      <c r="KN22" s="68"/>
      <c r="KO22" s="69"/>
      <c r="KP22" s="70"/>
      <c r="KQ22" s="77"/>
      <c r="KR22" s="78"/>
      <c r="KS22" s="78"/>
      <c r="KT22" s="79"/>
      <c r="KU22" s="67"/>
      <c r="KW22" s="98"/>
      <c r="KX22" s="99"/>
      <c r="KY22" s="100"/>
      <c r="KZ22" s="77"/>
      <c r="LA22" s="78"/>
      <c r="LB22" s="78"/>
      <c r="LC22" s="79"/>
      <c r="LD22" s="67"/>
      <c r="LF22" s="71"/>
      <c r="LG22" s="72"/>
      <c r="LH22" s="73"/>
      <c r="LI22" s="77"/>
      <c r="LJ22" s="78"/>
      <c r="LK22" s="78"/>
      <c r="LL22" s="79"/>
      <c r="LM22" s="67"/>
      <c r="LO22" s="98"/>
      <c r="LP22" s="99"/>
      <c r="LQ22" s="329"/>
      <c r="LR22" s="77"/>
      <c r="LS22" s="78"/>
      <c r="LT22" s="78"/>
      <c r="LU22" s="79"/>
      <c r="LV22" s="67"/>
      <c r="LX22" s="98"/>
      <c r="LY22" s="99"/>
      <c r="LZ22" s="100"/>
      <c r="MA22" s="77"/>
      <c r="MB22" s="78"/>
      <c r="MC22" s="78"/>
      <c r="MD22" s="79"/>
      <c r="ME22" s="67"/>
      <c r="MG22" s="98"/>
      <c r="MH22" s="99"/>
      <c r="MI22" s="100"/>
      <c r="MJ22" s="77"/>
      <c r="MK22" s="78"/>
      <c r="ML22" s="78"/>
      <c r="MM22" s="79"/>
      <c r="MN22" s="67"/>
      <c r="MP22" s="98"/>
      <c r="MQ22" s="99"/>
      <c r="MR22" s="100"/>
      <c r="MS22" s="77"/>
      <c r="MT22" s="78"/>
      <c r="MU22" s="78"/>
      <c r="MV22" s="79"/>
      <c r="MW22" s="67"/>
      <c r="MY22" s="98"/>
      <c r="MZ22" s="99"/>
      <c r="NA22" s="100"/>
      <c r="NB22" s="77"/>
      <c r="NC22" s="78"/>
      <c r="ND22" s="78"/>
      <c r="NE22" s="79"/>
      <c r="NF22" s="67"/>
      <c r="NH22" s="98"/>
      <c r="NI22" s="99"/>
      <c r="NJ22" s="329"/>
      <c r="NK22" s="77"/>
      <c r="NL22" s="78"/>
      <c r="NM22" s="78"/>
      <c r="NN22" s="79"/>
      <c r="NO22" s="67"/>
      <c r="NQ22" s="98"/>
      <c r="NR22" s="99"/>
      <c r="NS22" s="100"/>
      <c r="NT22" s="77"/>
      <c r="NU22" s="78"/>
      <c r="NV22" s="78"/>
      <c r="NW22" s="79"/>
      <c r="NX22" s="67"/>
      <c r="NZ22" s="71"/>
      <c r="OA22" s="72"/>
      <c r="OB22" s="73"/>
      <c r="OC22" s="77"/>
      <c r="OD22" s="78"/>
      <c r="OE22" s="78"/>
      <c r="OF22" s="79"/>
      <c r="OG22" s="67"/>
      <c r="OI22" s="98"/>
      <c r="OJ22" s="99"/>
      <c r="OK22" s="329"/>
      <c r="OL22" s="77"/>
      <c r="OM22" s="78"/>
      <c r="ON22" s="78"/>
      <c r="OO22" s="79"/>
      <c r="OP22" s="67"/>
      <c r="OR22" s="71"/>
      <c r="OS22" s="72"/>
      <c r="OT22" s="73"/>
      <c r="OU22" s="77"/>
      <c r="OV22" s="78"/>
      <c r="OW22" s="78"/>
      <c r="OX22" s="79"/>
      <c r="OY22" s="67"/>
      <c r="PA22" s="98"/>
      <c r="PB22" s="99"/>
      <c r="PC22" s="100"/>
      <c r="PD22" s="77"/>
      <c r="PE22" s="78"/>
      <c r="PF22" s="78"/>
      <c r="PG22" s="79"/>
      <c r="PH22" s="67"/>
      <c r="PJ22" s="277"/>
      <c r="PK22" s="278"/>
      <c r="PL22" s="279"/>
      <c r="PM22" s="125"/>
      <c r="PN22" s="126"/>
      <c r="PO22" s="126"/>
      <c r="PP22" s="127"/>
      <c r="PQ22" s="128"/>
      <c r="PS22" s="403"/>
      <c r="PT22" s="404"/>
      <c r="PU22" s="405"/>
      <c r="PV22" s="330"/>
      <c r="PW22" s="331"/>
      <c r="PX22" s="331"/>
      <c r="PY22" s="332"/>
      <c r="PZ22" s="333"/>
      <c r="QB22" s="412"/>
      <c r="QC22" s="413"/>
      <c r="QD22" s="414"/>
      <c r="QE22" s="125"/>
      <c r="QF22" s="126"/>
      <c r="QG22" s="126"/>
      <c r="QH22" s="127"/>
      <c r="QI22" s="128"/>
      <c r="QK22" s="283"/>
      <c r="QL22" s="284"/>
      <c r="QM22" s="285"/>
      <c r="QN22" s="125"/>
      <c r="QO22" s="126"/>
      <c r="QP22" s="126"/>
      <c r="QQ22" s="127"/>
      <c r="QR22" s="128" t="str">
        <f>IF(QM22="","",'Name List'!$I$4)</f>
        <v/>
      </c>
      <c r="QS22" s="91"/>
      <c r="QT22" s="107">
        <f t="shared" si="50"/>
        <v>0</v>
      </c>
      <c r="QU22" s="130">
        <f t="shared" si="51"/>
        <v>8</v>
      </c>
      <c r="QV22" s="130">
        <f t="shared" si="52"/>
        <v>77</v>
      </c>
      <c r="QW22" s="108">
        <f t="shared" si="53"/>
        <v>27</v>
      </c>
      <c r="QY22" s="260">
        <f t="shared" si="54"/>
        <v>13</v>
      </c>
      <c r="RA22" s="141">
        <f t="shared" si="55"/>
        <v>21</v>
      </c>
      <c r="RB22" s="106">
        <f t="shared" si="56"/>
        <v>18</v>
      </c>
      <c r="RC22" s="106">
        <f t="shared" si="57"/>
        <v>35</v>
      </c>
      <c r="RD22" s="106">
        <f t="shared" si="58"/>
        <v>10</v>
      </c>
      <c r="RE22" s="106">
        <f t="shared" si="59"/>
        <v>11</v>
      </c>
      <c r="RF22" s="142">
        <f t="shared" si="60"/>
        <v>24</v>
      </c>
      <c r="RG22" s="106"/>
      <c r="RH22" s="139">
        <f t="shared" si="61"/>
        <v>41</v>
      </c>
      <c r="RI22" s="140">
        <f t="shared" si="62"/>
        <v>22</v>
      </c>
      <c r="RJ22" s="106"/>
      <c r="RK22" s="136">
        <f t="shared" si="63"/>
        <v>28</v>
      </c>
      <c r="RL22" s="106"/>
      <c r="RM22" s="137">
        <f t="shared" si="64"/>
        <v>89</v>
      </c>
      <c r="RN22" s="138">
        <f t="shared" si="65"/>
        <v>89</v>
      </c>
      <c r="RO22" s="106"/>
      <c r="RP22" s="259">
        <f t="shared" si="66"/>
        <v>1</v>
      </c>
    </row>
    <row r="23" spans="1:484" x14ac:dyDescent="0.2">
      <c r="A23" s="89" t="str">
        <f>'Name List'!B23</f>
        <v>Mike Forrest</v>
      </c>
      <c r="C23" s="98"/>
      <c r="D23" s="99"/>
      <c r="E23" s="329" t="str">
        <f t="shared" si="0"/>
        <v/>
      </c>
      <c r="F23" s="77"/>
      <c r="G23" s="78"/>
      <c r="H23" s="78"/>
      <c r="I23" s="79"/>
      <c r="J23" s="333" t="str">
        <f>IF(E23="","",'Name List'!$I$4)</f>
        <v/>
      </c>
      <c r="L23" s="98"/>
      <c r="M23" s="99"/>
      <c r="N23" s="100"/>
      <c r="O23" s="77"/>
      <c r="P23" s="78"/>
      <c r="Q23" s="78"/>
      <c r="R23" s="79"/>
      <c r="S23" s="67"/>
      <c r="U23" s="71"/>
      <c r="V23" s="72"/>
      <c r="W23" s="396" t="str">
        <f t="shared" si="2"/>
        <v/>
      </c>
      <c r="X23" s="77"/>
      <c r="Y23" s="78"/>
      <c r="Z23" s="78"/>
      <c r="AA23" s="79"/>
      <c r="AB23" s="333" t="str">
        <f>IF(W23="","",'Name List'!$I$4)</f>
        <v/>
      </c>
      <c r="AD23" s="98">
        <v>18</v>
      </c>
      <c r="AE23" s="99">
        <v>15</v>
      </c>
      <c r="AF23" s="329">
        <f t="shared" si="3"/>
        <v>33</v>
      </c>
      <c r="AG23" s="77">
        <v>0</v>
      </c>
      <c r="AH23" s="78">
        <v>0</v>
      </c>
      <c r="AI23" s="78">
        <v>1</v>
      </c>
      <c r="AJ23" s="79">
        <v>0</v>
      </c>
      <c r="AK23" s="333">
        <f>IF(AF23="","",'Name List'!$I$4)</f>
        <v>5</v>
      </c>
      <c r="AM23" s="98">
        <v>12</v>
      </c>
      <c r="AN23" s="99">
        <v>20</v>
      </c>
      <c r="AO23" s="329">
        <f t="shared" si="4"/>
        <v>32</v>
      </c>
      <c r="AP23" s="77">
        <v>0</v>
      </c>
      <c r="AQ23" s="78">
        <v>0</v>
      </c>
      <c r="AR23" s="78">
        <v>4</v>
      </c>
      <c r="AS23" s="79">
        <v>3</v>
      </c>
      <c r="AT23" s="333">
        <f>IF(AO23="","",'Name List'!$I$4)</f>
        <v>5</v>
      </c>
      <c r="AV23" s="458"/>
      <c r="AW23" s="401"/>
      <c r="AX23" s="400" t="str">
        <f t="shared" si="5"/>
        <v/>
      </c>
      <c r="AY23" s="77"/>
      <c r="AZ23" s="78"/>
      <c r="BA23" s="78"/>
      <c r="BB23" s="79"/>
      <c r="BC23" s="457" t="str">
        <f>IF(AX23="","",'Name List'!$I$4)</f>
        <v/>
      </c>
      <c r="BE23" s="71"/>
      <c r="BF23" s="72"/>
      <c r="BG23" s="383" t="str">
        <f t="shared" si="6"/>
        <v/>
      </c>
      <c r="BH23" s="77"/>
      <c r="BI23" s="78"/>
      <c r="BJ23" s="78"/>
      <c r="BK23" s="79"/>
      <c r="BL23" s="333" t="str">
        <f>IF(BG23="","",'Name List'!$I$4)</f>
        <v/>
      </c>
      <c r="BN23" s="98"/>
      <c r="BO23" s="99"/>
      <c r="BP23" s="100"/>
      <c r="BQ23" s="77"/>
      <c r="BR23" s="78"/>
      <c r="BS23" s="78"/>
      <c r="BT23" s="79"/>
      <c r="BU23" s="67"/>
      <c r="BW23" s="98">
        <v>11</v>
      </c>
      <c r="BX23" s="99">
        <v>12</v>
      </c>
      <c r="BY23" s="329">
        <f t="shared" si="8"/>
        <v>23</v>
      </c>
      <c r="BZ23" s="77">
        <v>0</v>
      </c>
      <c r="CA23" s="78">
        <v>0</v>
      </c>
      <c r="CB23" s="78">
        <v>1</v>
      </c>
      <c r="CC23" s="79">
        <v>4</v>
      </c>
      <c r="CD23" s="333">
        <f>IF(BY23="","",'Name List'!$I$4)</f>
        <v>5</v>
      </c>
      <c r="CF23" s="68">
        <v>15</v>
      </c>
      <c r="CG23" s="69">
        <v>14</v>
      </c>
      <c r="CH23" s="282">
        <f t="shared" si="49"/>
        <v>29</v>
      </c>
      <c r="CI23" s="77">
        <v>0</v>
      </c>
      <c r="CJ23" s="78">
        <v>0</v>
      </c>
      <c r="CK23" s="78">
        <v>3</v>
      </c>
      <c r="CL23" s="79">
        <v>3</v>
      </c>
      <c r="CM23" s="333">
        <f>IF(CH23="","",'Name List'!$I$4)</f>
        <v>5</v>
      </c>
      <c r="CO23" s="71"/>
      <c r="CP23" s="72"/>
      <c r="CQ23" s="383" t="str">
        <f t="shared" si="9"/>
        <v/>
      </c>
      <c r="CR23" s="77"/>
      <c r="CS23" s="78"/>
      <c r="CT23" s="78"/>
      <c r="CU23" s="79"/>
      <c r="CV23" s="333" t="str">
        <f>IF(CQ23="","",'Name List'!$I$4)</f>
        <v/>
      </c>
      <c r="CX23" s="98">
        <v>12</v>
      </c>
      <c r="CY23" s="99">
        <v>19</v>
      </c>
      <c r="CZ23" s="329">
        <f t="shared" si="10"/>
        <v>31</v>
      </c>
      <c r="DA23" s="77">
        <v>0</v>
      </c>
      <c r="DB23" s="78">
        <v>0</v>
      </c>
      <c r="DC23" s="78">
        <v>4</v>
      </c>
      <c r="DD23" s="79">
        <v>2</v>
      </c>
      <c r="DE23" s="333">
        <f>IF(CZ23="","",'Name List'!$I$4)</f>
        <v>5</v>
      </c>
      <c r="DG23" s="98">
        <v>12</v>
      </c>
      <c r="DH23" s="99">
        <v>14</v>
      </c>
      <c r="DI23" s="329">
        <f t="shared" si="11"/>
        <v>26</v>
      </c>
      <c r="DJ23" s="77">
        <v>0</v>
      </c>
      <c r="DK23" s="78">
        <v>0</v>
      </c>
      <c r="DL23" s="78">
        <v>1</v>
      </c>
      <c r="DM23" s="79">
        <v>3</v>
      </c>
      <c r="DN23" s="333">
        <f>IF(DI23="","",'Name List'!$I$4)</f>
        <v>5</v>
      </c>
      <c r="DP23" s="98">
        <v>13</v>
      </c>
      <c r="DQ23" s="99">
        <v>12</v>
      </c>
      <c r="DR23" s="329">
        <f t="shared" si="12"/>
        <v>25</v>
      </c>
      <c r="DS23" s="77">
        <v>0</v>
      </c>
      <c r="DT23" s="78">
        <v>0</v>
      </c>
      <c r="DU23" s="78">
        <v>1</v>
      </c>
      <c r="DV23" s="79">
        <v>3</v>
      </c>
      <c r="DW23" s="333">
        <f>IF(DR23="","",'Name List'!$I$4)</f>
        <v>5</v>
      </c>
      <c r="DY23" s="98"/>
      <c r="DZ23" s="99"/>
      <c r="EA23" s="329" t="str">
        <f t="shared" si="13"/>
        <v/>
      </c>
      <c r="EB23" s="77"/>
      <c r="EC23" s="78"/>
      <c r="ED23" s="78"/>
      <c r="EE23" s="79"/>
      <c r="EF23" s="333" t="str">
        <f>IF(EA23="","",'Name List'!$I$4)</f>
        <v/>
      </c>
      <c r="EH23" s="98">
        <v>13</v>
      </c>
      <c r="EI23" s="99">
        <v>12</v>
      </c>
      <c r="EJ23" s="329">
        <f t="shared" si="14"/>
        <v>25</v>
      </c>
      <c r="EK23" s="77">
        <v>0</v>
      </c>
      <c r="EL23" s="78">
        <v>0</v>
      </c>
      <c r="EM23" s="78">
        <v>2</v>
      </c>
      <c r="EN23" s="79">
        <v>4</v>
      </c>
      <c r="EO23" s="333">
        <f>IF(EJ23="","",'Name List'!$I$4)</f>
        <v>5</v>
      </c>
      <c r="EQ23" s="115"/>
      <c r="ER23" s="116"/>
      <c r="ES23" s="117"/>
      <c r="ET23" s="77"/>
      <c r="EU23" s="78"/>
      <c r="EV23" s="78"/>
      <c r="EW23" s="79"/>
      <c r="EX23" s="333" t="str">
        <f>IF(ES23="","",'Name List'!$I$4)</f>
        <v/>
      </c>
      <c r="EZ23" s="68"/>
      <c r="FA23" s="69"/>
      <c r="FB23" s="70"/>
      <c r="FC23" s="77"/>
      <c r="FD23" s="78"/>
      <c r="FE23" s="78"/>
      <c r="FF23" s="79"/>
      <c r="FG23" s="67"/>
      <c r="FI23" s="98"/>
      <c r="FJ23" s="99"/>
      <c r="FK23" s="329" t="str">
        <f t="shared" si="16"/>
        <v/>
      </c>
      <c r="FL23" s="77"/>
      <c r="FM23" s="78"/>
      <c r="FN23" s="78"/>
      <c r="FO23" s="79"/>
      <c r="FP23" s="333" t="str">
        <f>IF(FK23="","",'Name List'!$I$4)</f>
        <v/>
      </c>
      <c r="FR23" s="98"/>
      <c r="FS23" s="99"/>
      <c r="FT23" s="329" t="str">
        <f t="shared" si="17"/>
        <v/>
      </c>
      <c r="FU23" s="77"/>
      <c r="FV23" s="78"/>
      <c r="FW23" s="78"/>
      <c r="FX23" s="79"/>
      <c r="FY23" s="333" t="str">
        <f>IF(FT23="","",'Name List'!$I$4)</f>
        <v/>
      </c>
      <c r="GA23" s="98"/>
      <c r="GB23" s="99"/>
      <c r="GC23" s="329" t="str">
        <f t="shared" si="18"/>
        <v/>
      </c>
      <c r="GD23" s="77"/>
      <c r="GE23" s="78"/>
      <c r="GF23" s="78"/>
      <c r="GG23" s="79"/>
      <c r="GH23" s="333" t="str">
        <f>IF(GC23="","",'Name List'!$I$4)</f>
        <v/>
      </c>
      <c r="GJ23" s="98"/>
      <c r="GK23" s="99"/>
      <c r="GL23" s="329" t="str">
        <f t="shared" si="19"/>
        <v/>
      </c>
      <c r="GM23" s="77"/>
      <c r="GN23" s="78"/>
      <c r="GO23" s="78"/>
      <c r="GP23" s="79"/>
      <c r="GQ23" s="333" t="str">
        <f>IF(GL23="","",'Name List'!$I$4)</f>
        <v/>
      </c>
      <c r="GS23" s="68"/>
      <c r="GT23" s="69"/>
      <c r="GU23" s="70"/>
      <c r="GV23" s="77"/>
      <c r="GW23" s="78"/>
      <c r="GX23" s="78"/>
      <c r="GY23" s="79"/>
      <c r="GZ23" s="67"/>
      <c r="HB23" s="98">
        <v>15</v>
      </c>
      <c r="HC23" s="99">
        <v>15</v>
      </c>
      <c r="HD23" s="329">
        <f t="shared" si="21"/>
        <v>30</v>
      </c>
      <c r="HE23" s="77">
        <v>0</v>
      </c>
      <c r="HF23" s="78">
        <v>0</v>
      </c>
      <c r="HG23" s="78">
        <v>5</v>
      </c>
      <c r="HH23" s="79">
        <v>3</v>
      </c>
      <c r="HI23" s="333">
        <f>IF(HD23="","",'Name List'!$I$4)</f>
        <v>5</v>
      </c>
      <c r="HK23" s="71">
        <v>15</v>
      </c>
      <c r="HL23" s="72">
        <v>19</v>
      </c>
      <c r="HM23" s="383">
        <f t="shared" si="22"/>
        <v>34</v>
      </c>
      <c r="HN23" s="77">
        <v>0</v>
      </c>
      <c r="HO23" s="78">
        <v>0</v>
      </c>
      <c r="HP23" s="78">
        <v>4</v>
      </c>
      <c r="HQ23" s="79">
        <v>2</v>
      </c>
      <c r="HR23" s="333">
        <f>IF(HM23="","",'Name List'!$I$4)</f>
        <v>5</v>
      </c>
      <c r="HT23" s="68"/>
      <c r="HU23" s="69"/>
      <c r="HV23" s="70"/>
      <c r="HW23" s="77"/>
      <c r="HX23" s="78"/>
      <c r="HY23" s="78"/>
      <c r="HZ23" s="79"/>
      <c r="IA23" s="67"/>
      <c r="IC23" s="115"/>
      <c r="ID23" s="116"/>
      <c r="IE23" s="117"/>
      <c r="IF23" s="77"/>
      <c r="IG23" s="78"/>
      <c r="IH23" s="78"/>
      <c r="II23" s="79"/>
      <c r="IJ23" s="333" t="str">
        <f>IF(IE23="","",'Name List'!$I$4)</f>
        <v/>
      </c>
      <c r="IL23" s="98"/>
      <c r="IM23" s="99"/>
      <c r="IN23" s="100"/>
      <c r="IO23" s="77"/>
      <c r="IP23" s="78"/>
      <c r="IQ23" s="78"/>
      <c r="IR23" s="79"/>
      <c r="IS23" s="67"/>
      <c r="IU23" s="98"/>
      <c r="IV23" s="99"/>
      <c r="IW23" s="100"/>
      <c r="IX23" s="77"/>
      <c r="IY23" s="78"/>
      <c r="IZ23" s="78"/>
      <c r="JA23" s="79"/>
      <c r="JB23" s="67"/>
      <c r="JD23" s="98"/>
      <c r="JE23" s="99"/>
      <c r="JF23" s="100"/>
      <c r="JG23" s="77"/>
      <c r="JH23" s="78"/>
      <c r="JI23" s="78"/>
      <c r="JJ23" s="79"/>
      <c r="JK23" s="67"/>
      <c r="JM23" s="98"/>
      <c r="JN23" s="99"/>
      <c r="JO23" s="275"/>
      <c r="JP23" s="77"/>
      <c r="JQ23" s="78"/>
      <c r="JR23" s="78"/>
      <c r="JS23" s="79"/>
      <c r="JT23" s="67"/>
      <c r="JV23" s="98"/>
      <c r="JW23" s="99"/>
      <c r="JX23" s="100"/>
      <c r="JY23" s="77"/>
      <c r="JZ23" s="78"/>
      <c r="KA23" s="78"/>
      <c r="KB23" s="79"/>
      <c r="KC23" s="67"/>
      <c r="KE23" s="98"/>
      <c r="KF23" s="99"/>
      <c r="KG23" s="100"/>
      <c r="KH23" s="77"/>
      <c r="KI23" s="78"/>
      <c r="KJ23" s="78"/>
      <c r="KK23" s="79"/>
      <c r="KL23" s="67"/>
      <c r="KN23" s="68"/>
      <c r="KO23" s="69"/>
      <c r="KP23" s="70"/>
      <c r="KQ23" s="77"/>
      <c r="KR23" s="78"/>
      <c r="KS23" s="78"/>
      <c r="KT23" s="79"/>
      <c r="KU23" s="67"/>
      <c r="KW23" s="98"/>
      <c r="KX23" s="99"/>
      <c r="KY23" s="100"/>
      <c r="KZ23" s="77"/>
      <c r="LA23" s="78"/>
      <c r="LB23" s="78"/>
      <c r="LC23" s="79"/>
      <c r="LD23" s="67"/>
      <c r="LF23" s="71"/>
      <c r="LG23" s="72"/>
      <c r="LH23" s="73"/>
      <c r="LI23" s="77"/>
      <c r="LJ23" s="78"/>
      <c r="LK23" s="78"/>
      <c r="LL23" s="79"/>
      <c r="LM23" s="67"/>
      <c r="LO23" s="98"/>
      <c r="LP23" s="99"/>
      <c r="LQ23" s="329"/>
      <c r="LR23" s="77"/>
      <c r="LS23" s="78"/>
      <c r="LT23" s="78"/>
      <c r="LU23" s="79"/>
      <c r="LV23" s="67"/>
      <c r="LX23" s="98"/>
      <c r="LY23" s="99"/>
      <c r="LZ23" s="100"/>
      <c r="MA23" s="77"/>
      <c r="MB23" s="78"/>
      <c r="MC23" s="78"/>
      <c r="MD23" s="79"/>
      <c r="ME23" s="67"/>
      <c r="MG23" s="98"/>
      <c r="MH23" s="99"/>
      <c r="MI23" s="100"/>
      <c r="MJ23" s="77"/>
      <c r="MK23" s="78"/>
      <c r="ML23" s="78"/>
      <c r="MM23" s="79"/>
      <c r="MN23" s="67"/>
      <c r="MP23" s="98"/>
      <c r="MQ23" s="99"/>
      <c r="MR23" s="100"/>
      <c r="MS23" s="77"/>
      <c r="MT23" s="78"/>
      <c r="MU23" s="78"/>
      <c r="MV23" s="79"/>
      <c r="MW23" s="67"/>
      <c r="MY23" s="98"/>
      <c r="MZ23" s="99"/>
      <c r="NA23" s="100"/>
      <c r="NB23" s="77"/>
      <c r="NC23" s="78"/>
      <c r="ND23" s="78"/>
      <c r="NE23" s="79"/>
      <c r="NF23" s="67"/>
      <c r="NH23" s="98"/>
      <c r="NI23" s="99"/>
      <c r="NJ23" s="329"/>
      <c r="NK23" s="77"/>
      <c r="NL23" s="78"/>
      <c r="NM23" s="78"/>
      <c r="NN23" s="79"/>
      <c r="NO23" s="67"/>
      <c r="NQ23" s="98"/>
      <c r="NR23" s="99"/>
      <c r="NS23" s="100"/>
      <c r="NT23" s="77"/>
      <c r="NU23" s="78"/>
      <c r="NV23" s="78"/>
      <c r="NW23" s="79"/>
      <c r="NX23" s="67"/>
      <c r="NZ23" s="71"/>
      <c r="OA23" s="72"/>
      <c r="OB23" s="73"/>
      <c r="OC23" s="77"/>
      <c r="OD23" s="78"/>
      <c r="OE23" s="78"/>
      <c r="OF23" s="79"/>
      <c r="OG23" s="67"/>
      <c r="OI23" s="98"/>
      <c r="OJ23" s="99"/>
      <c r="OK23" s="329"/>
      <c r="OL23" s="77"/>
      <c r="OM23" s="78"/>
      <c r="ON23" s="78"/>
      <c r="OO23" s="79"/>
      <c r="OP23" s="67"/>
      <c r="OR23" s="71"/>
      <c r="OS23" s="72"/>
      <c r="OT23" s="73"/>
      <c r="OU23" s="77"/>
      <c r="OV23" s="78"/>
      <c r="OW23" s="78"/>
      <c r="OX23" s="79"/>
      <c r="OY23" s="67"/>
      <c r="PA23" s="98"/>
      <c r="PB23" s="99"/>
      <c r="PC23" s="100"/>
      <c r="PD23" s="77"/>
      <c r="PE23" s="78"/>
      <c r="PF23" s="78"/>
      <c r="PG23" s="79"/>
      <c r="PH23" s="67"/>
      <c r="PJ23" s="277"/>
      <c r="PK23" s="278"/>
      <c r="PL23" s="279"/>
      <c r="PM23" s="125"/>
      <c r="PN23" s="126"/>
      <c r="PO23" s="126"/>
      <c r="PP23" s="127"/>
      <c r="PQ23" s="128"/>
      <c r="PS23" s="403"/>
      <c r="PT23" s="404"/>
      <c r="PU23" s="405"/>
      <c r="PV23" s="330"/>
      <c r="PW23" s="331"/>
      <c r="PX23" s="331"/>
      <c r="PY23" s="332"/>
      <c r="PZ23" s="333"/>
      <c r="QB23" s="412"/>
      <c r="QC23" s="413"/>
      <c r="QD23" s="414"/>
      <c r="QE23" s="125"/>
      <c r="QF23" s="126"/>
      <c r="QG23" s="126"/>
      <c r="QH23" s="127"/>
      <c r="QI23" s="128"/>
      <c r="QK23" s="283"/>
      <c r="QL23" s="284"/>
      <c r="QM23" s="285"/>
      <c r="QN23" s="125"/>
      <c r="QO23" s="126"/>
      <c r="QP23" s="126"/>
      <c r="QQ23" s="127"/>
      <c r="QR23" s="128" t="str">
        <f>IF(QM23="","",'Name List'!$I$4)</f>
        <v/>
      </c>
      <c r="QS23" s="91"/>
      <c r="QT23" s="107">
        <f t="shared" si="50"/>
        <v>0</v>
      </c>
      <c r="QU23" s="130">
        <f t="shared" si="51"/>
        <v>0</v>
      </c>
      <c r="QV23" s="130">
        <f t="shared" si="52"/>
        <v>26</v>
      </c>
      <c r="QW23" s="108">
        <f t="shared" si="53"/>
        <v>27</v>
      </c>
      <c r="QY23" s="260">
        <f t="shared" si="54"/>
        <v>10</v>
      </c>
      <c r="RA23" s="141">
        <f t="shared" si="55"/>
        <v>18</v>
      </c>
      <c r="RB23" s="106">
        <f t="shared" si="56"/>
        <v>20</v>
      </c>
      <c r="RC23" s="106">
        <f t="shared" si="57"/>
        <v>34</v>
      </c>
      <c r="RD23" s="106">
        <f t="shared" si="58"/>
        <v>11</v>
      </c>
      <c r="RE23" s="106">
        <f t="shared" si="59"/>
        <v>12</v>
      </c>
      <c r="RF23" s="142">
        <f t="shared" si="60"/>
        <v>23</v>
      </c>
      <c r="RG23" s="106"/>
      <c r="RH23" s="139">
        <f t="shared" si="61"/>
        <v>30</v>
      </c>
      <c r="RI23" s="140">
        <f t="shared" si="62"/>
        <v>30</v>
      </c>
      <c r="RJ23" s="106"/>
      <c r="RK23" s="136">
        <f t="shared" si="63"/>
        <v>28.8</v>
      </c>
      <c r="RL23" s="106"/>
      <c r="RM23" s="137">
        <f t="shared" si="64"/>
        <v>0</v>
      </c>
      <c r="RN23" s="138">
        <f t="shared" si="65"/>
        <v>0</v>
      </c>
      <c r="RO23" s="106"/>
      <c r="RP23" s="259">
        <f t="shared" si="66"/>
        <v>0</v>
      </c>
    </row>
    <row r="24" spans="1:484" x14ac:dyDescent="0.2">
      <c r="A24" s="89" t="str">
        <f>'Name List'!B24</f>
        <v>Tony Forsyth-James</v>
      </c>
      <c r="C24" s="98"/>
      <c r="D24" s="99"/>
      <c r="E24" s="329" t="str">
        <f t="shared" si="0"/>
        <v/>
      </c>
      <c r="F24" s="77"/>
      <c r="G24" s="78"/>
      <c r="H24" s="78"/>
      <c r="I24" s="79"/>
      <c r="J24" s="333" t="str">
        <f>IF(E24="","",'Name List'!$I$4)</f>
        <v/>
      </c>
      <c r="L24" s="98"/>
      <c r="M24" s="99"/>
      <c r="N24" s="100"/>
      <c r="O24" s="77"/>
      <c r="P24" s="78"/>
      <c r="Q24" s="78"/>
      <c r="R24" s="79"/>
      <c r="S24" s="67"/>
      <c r="U24" s="71">
        <v>10</v>
      </c>
      <c r="V24" s="72">
        <v>14</v>
      </c>
      <c r="W24" s="396">
        <f t="shared" si="2"/>
        <v>24</v>
      </c>
      <c r="X24" s="77">
        <v>0</v>
      </c>
      <c r="Y24" s="78">
        <v>0</v>
      </c>
      <c r="Z24" s="78">
        <v>2</v>
      </c>
      <c r="AA24" s="79">
        <v>3</v>
      </c>
      <c r="AB24" s="333">
        <f>IF(W24="","",'Name List'!$I$4)</f>
        <v>5</v>
      </c>
      <c r="AD24" s="98">
        <v>14</v>
      </c>
      <c r="AE24" s="99">
        <v>23</v>
      </c>
      <c r="AF24" s="329">
        <f t="shared" si="3"/>
        <v>37</v>
      </c>
      <c r="AG24" s="77">
        <v>0</v>
      </c>
      <c r="AH24" s="78">
        <v>1</v>
      </c>
      <c r="AI24" s="78">
        <v>10</v>
      </c>
      <c r="AJ24" s="79">
        <v>2</v>
      </c>
      <c r="AK24" s="333">
        <f>IF(AF24="","",'Name List'!$I$4)</f>
        <v>5</v>
      </c>
      <c r="AM24" s="98">
        <v>15</v>
      </c>
      <c r="AN24" s="99">
        <v>17</v>
      </c>
      <c r="AO24" s="329">
        <f t="shared" si="4"/>
        <v>32</v>
      </c>
      <c r="AP24" s="77">
        <v>0</v>
      </c>
      <c r="AQ24" s="78">
        <v>0</v>
      </c>
      <c r="AR24" s="78">
        <v>4</v>
      </c>
      <c r="AS24" s="79">
        <v>3</v>
      </c>
      <c r="AT24" s="333">
        <f>IF(AO24="","",'Name List'!$I$4)</f>
        <v>5</v>
      </c>
      <c r="AV24" s="458"/>
      <c r="AW24" s="401"/>
      <c r="AX24" s="400" t="str">
        <f t="shared" si="5"/>
        <v/>
      </c>
      <c r="AY24" s="77"/>
      <c r="AZ24" s="78"/>
      <c r="BA24" s="78"/>
      <c r="BB24" s="79"/>
      <c r="BC24" s="457" t="str">
        <f>IF(AX24="","",'Name List'!$I$4)</f>
        <v/>
      </c>
      <c r="BE24" s="71">
        <v>16</v>
      </c>
      <c r="BF24" s="72">
        <v>20</v>
      </c>
      <c r="BG24" s="383">
        <f t="shared" si="6"/>
        <v>36</v>
      </c>
      <c r="BH24" s="77">
        <v>0</v>
      </c>
      <c r="BI24" s="78">
        <v>0</v>
      </c>
      <c r="BJ24" s="78">
        <v>5</v>
      </c>
      <c r="BK24" s="79">
        <v>2</v>
      </c>
      <c r="BL24" s="333">
        <f>IF(BG24="","",'Name List'!$I$4)</f>
        <v>5</v>
      </c>
      <c r="BN24" s="98"/>
      <c r="BO24" s="99"/>
      <c r="BP24" s="100"/>
      <c r="BQ24" s="77"/>
      <c r="BR24" s="78"/>
      <c r="BS24" s="78"/>
      <c r="BT24" s="79"/>
      <c r="BU24" s="67"/>
      <c r="BW24" s="98"/>
      <c r="BX24" s="99"/>
      <c r="BY24" s="329" t="str">
        <f t="shared" si="8"/>
        <v/>
      </c>
      <c r="BZ24" s="77"/>
      <c r="CA24" s="78"/>
      <c r="CB24" s="78"/>
      <c r="CC24" s="79"/>
      <c r="CD24" s="333" t="str">
        <f>IF(BY24="","",'Name List'!$I$4)</f>
        <v/>
      </c>
      <c r="CF24" s="68"/>
      <c r="CG24" s="69"/>
      <c r="CH24" s="282" t="str">
        <f t="shared" si="49"/>
        <v/>
      </c>
      <c r="CI24" s="77"/>
      <c r="CJ24" s="78"/>
      <c r="CK24" s="78"/>
      <c r="CL24" s="79"/>
      <c r="CM24" s="333" t="str">
        <f>IF(CH24="","",'Name List'!$I$4)</f>
        <v/>
      </c>
      <c r="CO24" s="71">
        <v>14</v>
      </c>
      <c r="CP24" s="72">
        <v>15</v>
      </c>
      <c r="CQ24" s="383">
        <f t="shared" si="9"/>
        <v>29</v>
      </c>
      <c r="CR24" s="77">
        <v>0</v>
      </c>
      <c r="CS24" s="78">
        <v>0</v>
      </c>
      <c r="CT24" s="78">
        <v>4</v>
      </c>
      <c r="CU24" s="79">
        <v>3</v>
      </c>
      <c r="CV24" s="333">
        <f>IF(CQ24="","",'Name List'!$I$4)</f>
        <v>5</v>
      </c>
      <c r="CX24" s="98">
        <v>11</v>
      </c>
      <c r="CY24" s="99">
        <v>15</v>
      </c>
      <c r="CZ24" s="329">
        <f t="shared" si="10"/>
        <v>26</v>
      </c>
      <c r="DA24" s="77">
        <v>0</v>
      </c>
      <c r="DB24" s="78">
        <v>0</v>
      </c>
      <c r="DC24" s="78">
        <v>2</v>
      </c>
      <c r="DD24" s="79">
        <v>3</v>
      </c>
      <c r="DE24" s="333">
        <f>IF(CZ24="","",'Name List'!$I$4)</f>
        <v>5</v>
      </c>
      <c r="DG24" s="98">
        <v>10</v>
      </c>
      <c r="DH24" s="99">
        <v>16</v>
      </c>
      <c r="DI24" s="329">
        <f t="shared" si="11"/>
        <v>26</v>
      </c>
      <c r="DJ24" s="77">
        <v>0</v>
      </c>
      <c r="DK24" s="78">
        <v>0</v>
      </c>
      <c r="DL24" s="78">
        <v>2</v>
      </c>
      <c r="DM24" s="79">
        <v>2</v>
      </c>
      <c r="DN24" s="333">
        <f>IF(DI24="","",'Name List'!$I$4)</f>
        <v>5</v>
      </c>
      <c r="DP24" s="98">
        <v>13</v>
      </c>
      <c r="DQ24" s="99">
        <v>10</v>
      </c>
      <c r="DR24" s="329">
        <f t="shared" si="12"/>
        <v>23</v>
      </c>
      <c r="DS24" s="77">
        <v>0</v>
      </c>
      <c r="DT24" s="78">
        <v>0</v>
      </c>
      <c r="DU24" s="78">
        <v>5</v>
      </c>
      <c r="DV24" s="79">
        <v>6</v>
      </c>
      <c r="DW24" s="333">
        <f>IF(DR24="","",'Name List'!$I$4)</f>
        <v>5</v>
      </c>
      <c r="DY24" s="98">
        <v>17</v>
      </c>
      <c r="DZ24" s="99">
        <v>12</v>
      </c>
      <c r="EA24" s="329">
        <f t="shared" si="13"/>
        <v>29</v>
      </c>
      <c r="EB24" s="77">
        <v>0</v>
      </c>
      <c r="EC24" s="78">
        <v>0</v>
      </c>
      <c r="ED24" s="78">
        <v>4</v>
      </c>
      <c r="EE24" s="79">
        <v>2</v>
      </c>
      <c r="EF24" s="333">
        <f>IF(EA24="","",'Name List'!$I$4)</f>
        <v>5</v>
      </c>
      <c r="EH24" s="98">
        <v>13</v>
      </c>
      <c r="EI24" s="99">
        <v>15</v>
      </c>
      <c r="EJ24" s="329">
        <f t="shared" si="14"/>
        <v>28</v>
      </c>
      <c r="EK24" s="77">
        <v>0</v>
      </c>
      <c r="EL24" s="78">
        <v>1</v>
      </c>
      <c r="EM24" s="78">
        <v>3</v>
      </c>
      <c r="EN24" s="79">
        <v>4</v>
      </c>
      <c r="EO24" s="333">
        <f>IF(EJ24="","",'Name List'!$I$4)</f>
        <v>5</v>
      </c>
      <c r="EQ24" s="115"/>
      <c r="ER24" s="116"/>
      <c r="ES24" s="117">
        <v>102</v>
      </c>
      <c r="ET24" s="77">
        <v>0</v>
      </c>
      <c r="EU24" s="78">
        <v>0</v>
      </c>
      <c r="EV24" s="78">
        <v>4</v>
      </c>
      <c r="EW24" s="79"/>
      <c r="EX24" s="333">
        <f>IF(ES24="","",'Name List'!$I$4)</f>
        <v>5</v>
      </c>
      <c r="EZ24" s="68"/>
      <c r="FA24" s="69"/>
      <c r="FB24" s="70"/>
      <c r="FC24" s="77"/>
      <c r="FD24" s="78"/>
      <c r="FE24" s="78"/>
      <c r="FF24" s="79"/>
      <c r="FG24" s="67"/>
      <c r="FI24" s="98">
        <v>19</v>
      </c>
      <c r="FJ24" s="99">
        <v>17</v>
      </c>
      <c r="FK24" s="329">
        <f t="shared" si="16"/>
        <v>36</v>
      </c>
      <c r="FL24" s="77">
        <v>0</v>
      </c>
      <c r="FM24" s="78">
        <v>1</v>
      </c>
      <c r="FN24" s="78">
        <v>4</v>
      </c>
      <c r="FO24" s="79">
        <v>1</v>
      </c>
      <c r="FP24" s="333">
        <f>IF(FK24="","",'Name List'!$I$4)</f>
        <v>5</v>
      </c>
      <c r="FR24" s="98">
        <v>19</v>
      </c>
      <c r="FS24" s="99">
        <v>17</v>
      </c>
      <c r="FT24" s="329">
        <f t="shared" si="17"/>
        <v>36</v>
      </c>
      <c r="FU24" s="77">
        <v>0</v>
      </c>
      <c r="FV24" s="78">
        <v>0</v>
      </c>
      <c r="FW24" s="78">
        <v>5</v>
      </c>
      <c r="FX24" s="79">
        <v>1</v>
      </c>
      <c r="FY24" s="333">
        <f>IF(FT24="","",'Name List'!$I$4)</f>
        <v>5</v>
      </c>
      <c r="GA24" s="98">
        <v>17</v>
      </c>
      <c r="GB24" s="99">
        <v>16</v>
      </c>
      <c r="GC24" s="329">
        <f t="shared" si="18"/>
        <v>33</v>
      </c>
      <c r="GD24" s="77">
        <v>0</v>
      </c>
      <c r="GE24" s="78">
        <v>0</v>
      </c>
      <c r="GF24" s="78">
        <v>6</v>
      </c>
      <c r="GG24" s="79">
        <v>2</v>
      </c>
      <c r="GH24" s="333">
        <f>IF(GC24="","",'Name List'!$I$4)</f>
        <v>5</v>
      </c>
      <c r="GJ24" s="98">
        <v>19</v>
      </c>
      <c r="GK24" s="99">
        <v>21</v>
      </c>
      <c r="GL24" s="329">
        <f t="shared" si="19"/>
        <v>40</v>
      </c>
      <c r="GM24" s="77">
        <v>0</v>
      </c>
      <c r="GN24" s="78">
        <v>1</v>
      </c>
      <c r="GO24" s="78">
        <v>9</v>
      </c>
      <c r="GP24" s="79">
        <v>1</v>
      </c>
      <c r="GQ24" s="333">
        <f>IF(GL24="","",'Name List'!$I$4)</f>
        <v>5</v>
      </c>
      <c r="GS24" s="68"/>
      <c r="GT24" s="69"/>
      <c r="GU24" s="70"/>
      <c r="GV24" s="77"/>
      <c r="GW24" s="78"/>
      <c r="GX24" s="78"/>
      <c r="GY24" s="79"/>
      <c r="GZ24" s="67"/>
      <c r="HB24" s="98">
        <v>20</v>
      </c>
      <c r="HC24" s="99">
        <v>18</v>
      </c>
      <c r="HD24" s="329">
        <f t="shared" si="21"/>
        <v>38</v>
      </c>
      <c r="HE24" s="77">
        <v>0</v>
      </c>
      <c r="HF24" s="78">
        <v>1</v>
      </c>
      <c r="HG24" s="78">
        <v>5</v>
      </c>
      <c r="HH24" s="79">
        <v>1</v>
      </c>
      <c r="HI24" s="333">
        <f>IF(HD24="","",'Name List'!$I$4)</f>
        <v>5</v>
      </c>
      <c r="HK24" s="71">
        <v>17</v>
      </c>
      <c r="HL24" s="72">
        <v>23</v>
      </c>
      <c r="HM24" s="383">
        <f t="shared" si="22"/>
        <v>40</v>
      </c>
      <c r="HN24" s="77">
        <v>0</v>
      </c>
      <c r="HO24" s="78">
        <v>1</v>
      </c>
      <c r="HP24" s="78">
        <v>8</v>
      </c>
      <c r="HQ24" s="79">
        <v>2</v>
      </c>
      <c r="HR24" s="333">
        <f>IF(HM24="","",'Name List'!$I$4)</f>
        <v>5</v>
      </c>
      <c r="HT24" s="68"/>
      <c r="HU24" s="69"/>
      <c r="HV24" s="70"/>
      <c r="HW24" s="77"/>
      <c r="HX24" s="78"/>
      <c r="HY24" s="78"/>
      <c r="HZ24" s="79"/>
      <c r="IA24" s="67"/>
      <c r="IC24" s="115"/>
      <c r="ID24" s="116"/>
      <c r="IE24" s="117"/>
      <c r="IF24" s="77"/>
      <c r="IG24" s="78"/>
      <c r="IH24" s="78"/>
      <c r="II24" s="79"/>
      <c r="IJ24" s="333" t="str">
        <f>IF(IE24="","",'Name List'!$I$4)</f>
        <v/>
      </c>
      <c r="IL24" s="98"/>
      <c r="IM24" s="99"/>
      <c r="IN24" s="100"/>
      <c r="IO24" s="77"/>
      <c r="IP24" s="78"/>
      <c r="IQ24" s="78"/>
      <c r="IR24" s="79"/>
      <c r="IS24" s="67"/>
      <c r="IU24" s="98"/>
      <c r="IV24" s="99"/>
      <c r="IW24" s="100"/>
      <c r="IX24" s="77"/>
      <c r="IY24" s="78"/>
      <c r="IZ24" s="78"/>
      <c r="JA24" s="79"/>
      <c r="JB24" s="67"/>
      <c r="JD24" s="98"/>
      <c r="JE24" s="99"/>
      <c r="JF24" s="100"/>
      <c r="JG24" s="77"/>
      <c r="JH24" s="78"/>
      <c r="JI24" s="78"/>
      <c r="JJ24" s="79"/>
      <c r="JK24" s="67"/>
      <c r="JM24" s="98"/>
      <c r="JN24" s="99"/>
      <c r="JO24" s="275"/>
      <c r="JP24" s="77"/>
      <c r="JQ24" s="78"/>
      <c r="JR24" s="78"/>
      <c r="JS24" s="79"/>
      <c r="JT24" s="67"/>
      <c r="JV24" s="98"/>
      <c r="JW24" s="99"/>
      <c r="JX24" s="100"/>
      <c r="JY24" s="77"/>
      <c r="JZ24" s="78"/>
      <c r="KA24" s="78"/>
      <c r="KB24" s="79"/>
      <c r="KC24" s="67"/>
      <c r="KE24" s="98"/>
      <c r="KF24" s="99"/>
      <c r="KG24" s="100"/>
      <c r="KH24" s="77"/>
      <c r="KI24" s="78"/>
      <c r="KJ24" s="78"/>
      <c r="KK24" s="79"/>
      <c r="KL24" s="67"/>
      <c r="KN24" s="68"/>
      <c r="KO24" s="69"/>
      <c r="KP24" s="70"/>
      <c r="KQ24" s="77"/>
      <c r="KR24" s="78"/>
      <c r="KS24" s="78"/>
      <c r="KT24" s="79"/>
      <c r="KU24" s="67"/>
      <c r="KW24" s="98"/>
      <c r="KX24" s="99"/>
      <c r="KY24" s="100"/>
      <c r="KZ24" s="77"/>
      <c r="LA24" s="78"/>
      <c r="LB24" s="78"/>
      <c r="LC24" s="79"/>
      <c r="LD24" s="67"/>
      <c r="LF24" s="71"/>
      <c r="LG24" s="72"/>
      <c r="LH24" s="73"/>
      <c r="LI24" s="77"/>
      <c r="LJ24" s="78"/>
      <c r="LK24" s="78"/>
      <c r="LL24" s="79"/>
      <c r="LM24" s="67"/>
      <c r="LO24" s="98"/>
      <c r="LP24" s="99"/>
      <c r="LQ24" s="329"/>
      <c r="LR24" s="77"/>
      <c r="LS24" s="78"/>
      <c r="LT24" s="78"/>
      <c r="LU24" s="79"/>
      <c r="LV24" s="67"/>
      <c r="LX24" s="98"/>
      <c r="LY24" s="99"/>
      <c r="LZ24" s="100"/>
      <c r="MA24" s="77"/>
      <c r="MB24" s="78"/>
      <c r="MC24" s="78"/>
      <c r="MD24" s="79"/>
      <c r="ME24" s="67"/>
      <c r="MG24" s="98"/>
      <c r="MH24" s="99"/>
      <c r="MI24" s="100"/>
      <c r="MJ24" s="77"/>
      <c r="MK24" s="78"/>
      <c r="ML24" s="78"/>
      <c r="MM24" s="79"/>
      <c r="MN24" s="67"/>
      <c r="MP24" s="98"/>
      <c r="MQ24" s="99"/>
      <c r="MR24" s="100"/>
      <c r="MS24" s="77"/>
      <c r="MT24" s="78"/>
      <c r="MU24" s="78"/>
      <c r="MV24" s="79"/>
      <c r="MW24" s="67"/>
      <c r="MY24" s="98"/>
      <c r="MZ24" s="99"/>
      <c r="NA24" s="100"/>
      <c r="NB24" s="77"/>
      <c r="NC24" s="78"/>
      <c r="ND24" s="78"/>
      <c r="NE24" s="79"/>
      <c r="NF24" s="67"/>
      <c r="NH24" s="98"/>
      <c r="NI24" s="99"/>
      <c r="NJ24" s="329"/>
      <c r="NK24" s="77"/>
      <c r="NL24" s="78"/>
      <c r="NM24" s="78"/>
      <c r="NN24" s="79"/>
      <c r="NO24" s="67"/>
      <c r="NQ24" s="98"/>
      <c r="NR24" s="99"/>
      <c r="NS24" s="100"/>
      <c r="NT24" s="77"/>
      <c r="NU24" s="78"/>
      <c r="NV24" s="78"/>
      <c r="NW24" s="79"/>
      <c r="NX24" s="67"/>
      <c r="NZ24" s="71"/>
      <c r="OA24" s="72"/>
      <c r="OB24" s="73"/>
      <c r="OC24" s="77"/>
      <c r="OD24" s="78"/>
      <c r="OE24" s="78"/>
      <c r="OF24" s="79"/>
      <c r="OG24" s="67"/>
      <c r="OI24" s="98"/>
      <c r="OJ24" s="99"/>
      <c r="OK24" s="329"/>
      <c r="OL24" s="77"/>
      <c r="OM24" s="78"/>
      <c r="ON24" s="78"/>
      <c r="OO24" s="79"/>
      <c r="OP24" s="67"/>
      <c r="OR24" s="71"/>
      <c r="OS24" s="72"/>
      <c r="OT24" s="73"/>
      <c r="OU24" s="77"/>
      <c r="OV24" s="78"/>
      <c r="OW24" s="78"/>
      <c r="OX24" s="79"/>
      <c r="OY24" s="67"/>
      <c r="PA24" s="98"/>
      <c r="PB24" s="99"/>
      <c r="PC24" s="100"/>
      <c r="PD24" s="77"/>
      <c r="PE24" s="78"/>
      <c r="PF24" s="78"/>
      <c r="PG24" s="79"/>
      <c r="PH24" s="67"/>
      <c r="PJ24" s="277"/>
      <c r="PK24" s="278"/>
      <c r="PL24" s="279"/>
      <c r="PM24" s="125"/>
      <c r="PN24" s="126"/>
      <c r="PO24" s="126"/>
      <c r="PP24" s="127"/>
      <c r="PQ24" s="128"/>
      <c r="PS24" s="403"/>
      <c r="PT24" s="404"/>
      <c r="PU24" s="405"/>
      <c r="PV24" s="330"/>
      <c r="PW24" s="331"/>
      <c r="PX24" s="331"/>
      <c r="PY24" s="332"/>
      <c r="PZ24" s="333"/>
      <c r="QB24" s="412"/>
      <c r="QC24" s="413"/>
      <c r="QD24" s="414"/>
      <c r="QE24" s="125"/>
      <c r="QF24" s="126"/>
      <c r="QG24" s="126"/>
      <c r="QH24" s="127"/>
      <c r="QI24" s="128"/>
      <c r="QK24" s="283"/>
      <c r="QL24" s="284"/>
      <c r="QM24" s="285"/>
      <c r="QN24" s="125"/>
      <c r="QO24" s="126"/>
      <c r="QP24" s="126"/>
      <c r="QQ24" s="127"/>
      <c r="QR24" s="128" t="str">
        <f>IF(QM24="","",'Name List'!$I$4)</f>
        <v/>
      </c>
      <c r="QS24" s="91"/>
      <c r="QT24" s="107">
        <f t="shared" si="50"/>
        <v>0</v>
      </c>
      <c r="QU24" s="130">
        <f t="shared" si="51"/>
        <v>6</v>
      </c>
      <c r="QV24" s="130">
        <f t="shared" si="52"/>
        <v>82</v>
      </c>
      <c r="QW24" s="108">
        <f t="shared" si="53"/>
        <v>38</v>
      </c>
      <c r="QY24" s="260">
        <f t="shared" si="54"/>
        <v>16</v>
      </c>
      <c r="RA24" s="141">
        <f t="shared" si="55"/>
        <v>19</v>
      </c>
      <c r="RB24" s="106">
        <f t="shared" si="56"/>
        <v>23</v>
      </c>
      <c r="RC24" s="106">
        <f t="shared" si="57"/>
        <v>40</v>
      </c>
      <c r="RD24" s="106">
        <f t="shared" si="58"/>
        <v>10</v>
      </c>
      <c r="RE24" s="106">
        <f t="shared" si="59"/>
        <v>10</v>
      </c>
      <c r="RF24" s="142">
        <f t="shared" si="60"/>
        <v>23</v>
      </c>
      <c r="RG24" s="106"/>
      <c r="RH24" s="139">
        <f t="shared" si="61"/>
        <v>38</v>
      </c>
      <c r="RI24" s="140">
        <f t="shared" si="62"/>
        <v>24</v>
      </c>
      <c r="RJ24" s="106"/>
      <c r="RK24" s="136">
        <f t="shared" si="63"/>
        <v>29.8125</v>
      </c>
      <c r="RL24" s="106"/>
      <c r="RM24" s="137">
        <f t="shared" si="64"/>
        <v>102</v>
      </c>
      <c r="RN24" s="138">
        <f t="shared" si="65"/>
        <v>102</v>
      </c>
      <c r="RO24" s="106"/>
      <c r="RP24" s="259">
        <f t="shared" si="66"/>
        <v>1</v>
      </c>
    </row>
    <row r="25" spans="1:484" x14ac:dyDescent="0.2">
      <c r="A25" s="89" t="str">
        <f>'Name List'!B25</f>
        <v>Archie Fraser</v>
      </c>
      <c r="C25" s="98"/>
      <c r="D25" s="99"/>
      <c r="E25" s="329" t="str">
        <f t="shared" si="0"/>
        <v/>
      </c>
      <c r="F25" s="77"/>
      <c r="G25" s="78"/>
      <c r="H25" s="78"/>
      <c r="I25" s="79"/>
      <c r="J25" s="333" t="str">
        <f>IF(E25="","",'Name List'!$I$4)</f>
        <v/>
      </c>
      <c r="L25" s="98"/>
      <c r="M25" s="99"/>
      <c r="N25" s="100"/>
      <c r="O25" s="77"/>
      <c r="P25" s="78"/>
      <c r="Q25" s="78"/>
      <c r="R25" s="79"/>
      <c r="S25" s="67"/>
      <c r="U25" s="71"/>
      <c r="V25" s="72"/>
      <c r="W25" s="396" t="str">
        <f t="shared" si="2"/>
        <v/>
      </c>
      <c r="X25" s="77"/>
      <c r="Y25" s="78"/>
      <c r="Z25" s="78"/>
      <c r="AA25" s="79"/>
      <c r="AB25" s="333" t="str">
        <f>IF(W25="","",'Name List'!$I$4)</f>
        <v/>
      </c>
      <c r="AD25" s="98"/>
      <c r="AE25" s="99"/>
      <c r="AF25" s="329" t="str">
        <f t="shared" si="3"/>
        <v/>
      </c>
      <c r="AG25" s="77"/>
      <c r="AH25" s="78"/>
      <c r="AI25" s="78"/>
      <c r="AJ25" s="79"/>
      <c r="AK25" s="333" t="str">
        <f>IF(AF25="","",'Name List'!$I$4)</f>
        <v/>
      </c>
      <c r="AM25" s="98">
        <v>15</v>
      </c>
      <c r="AN25" s="99">
        <v>21</v>
      </c>
      <c r="AO25" s="329">
        <f t="shared" si="4"/>
        <v>36</v>
      </c>
      <c r="AP25" s="77">
        <v>0</v>
      </c>
      <c r="AQ25" s="78">
        <v>2</v>
      </c>
      <c r="AR25" s="78">
        <v>6</v>
      </c>
      <c r="AS25" s="79">
        <v>2</v>
      </c>
      <c r="AT25" s="333">
        <f>IF(AO25="","",'Name List'!$I$4)</f>
        <v>5</v>
      </c>
      <c r="AV25" s="458"/>
      <c r="AW25" s="401"/>
      <c r="AX25" s="400" t="str">
        <f t="shared" si="5"/>
        <v/>
      </c>
      <c r="AY25" s="77"/>
      <c r="AZ25" s="78"/>
      <c r="BA25" s="78"/>
      <c r="BB25" s="79"/>
      <c r="BC25" s="457" t="str">
        <f>IF(AX25="","",'Name List'!$I$4)</f>
        <v/>
      </c>
      <c r="BE25" s="71"/>
      <c r="BF25" s="72"/>
      <c r="BG25" s="383" t="str">
        <f t="shared" si="6"/>
        <v/>
      </c>
      <c r="BH25" s="77"/>
      <c r="BI25" s="78"/>
      <c r="BJ25" s="78"/>
      <c r="BK25" s="79"/>
      <c r="BL25" s="333" t="str">
        <f>IF(BG25="","",'Name List'!$I$4)</f>
        <v/>
      </c>
      <c r="BN25" s="98"/>
      <c r="BO25" s="99"/>
      <c r="BP25" s="100"/>
      <c r="BQ25" s="77"/>
      <c r="BR25" s="78"/>
      <c r="BS25" s="78"/>
      <c r="BT25" s="79"/>
      <c r="BU25" s="67"/>
      <c r="BW25" s="98">
        <v>19</v>
      </c>
      <c r="BX25" s="99">
        <v>18</v>
      </c>
      <c r="BY25" s="329">
        <f t="shared" si="8"/>
        <v>37</v>
      </c>
      <c r="BZ25" s="77">
        <v>0</v>
      </c>
      <c r="CA25" s="78">
        <v>1</v>
      </c>
      <c r="CB25" s="78">
        <v>7</v>
      </c>
      <c r="CC25" s="79">
        <v>1</v>
      </c>
      <c r="CD25" s="333">
        <f>IF(BY25="","",'Name List'!$I$4)</f>
        <v>5</v>
      </c>
      <c r="CF25" s="68"/>
      <c r="CG25" s="69"/>
      <c r="CH25" s="282" t="str">
        <f t="shared" si="49"/>
        <v/>
      </c>
      <c r="CI25" s="77"/>
      <c r="CJ25" s="78"/>
      <c r="CK25" s="78"/>
      <c r="CL25" s="79"/>
      <c r="CM25" s="333" t="str">
        <f>IF(CH25="","",'Name List'!$I$4)</f>
        <v/>
      </c>
      <c r="CO25" s="71"/>
      <c r="CP25" s="72"/>
      <c r="CQ25" s="383" t="str">
        <f t="shared" si="9"/>
        <v/>
      </c>
      <c r="CR25" s="77"/>
      <c r="CS25" s="78"/>
      <c r="CT25" s="78"/>
      <c r="CU25" s="79"/>
      <c r="CV25" s="333" t="str">
        <f>IF(CQ25="","",'Name List'!$I$4)</f>
        <v/>
      </c>
      <c r="CX25" s="98"/>
      <c r="CY25" s="99"/>
      <c r="CZ25" s="329" t="str">
        <f t="shared" si="10"/>
        <v/>
      </c>
      <c r="DA25" s="77"/>
      <c r="DB25" s="78"/>
      <c r="DC25" s="78"/>
      <c r="DD25" s="79"/>
      <c r="DE25" s="333" t="str">
        <f>IF(CZ25="","",'Name List'!$I$4)</f>
        <v/>
      </c>
      <c r="DG25" s="98"/>
      <c r="DH25" s="99"/>
      <c r="DI25" s="329" t="str">
        <f t="shared" si="11"/>
        <v/>
      </c>
      <c r="DJ25" s="77"/>
      <c r="DK25" s="78"/>
      <c r="DL25" s="78"/>
      <c r="DM25" s="79"/>
      <c r="DN25" s="333" t="str">
        <f>IF(DI25="","",'Name List'!$I$4)</f>
        <v/>
      </c>
      <c r="DP25" s="98"/>
      <c r="DQ25" s="99"/>
      <c r="DR25" s="329" t="str">
        <f t="shared" si="12"/>
        <v/>
      </c>
      <c r="DS25" s="77"/>
      <c r="DT25" s="78"/>
      <c r="DU25" s="78"/>
      <c r="DV25" s="79"/>
      <c r="DW25" s="333" t="str">
        <f>IF(DR25="","",'Name List'!$I$4)</f>
        <v/>
      </c>
      <c r="DY25" s="98"/>
      <c r="DZ25" s="99"/>
      <c r="EA25" s="329" t="str">
        <f t="shared" si="13"/>
        <v/>
      </c>
      <c r="EB25" s="77"/>
      <c r="EC25" s="78"/>
      <c r="ED25" s="78"/>
      <c r="EE25" s="79"/>
      <c r="EF25" s="333" t="str">
        <f>IF(EA25="","",'Name List'!$I$4)</f>
        <v/>
      </c>
      <c r="EH25" s="98"/>
      <c r="EI25" s="99"/>
      <c r="EJ25" s="329" t="str">
        <f t="shared" si="14"/>
        <v/>
      </c>
      <c r="EK25" s="77"/>
      <c r="EL25" s="78"/>
      <c r="EM25" s="78"/>
      <c r="EN25" s="79"/>
      <c r="EO25" s="333" t="str">
        <f>IF(EJ25="","",'Name List'!$I$4)</f>
        <v/>
      </c>
      <c r="EQ25" s="115"/>
      <c r="ER25" s="116"/>
      <c r="ES25" s="117"/>
      <c r="ET25" s="77"/>
      <c r="EU25" s="78"/>
      <c r="EV25" s="78"/>
      <c r="EW25" s="79"/>
      <c r="EX25" s="333" t="str">
        <f>IF(ES25="","",'Name List'!$I$4)</f>
        <v/>
      </c>
      <c r="EZ25" s="68"/>
      <c r="FA25" s="69"/>
      <c r="FB25" s="70"/>
      <c r="FC25" s="77"/>
      <c r="FD25" s="78"/>
      <c r="FE25" s="78"/>
      <c r="FF25" s="79"/>
      <c r="FG25" s="67"/>
      <c r="FI25" s="98"/>
      <c r="FJ25" s="99"/>
      <c r="FK25" s="329" t="str">
        <f t="shared" si="16"/>
        <v/>
      </c>
      <c r="FL25" s="77"/>
      <c r="FM25" s="78"/>
      <c r="FN25" s="78"/>
      <c r="FO25" s="79"/>
      <c r="FP25" s="333" t="str">
        <f>IF(FK25="","",'Name List'!$I$4)</f>
        <v/>
      </c>
      <c r="FR25" s="98"/>
      <c r="FS25" s="99"/>
      <c r="FT25" s="329" t="str">
        <f t="shared" si="17"/>
        <v/>
      </c>
      <c r="FU25" s="77"/>
      <c r="FV25" s="78"/>
      <c r="FW25" s="78"/>
      <c r="FX25" s="79"/>
      <c r="FY25" s="333" t="str">
        <f>IF(FT25="","",'Name List'!$I$4)</f>
        <v/>
      </c>
      <c r="GA25" s="98"/>
      <c r="GB25" s="99"/>
      <c r="GC25" s="329" t="str">
        <f t="shared" si="18"/>
        <v/>
      </c>
      <c r="GD25" s="77"/>
      <c r="GE25" s="78"/>
      <c r="GF25" s="78"/>
      <c r="GG25" s="79"/>
      <c r="GH25" s="333" t="str">
        <f>IF(GC25="","",'Name List'!$I$4)</f>
        <v/>
      </c>
      <c r="GJ25" s="98"/>
      <c r="GK25" s="99"/>
      <c r="GL25" s="329" t="str">
        <f t="shared" si="19"/>
        <v/>
      </c>
      <c r="GM25" s="77"/>
      <c r="GN25" s="78"/>
      <c r="GO25" s="78"/>
      <c r="GP25" s="79"/>
      <c r="GQ25" s="333" t="str">
        <f>IF(GL25="","",'Name List'!$I$4)</f>
        <v/>
      </c>
      <c r="GS25" s="68"/>
      <c r="GT25" s="69"/>
      <c r="GU25" s="70"/>
      <c r="GV25" s="77"/>
      <c r="GW25" s="78"/>
      <c r="GX25" s="78"/>
      <c r="GY25" s="79"/>
      <c r="GZ25" s="67"/>
      <c r="HB25" s="98"/>
      <c r="HC25" s="99"/>
      <c r="HD25" s="329" t="str">
        <f t="shared" si="21"/>
        <v/>
      </c>
      <c r="HE25" s="77"/>
      <c r="HF25" s="78"/>
      <c r="HG25" s="78"/>
      <c r="HH25" s="79"/>
      <c r="HI25" s="333" t="str">
        <f>IF(HD25="","",'Name List'!$I$4)</f>
        <v/>
      </c>
      <c r="HK25" s="71"/>
      <c r="HL25" s="72"/>
      <c r="HM25" s="383" t="str">
        <f t="shared" si="22"/>
        <v/>
      </c>
      <c r="HN25" s="77"/>
      <c r="HO25" s="78"/>
      <c r="HP25" s="78"/>
      <c r="HQ25" s="79"/>
      <c r="HR25" s="333" t="str">
        <f>IF(HM25="","",'Name List'!$I$4)</f>
        <v/>
      </c>
      <c r="HT25" s="68"/>
      <c r="HU25" s="69"/>
      <c r="HV25" s="70"/>
      <c r="HW25" s="77"/>
      <c r="HX25" s="78"/>
      <c r="HY25" s="78"/>
      <c r="HZ25" s="79"/>
      <c r="IA25" s="67"/>
      <c r="IC25" s="115"/>
      <c r="ID25" s="116"/>
      <c r="IE25" s="117"/>
      <c r="IF25" s="77"/>
      <c r="IG25" s="78"/>
      <c r="IH25" s="78"/>
      <c r="II25" s="79"/>
      <c r="IJ25" s="333" t="str">
        <f>IF(IE25="","",'Name List'!$I$4)</f>
        <v/>
      </c>
      <c r="IL25" s="98"/>
      <c r="IM25" s="99"/>
      <c r="IN25" s="100"/>
      <c r="IO25" s="77"/>
      <c r="IP25" s="78"/>
      <c r="IQ25" s="78"/>
      <c r="IR25" s="79"/>
      <c r="IS25" s="67"/>
      <c r="IU25" s="98"/>
      <c r="IV25" s="99"/>
      <c r="IW25" s="100"/>
      <c r="IX25" s="77"/>
      <c r="IY25" s="78"/>
      <c r="IZ25" s="78"/>
      <c r="JA25" s="79"/>
      <c r="JB25" s="67"/>
      <c r="JD25" s="98"/>
      <c r="JE25" s="99"/>
      <c r="JF25" s="100"/>
      <c r="JG25" s="77"/>
      <c r="JH25" s="78"/>
      <c r="JI25" s="78"/>
      <c r="JJ25" s="79"/>
      <c r="JK25" s="67"/>
      <c r="JM25" s="98"/>
      <c r="JN25" s="99"/>
      <c r="JO25" s="275"/>
      <c r="JP25" s="77"/>
      <c r="JQ25" s="78"/>
      <c r="JR25" s="78"/>
      <c r="JS25" s="79"/>
      <c r="JT25" s="67"/>
      <c r="JV25" s="98"/>
      <c r="JW25" s="99"/>
      <c r="JX25" s="100"/>
      <c r="JY25" s="77"/>
      <c r="JZ25" s="78"/>
      <c r="KA25" s="78"/>
      <c r="KB25" s="79"/>
      <c r="KC25" s="67"/>
      <c r="KE25" s="98"/>
      <c r="KF25" s="99"/>
      <c r="KG25" s="100"/>
      <c r="KH25" s="77"/>
      <c r="KI25" s="78"/>
      <c r="KJ25" s="78"/>
      <c r="KK25" s="79"/>
      <c r="KL25" s="67"/>
      <c r="KN25" s="68"/>
      <c r="KO25" s="69"/>
      <c r="KP25" s="70"/>
      <c r="KQ25" s="77"/>
      <c r="KR25" s="78"/>
      <c r="KS25" s="78"/>
      <c r="KT25" s="79"/>
      <c r="KU25" s="67"/>
      <c r="KW25" s="98"/>
      <c r="KX25" s="99"/>
      <c r="KY25" s="100"/>
      <c r="KZ25" s="77"/>
      <c r="LA25" s="78"/>
      <c r="LB25" s="78"/>
      <c r="LC25" s="79"/>
      <c r="LD25" s="67"/>
      <c r="LF25" s="71"/>
      <c r="LG25" s="72"/>
      <c r="LH25" s="73"/>
      <c r="LI25" s="77"/>
      <c r="LJ25" s="78"/>
      <c r="LK25" s="78"/>
      <c r="LL25" s="79"/>
      <c r="LM25" s="67"/>
      <c r="LO25" s="98"/>
      <c r="LP25" s="99"/>
      <c r="LQ25" s="329"/>
      <c r="LR25" s="77"/>
      <c r="LS25" s="78"/>
      <c r="LT25" s="78"/>
      <c r="LU25" s="79"/>
      <c r="LV25" s="67"/>
      <c r="LX25" s="98"/>
      <c r="LY25" s="99"/>
      <c r="LZ25" s="100"/>
      <c r="MA25" s="77"/>
      <c r="MB25" s="78"/>
      <c r="MC25" s="78"/>
      <c r="MD25" s="79"/>
      <c r="ME25" s="67"/>
      <c r="MG25" s="98"/>
      <c r="MH25" s="99"/>
      <c r="MI25" s="100"/>
      <c r="MJ25" s="77"/>
      <c r="MK25" s="78"/>
      <c r="ML25" s="78"/>
      <c r="MM25" s="79"/>
      <c r="MN25" s="67"/>
      <c r="MP25" s="98"/>
      <c r="MQ25" s="99"/>
      <c r="MR25" s="100"/>
      <c r="MS25" s="77"/>
      <c r="MT25" s="78"/>
      <c r="MU25" s="78"/>
      <c r="MV25" s="79"/>
      <c r="MW25" s="67"/>
      <c r="MY25" s="98"/>
      <c r="MZ25" s="99"/>
      <c r="NA25" s="100"/>
      <c r="NB25" s="77"/>
      <c r="NC25" s="78"/>
      <c r="ND25" s="78"/>
      <c r="NE25" s="79"/>
      <c r="NF25" s="67"/>
      <c r="NH25" s="98"/>
      <c r="NI25" s="99"/>
      <c r="NJ25" s="329"/>
      <c r="NK25" s="77"/>
      <c r="NL25" s="78"/>
      <c r="NM25" s="78"/>
      <c r="NN25" s="79"/>
      <c r="NO25" s="67"/>
      <c r="NQ25" s="98"/>
      <c r="NR25" s="99"/>
      <c r="NS25" s="100"/>
      <c r="NT25" s="77"/>
      <c r="NU25" s="78"/>
      <c r="NV25" s="78"/>
      <c r="NW25" s="79"/>
      <c r="NX25" s="67"/>
      <c r="NZ25" s="71"/>
      <c r="OA25" s="72"/>
      <c r="OB25" s="73"/>
      <c r="OC25" s="77"/>
      <c r="OD25" s="78"/>
      <c r="OE25" s="78"/>
      <c r="OF25" s="79"/>
      <c r="OG25" s="67"/>
      <c r="OI25" s="98"/>
      <c r="OJ25" s="99"/>
      <c r="OK25" s="329"/>
      <c r="OL25" s="77"/>
      <c r="OM25" s="78"/>
      <c r="ON25" s="78"/>
      <c r="OO25" s="79"/>
      <c r="OP25" s="67"/>
      <c r="OR25" s="71"/>
      <c r="OS25" s="72"/>
      <c r="OT25" s="73"/>
      <c r="OU25" s="77"/>
      <c r="OV25" s="78"/>
      <c r="OW25" s="78"/>
      <c r="OX25" s="79"/>
      <c r="OY25" s="67"/>
      <c r="PA25" s="98"/>
      <c r="PB25" s="99"/>
      <c r="PC25" s="100"/>
      <c r="PD25" s="77"/>
      <c r="PE25" s="78"/>
      <c r="PF25" s="78"/>
      <c r="PG25" s="79"/>
      <c r="PH25" s="67"/>
      <c r="PJ25" s="277"/>
      <c r="PK25" s="278"/>
      <c r="PL25" s="279"/>
      <c r="PM25" s="125"/>
      <c r="PN25" s="126"/>
      <c r="PO25" s="126"/>
      <c r="PP25" s="127"/>
      <c r="PQ25" s="128"/>
      <c r="PS25" s="403"/>
      <c r="PT25" s="404"/>
      <c r="PU25" s="405"/>
      <c r="PV25" s="330"/>
      <c r="PW25" s="331"/>
      <c r="PX25" s="331"/>
      <c r="PY25" s="332"/>
      <c r="PZ25" s="333"/>
      <c r="QB25" s="412"/>
      <c r="QC25" s="413"/>
      <c r="QD25" s="414"/>
      <c r="QE25" s="125"/>
      <c r="QF25" s="126"/>
      <c r="QG25" s="126"/>
      <c r="QH25" s="127"/>
      <c r="QI25" s="128"/>
      <c r="QK25" s="283"/>
      <c r="QL25" s="284"/>
      <c r="QM25" s="285"/>
      <c r="QN25" s="125"/>
      <c r="QO25" s="126"/>
      <c r="QP25" s="126"/>
      <c r="QQ25" s="127"/>
      <c r="QR25" s="128" t="str">
        <f>IF(QM25="","",'Name List'!$I$4)</f>
        <v/>
      </c>
      <c r="QS25" s="91"/>
      <c r="QT25" s="107">
        <f t="shared" si="50"/>
        <v>0</v>
      </c>
      <c r="QU25" s="130">
        <f t="shared" si="51"/>
        <v>3</v>
      </c>
      <c r="QV25" s="130">
        <f t="shared" si="52"/>
        <v>13</v>
      </c>
      <c r="QW25" s="108">
        <f t="shared" si="53"/>
        <v>3</v>
      </c>
      <c r="QY25" s="260">
        <f t="shared" si="54"/>
        <v>2</v>
      </c>
      <c r="RA25" s="141">
        <f t="shared" si="55"/>
        <v>19</v>
      </c>
      <c r="RB25" s="106">
        <f t="shared" si="56"/>
        <v>21</v>
      </c>
      <c r="RC25" s="106">
        <f t="shared" si="57"/>
        <v>37</v>
      </c>
      <c r="RD25" s="106">
        <f t="shared" si="58"/>
        <v>15</v>
      </c>
      <c r="RE25" s="106">
        <f t="shared" si="59"/>
        <v>18</v>
      </c>
      <c r="RF25" s="142">
        <f t="shared" si="60"/>
        <v>36</v>
      </c>
      <c r="RG25" s="106"/>
      <c r="RH25" s="139">
        <f t="shared" si="61"/>
        <v>0</v>
      </c>
      <c r="RI25" s="140">
        <f t="shared" si="62"/>
        <v>0</v>
      </c>
      <c r="RJ25" s="106"/>
      <c r="RK25" s="136">
        <f t="shared" si="63"/>
        <v>36.5</v>
      </c>
      <c r="RL25" s="106"/>
      <c r="RM25" s="137">
        <f t="shared" si="64"/>
        <v>0</v>
      </c>
      <c r="RN25" s="138">
        <f t="shared" si="65"/>
        <v>0</v>
      </c>
      <c r="RO25" s="106"/>
      <c r="RP25" s="259">
        <f t="shared" si="66"/>
        <v>0</v>
      </c>
    </row>
    <row r="26" spans="1:484" x14ac:dyDescent="0.2">
      <c r="A26" s="89" t="str">
        <f>'Name List'!B26</f>
        <v>Ross Fraser</v>
      </c>
      <c r="C26" s="98"/>
      <c r="D26" s="99"/>
      <c r="E26" s="329" t="str">
        <f t="shared" si="0"/>
        <v/>
      </c>
      <c r="F26" s="77"/>
      <c r="G26" s="78"/>
      <c r="H26" s="78"/>
      <c r="I26" s="79"/>
      <c r="J26" s="333" t="str">
        <f>IF(E26="","",'Name List'!$I$4)</f>
        <v/>
      </c>
      <c r="L26" s="98"/>
      <c r="M26" s="99"/>
      <c r="N26" s="100"/>
      <c r="O26" s="77"/>
      <c r="P26" s="78"/>
      <c r="Q26" s="78"/>
      <c r="R26" s="79"/>
      <c r="S26" s="67"/>
      <c r="U26" s="71"/>
      <c r="V26" s="72"/>
      <c r="W26" s="396" t="str">
        <f t="shared" si="2"/>
        <v/>
      </c>
      <c r="X26" s="77"/>
      <c r="Y26" s="78"/>
      <c r="Z26" s="78"/>
      <c r="AA26" s="79"/>
      <c r="AB26" s="333" t="str">
        <f>IF(W26="","",'Name List'!$I$4)</f>
        <v/>
      </c>
      <c r="AD26" s="98"/>
      <c r="AE26" s="99"/>
      <c r="AF26" s="329" t="str">
        <f t="shared" si="3"/>
        <v/>
      </c>
      <c r="AG26" s="77"/>
      <c r="AH26" s="78"/>
      <c r="AI26" s="78"/>
      <c r="AJ26" s="79"/>
      <c r="AK26" s="333" t="str">
        <f>IF(AF26="","",'Name List'!$I$4)</f>
        <v/>
      </c>
      <c r="AM26" s="98">
        <v>14</v>
      </c>
      <c r="AN26" s="99">
        <v>15</v>
      </c>
      <c r="AO26" s="329">
        <f t="shared" si="4"/>
        <v>29</v>
      </c>
      <c r="AP26" s="77">
        <v>0</v>
      </c>
      <c r="AQ26" s="78">
        <v>0</v>
      </c>
      <c r="AR26" s="78">
        <v>5</v>
      </c>
      <c r="AS26" s="79">
        <v>2</v>
      </c>
      <c r="AT26" s="333">
        <f>IF(AO26="","",'Name List'!$I$4)</f>
        <v>5</v>
      </c>
      <c r="AV26" s="458"/>
      <c r="AW26" s="401"/>
      <c r="AX26" s="400" t="str">
        <f t="shared" si="5"/>
        <v/>
      </c>
      <c r="AY26" s="77"/>
      <c r="AZ26" s="78"/>
      <c r="BA26" s="78"/>
      <c r="BB26" s="79"/>
      <c r="BC26" s="457" t="str">
        <f>IF(AX26="","",'Name List'!$I$4)</f>
        <v/>
      </c>
      <c r="BE26" s="71"/>
      <c r="BF26" s="72"/>
      <c r="BG26" s="383" t="str">
        <f t="shared" si="6"/>
        <v/>
      </c>
      <c r="BH26" s="77"/>
      <c r="BI26" s="78"/>
      <c r="BJ26" s="78"/>
      <c r="BK26" s="79"/>
      <c r="BL26" s="333" t="str">
        <f>IF(BG26="","",'Name List'!$I$4)</f>
        <v/>
      </c>
      <c r="BN26" s="98"/>
      <c r="BO26" s="99"/>
      <c r="BP26" s="100"/>
      <c r="BQ26" s="77"/>
      <c r="BR26" s="78"/>
      <c r="BS26" s="78"/>
      <c r="BT26" s="79"/>
      <c r="BU26" s="67"/>
      <c r="BW26" s="98">
        <v>17</v>
      </c>
      <c r="BX26" s="99">
        <v>14</v>
      </c>
      <c r="BY26" s="329">
        <f t="shared" si="8"/>
        <v>31</v>
      </c>
      <c r="BZ26" s="77">
        <v>0</v>
      </c>
      <c r="CA26" s="78">
        <v>1</v>
      </c>
      <c r="CB26" s="78">
        <v>5</v>
      </c>
      <c r="CC26" s="79">
        <v>2</v>
      </c>
      <c r="CD26" s="333">
        <f>IF(BY26="","",'Name List'!$I$4)</f>
        <v>5</v>
      </c>
      <c r="CF26" s="68"/>
      <c r="CG26" s="69"/>
      <c r="CH26" s="282" t="str">
        <f t="shared" si="49"/>
        <v/>
      </c>
      <c r="CI26" s="77"/>
      <c r="CJ26" s="78"/>
      <c r="CK26" s="78"/>
      <c r="CL26" s="79"/>
      <c r="CM26" s="333" t="str">
        <f>IF(CH26="","",'Name List'!$I$4)</f>
        <v/>
      </c>
      <c r="CO26" s="71">
        <v>17</v>
      </c>
      <c r="CP26" s="72">
        <v>16</v>
      </c>
      <c r="CQ26" s="383">
        <f t="shared" si="9"/>
        <v>33</v>
      </c>
      <c r="CR26" s="77">
        <v>0</v>
      </c>
      <c r="CS26" s="78">
        <v>1</v>
      </c>
      <c r="CT26" s="78">
        <v>5</v>
      </c>
      <c r="CU26" s="79">
        <v>2</v>
      </c>
      <c r="CV26" s="333">
        <f>IF(CQ26="","",'Name List'!$I$4)</f>
        <v>5</v>
      </c>
      <c r="CX26" s="98"/>
      <c r="CY26" s="99"/>
      <c r="CZ26" s="329" t="str">
        <f t="shared" si="10"/>
        <v/>
      </c>
      <c r="DA26" s="77"/>
      <c r="DB26" s="78"/>
      <c r="DC26" s="78"/>
      <c r="DD26" s="79"/>
      <c r="DE26" s="333" t="str">
        <f>IF(CZ26="","",'Name List'!$I$4)</f>
        <v/>
      </c>
      <c r="DG26" s="98"/>
      <c r="DH26" s="99"/>
      <c r="DI26" s="329" t="str">
        <f t="shared" si="11"/>
        <v/>
      </c>
      <c r="DJ26" s="77"/>
      <c r="DK26" s="78"/>
      <c r="DL26" s="78"/>
      <c r="DM26" s="79"/>
      <c r="DN26" s="333" t="str">
        <f>IF(DI26="","",'Name List'!$I$4)</f>
        <v/>
      </c>
      <c r="DP26" s="98"/>
      <c r="DQ26" s="99"/>
      <c r="DR26" s="329" t="str">
        <f t="shared" si="12"/>
        <v/>
      </c>
      <c r="DS26" s="77"/>
      <c r="DT26" s="78"/>
      <c r="DU26" s="78"/>
      <c r="DV26" s="79"/>
      <c r="DW26" s="333" t="str">
        <f>IF(DR26="","",'Name List'!$I$4)</f>
        <v/>
      </c>
      <c r="DY26" s="98"/>
      <c r="DZ26" s="99"/>
      <c r="EA26" s="329" t="str">
        <f t="shared" si="13"/>
        <v/>
      </c>
      <c r="EB26" s="77"/>
      <c r="EC26" s="78"/>
      <c r="ED26" s="78"/>
      <c r="EE26" s="79"/>
      <c r="EF26" s="333" t="str">
        <f>IF(EA26="","",'Name List'!$I$4)</f>
        <v/>
      </c>
      <c r="EH26" s="98"/>
      <c r="EI26" s="99"/>
      <c r="EJ26" s="329" t="str">
        <f t="shared" si="14"/>
        <v/>
      </c>
      <c r="EK26" s="77"/>
      <c r="EL26" s="78"/>
      <c r="EM26" s="78"/>
      <c r="EN26" s="79"/>
      <c r="EO26" s="333" t="str">
        <f>IF(EJ26="","",'Name List'!$I$4)</f>
        <v/>
      </c>
      <c r="EQ26" s="115"/>
      <c r="ER26" s="116"/>
      <c r="ES26" s="117"/>
      <c r="ET26" s="77"/>
      <c r="EU26" s="78"/>
      <c r="EV26" s="78"/>
      <c r="EW26" s="79"/>
      <c r="EX26" s="333" t="str">
        <f>IF(ES26="","",'Name List'!$I$4)</f>
        <v/>
      </c>
      <c r="EZ26" s="68"/>
      <c r="FA26" s="69"/>
      <c r="FB26" s="70"/>
      <c r="FC26" s="77"/>
      <c r="FD26" s="78"/>
      <c r="FE26" s="78"/>
      <c r="FF26" s="79"/>
      <c r="FG26" s="67"/>
      <c r="FI26" s="98"/>
      <c r="FJ26" s="99"/>
      <c r="FK26" s="329" t="str">
        <f t="shared" si="16"/>
        <v/>
      </c>
      <c r="FL26" s="77"/>
      <c r="FM26" s="78"/>
      <c r="FN26" s="78"/>
      <c r="FO26" s="79"/>
      <c r="FP26" s="333" t="str">
        <f>IF(FK26="","",'Name List'!$I$4)</f>
        <v/>
      </c>
      <c r="FR26" s="98"/>
      <c r="FS26" s="99"/>
      <c r="FT26" s="329" t="str">
        <f t="shared" si="17"/>
        <v/>
      </c>
      <c r="FU26" s="77"/>
      <c r="FV26" s="78"/>
      <c r="FW26" s="78"/>
      <c r="FX26" s="79"/>
      <c r="FY26" s="333" t="str">
        <f>IF(FT26="","",'Name List'!$I$4)</f>
        <v/>
      </c>
      <c r="GA26" s="98"/>
      <c r="GB26" s="99"/>
      <c r="GC26" s="329" t="str">
        <f t="shared" si="18"/>
        <v/>
      </c>
      <c r="GD26" s="77"/>
      <c r="GE26" s="78"/>
      <c r="GF26" s="78"/>
      <c r="GG26" s="79"/>
      <c r="GH26" s="333" t="str">
        <f>IF(GC26="","",'Name List'!$I$4)</f>
        <v/>
      </c>
      <c r="GJ26" s="98"/>
      <c r="GK26" s="99"/>
      <c r="GL26" s="329" t="str">
        <f t="shared" si="19"/>
        <v/>
      </c>
      <c r="GM26" s="77"/>
      <c r="GN26" s="78"/>
      <c r="GO26" s="78"/>
      <c r="GP26" s="79"/>
      <c r="GQ26" s="333" t="str">
        <f>IF(GL26="","",'Name List'!$I$4)</f>
        <v/>
      </c>
      <c r="GS26" s="68"/>
      <c r="GT26" s="69"/>
      <c r="GU26" s="70"/>
      <c r="GV26" s="77"/>
      <c r="GW26" s="78"/>
      <c r="GX26" s="78"/>
      <c r="GY26" s="79"/>
      <c r="GZ26" s="67"/>
      <c r="HB26" s="98"/>
      <c r="HC26" s="99"/>
      <c r="HD26" s="329" t="str">
        <f t="shared" si="21"/>
        <v/>
      </c>
      <c r="HE26" s="77"/>
      <c r="HF26" s="78"/>
      <c r="HG26" s="78"/>
      <c r="HH26" s="79"/>
      <c r="HI26" s="333" t="str">
        <f>IF(HD26="","",'Name List'!$I$4)</f>
        <v/>
      </c>
      <c r="HK26" s="71"/>
      <c r="HL26" s="72"/>
      <c r="HM26" s="383" t="str">
        <f t="shared" si="22"/>
        <v/>
      </c>
      <c r="HN26" s="77"/>
      <c r="HO26" s="78"/>
      <c r="HP26" s="78"/>
      <c r="HQ26" s="79"/>
      <c r="HR26" s="333" t="str">
        <f>IF(HM26="","",'Name List'!$I$4)</f>
        <v/>
      </c>
      <c r="HT26" s="68"/>
      <c r="HU26" s="69"/>
      <c r="HV26" s="70"/>
      <c r="HW26" s="77"/>
      <c r="HX26" s="78"/>
      <c r="HY26" s="78"/>
      <c r="HZ26" s="79"/>
      <c r="IA26" s="67"/>
      <c r="IC26" s="115"/>
      <c r="ID26" s="116"/>
      <c r="IE26" s="117"/>
      <c r="IF26" s="77"/>
      <c r="IG26" s="78"/>
      <c r="IH26" s="78"/>
      <c r="II26" s="79"/>
      <c r="IJ26" s="333" t="str">
        <f>IF(IE26="","",'Name List'!$I$4)</f>
        <v/>
      </c>
      <c r="IL26" s="98"/>
      <c r="IM26" s="99"/>
      <c r="IN26" s="100"/>
      <c r="IO26" s="77"/>
      <c r="IP26" s="78"/>
      <c r="IQ26" s="78"/>
      <c r="IR26" s="79"/>
      <c r="IS26" s="67"/>
      <c r="IU26" s="98"/>
      <c r="IV26" s="99"/>
      <c r="IW26" s="100"/>
      <c r="IX26" s="77"/>
      <c r="IY26" s="78"/>
      <c r="IZ26" s="78"/>
      <c r="JA26" s="79"/>
      <c r="JB26" s="67"/>
      <c r="JD26" s="98"/>
      <c r="JE26" s="99"/>
      <c r="JF26" s="100"/>
      <c r="JG26" s="77"/>
      <c r="JH26" s="78"/>
      <c r="JI26" s="78"/>
      <c r="JJ26" s="79"/>
      <c r="JK26" s="67"/>
      <c r="JM26" s="98"/>
      <c r="JN26" s="99"/>
      <c r="JO26" s="275"/>
      <c r="JP26" s="77"/>
      <c r="JQ26" s="78"/>
      <c r="JR26" s="78"/>
      <c r="JS26" s="79"/>
      <c r="JT26" s="67"/>
      <c r="JV26" s="98"/>
      <c r="JW26" s="99"/>
      <c r="JX26" s="100"/>
      <c r="JY26" s="77"/>
      <c r="JZ26" s="78"/>
      <c r="KA26" s="78"/>
      <c r="KB26" s="79"/>
      <c r="KC26" s="67"/>
      <c r="KE26" s="98"/>
      <c r="KF26" s="99"/>
      <c r="KG26" s="100"/>
      <c r="KH26" s="77"/>
      <c r="KI26" s="78"/>
      <c r="KJ26" s="78"/>
      <c r="KK26" s="79"/>
      <c r="KL26" s="67"/>
      <c r="KN26" s="68"/>
      <c r="KO26" s="69"/>
      <c r="KP26" s="70"/>
      <c r="KQ26" s="77"/>
      <c r="KR26" s="78"/>
      <c r="KS26" s="78"/>
      <c r="KT26" s="79"/>
      <c r="KU26" s="67"/>
      <c r="KW26" s="98"/>
      <c r="KX26" s="99"/>
      <c r="KY26" s="100"/>
      <c r="KZ26" s="77"/>
      <c r="LA26" s="78"/>
      <c r="LB26" s="78"/>
      <c r="LC26" s="79"/>
      <c r="LD26" s="67"/>
      <c r="LF26" s="71"/>
      <c r="LG26" s="72"/>
      <c r="LH26" s="73"/>
      <c r="LI26" s="77"/>
      <c r="LJ26" s="78"/>
      <c r="LK26" s="78"/>
      <c r="LL26" s="79"/>
      <c r="LM26" s="67"/>
      <c r="LO26" s="98"/>
      <c r="LP26" s="99"/>
      <c r="LQ26" s="329"/>
      <c r="LR26" s="77"/>
      <c r="LS26" s="78"/>
      <c r="LT26" s="78"/>
      <c r="LU26" s="79"/>
      <c r="LV26" s="67"/>
      <c r="LX26" s="98"/>
      <c r="LY26" s="99"/>
      <c r="LZ26" s="100"/>
      <c r="MA26" s="77"/>
      <c r="MB26" s="78"/>
      <c r="MC26" s="78"/>
      <c r="MD26" s="79"/>
      <c r="ME26" s="67"/>
      <c r="MG26" s="98"/>
      <c r="MH26" s="99"/>
      <c r="MI26" s="100"/>
      <c r="MJ26" s="77"/>
      <c r="MK26" s="78"/>
      <c r="ML26" s="78"/>
      <c r="MM26" s="79"/>
      <c r="MN26" s="67"/>
      <c r="MP26" s="98"/>
      <c r="MQ26" s="99"/>
      <c r="MR26" s="100"/>
      <c r="MS26" s="77"/>
      <c r="MT26" s="78"/>
      <c r="MU26" s="78"/>
      <c r="MV26" s="79"/>
      <c r="MW26" s="67"/>
      <c r="MY26" s="98"/>
      <c r="MZ26" s="99"/>
      <c r="NA26" s="100"/>
      <c r="NB26" s="77"/>
      <c r="NC26" s="78"/>
      <c r="ND26" s="78"/>
      <c r="NE26" s="79"/>
      <c r="NF26" s="67"/>
      <c r="NH26" s="98"/>
      <c r="NI26" s="99"/>
      <c r="NJ26" s="329"/>
      <c r="NK26" s="77"/>
      <c r="NL26" s="78"/>
      <c r="NM26" s="78"/>
      <c r="NN26" s="79"/>
      <c r="NO26" s="67"/>
      <c r="NQ26" s="98"/>
      <c r="NR26" s="99"/>
      <c r="NS26" s="100"/>
      <c r="NT26" s="77"/>
      <c r="NU26" s="78"/>
      <c r="NV26" s="78"/>
      <c r="NW26" s="79"/>
      <c r="NX26" s="67"/>
      <c r="NZ26" s="71"/>
      <c r="OA26" s="72"/>
      <c r="OB26" s="73"/>
      <c r="OC26" s="77"/>
      <c r="OD26" s="78"/>
      <c r="OE26" s="78"/>
      <c r="OF26" s="79"/>
      <c r="OG26" s="67"/>
      <c r="OI26" s="98"/>
      <c r="OJ26" s="99"/>
      <c r="OK26" s="329"/>
      <c r="OL26" s="77"/>
      <c r="OM26" s="78"/>
      <c r="ON26" s="78"/>
      <c r="OO26" s="79"/>
      <c r="OP26" s="67"/>
      <c r="OR26" s="71"/>
      <c r="OS26" s="72"/>
      <c r="OT26" s="73"/>
      <c r="OU26" s="77"/>
      <c r="OV26" s="78"/>
      <c r="OW26" s="78"/>
      <c r="OX26" s="79"/>
      <c r="OY26" s="67"/>
      <c r="PA26" s="98"/>
      <c r="PB26" s="99"/>
      <c r="PC26" s="100"/>
      <c r="PD26" s="77"/>
      <c r="PE26" s="78"/>
      <c r="PF26" s="78"/>
      <c r="PG26" s="79"/>
      <c r="PH26" s="67"/>
      <c r="PJ26" s="277"/>
      <c r="PK26" s="278"/>
      <c r="PL26" s="279"/>
      <c r="PM26" s="125"/>
      <c r="PN26" s="126"/>
      <c r="PO26" s="126"/>
      <c r="PP26" s="127"/>
      <c r="PQ26" s="128"/>
      <c r="PS26" s="403"/>
      <c r="PT26" s="404"/>
      <c r="PU26" s="405"/>
      <c r="PV26" s="330"/>
      <c r="PW26" s="331"/>
      <c r="PX26" s="331"/>
      <c r="PY26" s="332"/>
      <c r="PZ26" s="333"/>
      <c r="QB26" s="412"/>
      <c r="QC26" s="413"/>
      <c r="QD26" s="414"/>
      <c r="QE26" s="125"/>
      <c r="QF26" s="126"/>
      <c r="QG26" s="126"/>
      <c r="QH26" s="127"/>
      <c r="QI26" s="128"/>
      <c r="QK26" s="283"/>
      <c r="QL26" s="284"/>
      <c r="QM26" s="285"/>
      <c r="QN26" s="125"/>
      <c r="QO26" s="126"/>
      <c r="QP26" s="126"/>
      <c r="QQ26" s="127"/>
      <c r="QR26" s="128" t="str">
        <f>IF(QM26="","",'Name List'!$I$4)</f>
        <v/>
      </c>
      <c r="QS26" s="91"/>
      <c r="QT26" s="107">
        <f t="shared" si="50"/>
        <v>0</v>
      </c>
      <c r="QU26" s="130">
        <f t="shared" si="51"/>
        <v>2</v>
      </c>
      <c r="QV26" s="130">
        <f t="shared" si="52"/>
        <v>15</v>
      </c>
      <c r="QW26" s="108">
        <f t="shared" si="53"/>
        <v>6</v>
      </c>
      <c r="QY26" s="260">
        <f t="shared" si="54"/>
        <v>3</v>
      </c>
      <c r="RA26" s="141">
        <f t="shared" si="55"/>
        <v>17</v>
      </c>
      <c r="RB26" s="106">
        <f t="shared" si="56"/>
        <v>15</v>
      </c>
      <c r="RC26" s="106">
        <f t="shared" si="57"/>
        <v>31</v>
      </c>
      <c r="RD26" s="106">
        <f t="shared" si="58"/>
        <v>14</v>
      </c>
      <c r="RE26" s="106">
        <f t="shared" si="59"/>
        <v>14</v>
      </c>
      <c r="RF26" s="142">
        <f t="shared" si="60"/>
        <v>29</v>
      </c>
      <c r="RG26" s="106"/>
      <c r="RH26" s="139">
        <f t="shared" si="61"/>
        <v>33</v>
      </c>
      <c r="RI26" s="140">
        <f t="shared" si="62"/>
        <v>33</v>
      </c>
      <c r="RJ26" s="106"/>
      <c r="RK26" s="136">
        <f t="shared" si="63"/>
        <v>31</v>
      </c>
      <c r="RL26" s="106"/>
      <c r="RM26" s="137">
        <f t="shared" si="64"/>
        <v>0</v>
      </c>
      <c r="RN26" s="138">
        <f t="shared" si="65"/>
        <v>0</v>
      </c>
      <c r="RO26" s="106"/>
      <c r="RP26" s="259">
        <f t="shared" si="66"/>
        <v>0</v>
      </c>
    </row>
    <row r="27" spans="1:484" x14ac:dyDescent="0.2">
      <c r="A27" s="89" t="str">
        <f>'Name List'!B27</f>
        <v>Nick Garner</v>
      </c>
      <c r="C27" s="98"/>
      <c r="D27" s="99"/>
      <c r="E27" s="329" t="str">
        <f t="shared" si="0"/>
        <v/>
      </c>
      <c r="F27" s="77"/>
      <c r="G27" s="78"/>
      <c r="H27" s="78"/>
      <c r="I27" s="79"/>
      <c r="J27" s="333" t="str">
        <f>IF(E27="","",'Name List'!$I$4)</f>
        <v/>
      </c>
      <c r="L27" s="98"/>
      <c r="M27" s="99"/>
      <c r="N27" s="100"/>
      <c r="O27" s="77"/>
      <c r="P27" s="78"/>
      <c r="Q27" s="78"/>
      <c r="R27" s="79"/>
      <c r="S27" s="67"/>
      <c r="U27" s="71">
        <v>17</v>
      </c>
      <c r="V27" s="72">
        <v>11</v>
      </c>
      <c r="W27" s="396">
        <f t="shared" si="2"/>
        <v>28</v>
      </c>
      <c r="X27" s="77">
        <v>0</v>
      </c>
      <c r="Y27" s="78">
        <v>0</v>
      </c>
      <c r="Z27" s="78">
        <v>4</v>
      </c>
      <c r="AA27" s="79">
        <v>3</v>
      </c>
      <c r="AB27" s="333">
        <f>IF(W27="","",'Name List'!$I$4)</f>
        <v>5</v>
      </c>
      <c r="AD27" s="98">
        <v>18</v>
      </c>
      <c r="AE27" s="99">
        <v>16</v>
      </c>
      <c r="AF27" s="329">
        <f t="shared" si="3"/>
        <v>34</v>
      </c>
      <c r="AG27" s="77">
        <v>0</v>
      </c>
      <c r="AH27" s="78">
        <v>3</v>
      </c>
      <c r="AI27" s="78">
        <v>5</v>
      </c>
      <c r="AJ27" s="79">
        <v>4</v>
      </c>
      <c r="AK27" s="333">
        <f>IF(AF27="","",'Name List'!$I$4)</f>
        <v>5</v>
      </c>
      <c r="AM27" s="98"/>
      <c r="AN27" s="99"/>
      <c r="AO27" s="329" t="str">
        <f t="shared" si="4"/>
        <v/>
      </c>
      <c r="AP27" s="77"/>
      <c r="AQ27" s="78"/>
      <c r="AR27" s="78"/>
      <c r="AS27" s="79"/>
      <c r="AT27" s="333" t="str">
        <f>IF(AO27="","",'Name List'!$I$4)</f>
        <v/>
      </c>
      <c r="AV27" s="458"/>
      <c r="AW27" s="401"/>
      <c r="AX27" s="400" t="str">
        <f t="shared" si="5"/>
        <v/>
      </c>
      <c r="AY27" s="77"/>
      <c r="AZ27" s="78"/>
      <c r="BA27" s="78"/>
      <c r="BB27" s="79"/>
      <c r="BC27" s="457" t="str">
        <f>IF(AX27="","",'Name List'!$I$4)</f>
        <v/>
      </c>
      <c r="BE27" s="71">
        <v>12</v>
      </c>
      <c r="BF27" s="72">
        <v>15</v>
      </c>
      <c r="BG27" s="383">
        <f t="shared" si="6"/>
        <v>27</v>
      </c>
      <c r="BH27" s="77">
        <v>0</v>
      </c>
      <c r="BI27" s="78">
        <v>0</v>
      </c>
      <c r="BJ27" s="78">
        <v>4</v>
      </c>
      <c r="BK27" s="79">
        <v>3</v>
      </c>
      <c r="BL27" s="333">
        <f>IF(BG27="","",'Name List'!$I$4)</f>
        <v>5</v>
      </c>
      <c r="BN27" s="98"/>
      <c r="BO27" s="99"/>
      <c r="BP27" s="100"/>
      <c r="BQ27" s="77"/>
      <c r="BR27" s="78"/>
      <c r="BS27" s="78"/>
      <c r="BT27" s="79"/>
      <c r="BU27" s="67"/>
      <c r="BW27" s="98"/>
      <c r="BX27" s="99"/>
      <c r="BY27" s="329" t="str">
        <f t="shared" si="8"/>
        <v/>
      </c>
      <c r="BZ27" s="77"/>
      <c r="CA27" s="78"/>
      <c r="CB27" s="78"/>
      <c r="CC27" s="79"/>
      <c r="CD27" s="333" t="str">
        <f>IF(BY27="","",'Name List'!$I$4)</f>
        <v/>
      </c>
      <c r="CF27" s="68"/>
      <c r="CG27" s="69"/>
      <c r="CH27" s="282" t="str">
        <f t="shared" si="49"/>
        <v/>
      </c>
      <c r="CI27" s="77"/>
      <c r="CJ27" s="78"/>
      <c r="CK27" s="78"/>
      <c r="CL27" s="79"/>
      <c r="CM27" s="333" t="str">
        <f>IF(CH27="","",'Name List'!$I$4)</f>
        <v/>
      </c>
      <c r="CO27" s="71">
        <v>13</v>
      </c>
      <c r="CP27" s="72">
        <v>18</v>
      </c>
      <c r="CQ27" s="383">
        <f t="shared" si="9"/>
        <v>31</v>
      </c>
      <c r="CR27" s="77">
        <v>0</v>
      </c>
      <c r="CS27" s="78">
        <v>0</v>
      </c>
      <c r="CT27" s="78">
        <v>4</v>
      </c>
      <c r="CU27" s="79">
        <v>0</v>
      </c>
      <c r="CV27" s="333">
        <f>IF(CQ27="","",'Name List'!$I$4)</f>
        <v>5</v>
      </c>
      <c r="CX27" s="98">
        <v>20</v>
      </c>
      <c r="CY27" s="99">
        <v>14</v>
      </c>
      <c r="CZ27" s="329">
        <f t="shared" si="10"/>
        <v>34</v>
      </c>
      <c r="DA27" s="77">
        <v>0</v>
      </c>
      <c r="DB27" s="78">
        <v>1</v>
      </c>
      <c r="DC27" s="78">
        <v>5</v>
      </c>
      <c r="DD27" s="79">
        <v>1</v>
      </c>
      <c r="DE27" s="333">
        <f>IF(CZ27="","",'Name List'!$I$4)</f>
        <v>5</v>
      </c>
      <c r="DG27" s="98"/>
      <c r="DH27" s="99"/>
      <c r="DI27" s="329" t="str">
        <f t="shared" si="11"/>
        <v/>
      </c>
      <c r="DJ27" s="77"/>
      <c r="DK27" s="78"/>
      <c r="DL27" s="78"/>
      <c r="DM27" s="79"/>
      <c r="DN27" s="333" t="str">
        <f>IF(DI27="","",'Name List'!$I$4)</f>
        <v/>
      </c>
      <c r="DP27" s="98">
        <v>14</v>
      </c>
      <c r="DQ27" s="99">
        <v>16</v>
      </c>
      <c r="DR27" s="329">
        <f t="shared" si="12"/>
        <v>30</v>
      </c>
      <c r="DS27" s="77">
        <v>0</v>
      </c>
      <c r="DT27" s="78">
        <v>0</v>
      </c>
      <c r="DU27" s="78">
        <v>4</v>
      </c>
      <c r="DV27" s="79">
        <v>1</v>
      </c>
      <c r="DW27" s="333">
        <f>IF(DR27="","",'Name List'!$I$4)</f>
        <v>5</v>
      </c>
      <c r="DY27" s="98">
        <v>11</v>
      </c>
      <c r="DZ27" s="99">
        <v>14</v>
      </c>
      <c r="EA27" s="329">
        <f t="shared" si="13"/>
        <v>25</v>
      </c>
      <c r="EB27" s="77">
        <v>0</v>
      </c>
      <c r="EC27" s="78">
        <v>0</v>
      </c>
      <c r="ED27" s="78">
        <v>5</v>
      </c>
      <c r="EE27" s="79">
        <v>5</v>
      </c>
      <c r="EF27" s="333">
        <f>IF(EA27="","",'Name List'!$I$4)</f>
        <v>5</v>
      </c>
      <c r="EH27" s="98"/>
      <c r="EI27" s="99"/>
      <c r="EJ27" s="329" t="str">
        <f t="shared" si="14"/>
        <v/>
      </c>
      <c r="EK27" s="77"/>
      <c r="EL27" s="78"/>
      <c r="EM27" s="78"/>
      <c r="EN27" s="79"/>
      <c r="EO27" s="333" t="str">
        <f>IF(EJ27="","",'Name List'!$I$4)</f>
        <v/>
      </c>
      <c r="EQ27" s="115"/>
      <c r="ER27" s="116"/>
      <c r="ES27" s="117"/>
      <c r="ET27" s="77"/>
      <c r="EU27" s="78"/>
      <c r="EV27" s="78"/>
      <c r="EW27" s="79"/>
      <c r="EX27" s="333" t="str">
        <f>IF(ES27="","",'Name List'!$I$4)</f>
        <v/>
      </c>
      <c r="EZ27" s="68"/>
      <c r="FA27" s="69"/>
      <c r="FB27" s="70"/>
      <c r="FC27" s="77"/>
      <c r="FD27" s="78"/>
      <c r="FE27" s="78"/>
      <c r="FF27" s="79"/>
      <c r="FG27" s="67"/>
      <c r="FI27" s="98"/>
      <c r="FJ27" s="99"/>
      <c r="FK27" s="329" t="str">
        <f t="shared" si="16"/>
        <v/>
      </c>
      <c r="FL27" s="77"/>
      <c r="FM27" s="78"/>
      <c r="FN27" s="78"/>
      <c r="FO27" s="79"/>
      <c r="FP27" s="333" t="str">
        <f>IF(FK27="","",'Name List'!$I$4)</f>
        <v/>
      </c>
      <c r="FR27" s="98"/>
      <c r="FS27" s="99"/>
      <c r="FT27" s="329" t="str">
        <f t="shared" si="17"/>
        <v/>
      </c>
      <c r="FU27" s="77"/>
      <c r="FV27" s="78"/>
      <c r="FW27" s="78"/>
      <c r="FX27" s="79"/>
      <c r="FY27" s="333" t="str">
        <f>IF(FT27="","",'Name List'!$I$4)</f>
        <v/>
      </c>
      <c r="GA27" s="98"/>
      <c r="GB27" s="99"/>
      <c r="GC27" s="329" t="str">
        <f t="shared" si="18"/>
        <v/>
      </c>
      <c r="GD27" s="77"/>
      <c r="GE27" s="78"/>
      <c r="GF27" s="78"/>
      <c r="GG27" s="79"/>
      <c r="GH27" s="333" t="str">
        <f>IF(GC27="","",'Name List'!$I$4)</f>
        <v/>
      </c>
      <c r="GJ27" s="98"/>
      <c r="GK27" s="99"/>
      <c r="GL27" s="329" t="str">
        <f t="shared" si="19"/>
        <v/>
      </c>
      <c r="GM27" s="77"/>
      <c r="GN27" s="78"/>
      <c r="GO27" s="78"/>
      <c r="GP27" s="79"/>
      <c r="GQ27" s="333" t="str">
        <f>IF(GL27="","",'Name List'!$I$4)</f>
        <v/>
      </c>
      <c r="GS27" s="68"/>
      <c r="GT27" s="69"/>
      <c r="GU27" s="70"/>
      <c r="GV27" s="77"/>
      <c r="GW27" s="78"/>
      <c r="GX27" s="78"/>
      <c r="GY27" s="79"/>
      <c r="GZ27" s="67"/>
      <c r="HB27" s="98"/>
      <c r="HC27" s="99"/>
      <c r="HD27" s="329" t="str">
        <f t="shared" si="21"/>
        <v/>
      </c>
      <c r="HE27" s="77"/>
      <c r="HF27" s="78"/>
      <c r="HG27" s="78"/>
      <c r="HH27" s="79"/>
      <c r="HI27" s="333" t="str">
        <f>IF(HD27="","",'Name List'!$I$4)</f>
        <v/>
      </c>
      <c r="HK27" s="71"/>
      <c r="HL27" s="72"/>
      <c r="HM27" s="383" t="str">
        <f t="shared" si="22"/>
        <v/>
      </c>
      <c r="HN27" s="77"/>
      <c r="HO27" s="78"/>
      <c r="HP27" s="78"/>
      <c r="HQ27" s="79"/>
      <c r="HR27" s="333" t="str">
        <f>IF(HM27="","",'Name List'!$I$4)</f>
        <v/>
      </c>
      <c r="HT27" s="68"/>
      <c r="HU27" s="69"/>
      <c r="HV27" s="70"/>
      <c r="HW27" s="77"/>
      <c r="HX27" s="78"/>
      <c r="HY27" s="78"/>
      <c r="HZ27" s="79"/>
      <c r="IA27" s="67"/>
      <c r="IC27" s="115"/>
      <c r="ID27" s="116"/>
      <c r="IE27" s="117"/>
      <c r="IF27" s="77"/>
      <c r="IG27" s="78"/>
      <c r="IH27" s="78"/>
      <c r="II27" s="79"/>
      <c r="IJ27" s="333" t="str">
        <f>IF(IE27="","",'Name List'!$I$4)</f>
        <v/>
      </c>
      <c r="IL27" s="98"/>
      <c r="IM27" s="99"/>
      <c r="IN27" s="100"/>
      <c r="IO27" s="77"/>
      <c r="IP27" s="78"/>
      <c r="IQ27" s="78"/>
      <c r="IR27" s="79"/>
      <c r="IS27" s="67"/>
      <c r="IU27" s="98"/>
      <c r="IV27" s="99"/>
      <c r="IW27" s="100"/>
      <c r="IX27" s="77"/>
      <c r="IY27" s="78"/>
      <c r="IZ27" s="78"/>
      <c r="JA27" s="79"/>
      <c r="JB27" s="67"/>
      <c r="JD27" s="98"/>
      <c r="JE27" s="99"/>
      <c r="JF27" s="100"/>
      <c r="JG27" s="77"/>
      <c r="JH27" s="78"/>
      <c r="JI27" s="78"/>
      <c r="JJ27" s="79"/>
      <c r="JK27" s="67"/>
      <c r="JM27" s="98"/>
      <c r="JN27" s="99"/>
      <c r="JO27" s="275"/>
      <c r="JP27" s="77"/>
      <c r="JQ27" s="78"/>
      <c r="JR27" s="78"/>
      <c r="JS27" s="79"/>
      <c r="JT27" s="67"/>
      <c r="JV27" s="98"/>
      <c r="JW27" s="99"/>
      <c r="JX27" s="100"/>
      <c r="JY27" s="77"/>
      <c r="JZ27" s="78"/>
      <c r="KA27" s="78"/>
      <c r="KB27" s="79"/>
      <c r="KC27" s="67"/>
      <c r="KE27" s="98"/>
      <c r="KF27" s="99"/>
      <c r="KG27" s="100"/>
      <c r="KH27" s="77"/>
      <c r="KI27" s="78"/>
      <c r="KJ27" s="78"/>
      <c r="KK27" s="79"/>
      <c r="KL27" s="67"/>
      <c r="KN27" s="68"/>
      <c r="KO27" s="69"/>
      <c r="KP27" s="70"/>
      <c r="KQ27" s="77"/>
      <c r="KR27" s="78"/>
      <c r="KS27" s="78"/>
      <c r="KT27" s="79"/>
      <c r="KU27" s="67"/>
      <c r="KW27" s="98"/>
      <c r="KX27" s="99"/>
      <c r="KY27" s="100"/>
      <c r="KZ27" s="77"/>
      <c r="LA27" s="78"/>
      <c r="LB27" s="78"/>
      <c r="LC27" s="79"/>
      <c r="LD27" s="67"/>
      <c r="LF27" s="71"/>
      <c r="LG27" s="72"/>
      <c r="LH27" s="73"/>
      <c r="LI27" s="77"/>
      <c r="LJ27" s="78"/>
      <c r="LK27" s="78"/>
      <c r="LL27" s="79"/>
      <c r="LM27" s="67"/>
      <c r="LO27" s="98"/>
      <c r="LP27" s="99"/>
      <c r="LQ27" s="329"/>
      <c r="LR27" s="77"/>
      <c r="LS27" s="78"/>
      <c r="LT27" s="78"/>
      <c r="LU27" s="79"/>
      <c r="LV27" s="67"/>
      <c r="LX27" s="98"/>
      <c r="LY27" s="99"/>
      <c r="LZ27" s="100"/>
      <c r="MA27" s="77"/>
      <c r="MB27" s="78"/>
      <c r="MC27" s="78"/>
      <c r="MD27" s="79"/>
      <c r="ME27" s="67"/>
      <c r="MG27" s="98"/>
      <c r="MH27" s="99"/>
      <c r="MI27" s="100"/>
      <c r="MJ27" s="77"/>
      <c r="MK27" s="78"/>
      <c r="ML27" s="78"/>
      <c r="MM27" s="79"/>
      <c r="MN27" s="67"/>
      <c r="MP27" s="98"/>
      <c r="MQ27" s="99"/>
      <c r="MR27" s="100"/>
      <c r="MS27" s="77"/>
      <c r="MT27" s="78"/>
      <c r="MU27" s="78"/>
      <c r="MV27" s="79"/>
      <c r="MW27" s="67"/>
      <c r="MY27" s="98"/>
      <c r="MZ27" s="99"/>
      <c r="NA27" s="100"/>
      <c r="NB27" s="77"/>
      <c r="NC27" s="78"/>
      <c r="ND27" s="78"/>
      <c r="NE27" s="79"/>
      <c r="NF27" s="67"/>
      <c r="NH27" s="98"/>
      <c r="NI27" s="99"/>
      <c r="NJ27" s="329"/>
      <c r="NK27" s="77"/>
      <c r="NL27" s="78"/>
      <c r="NM27" s="78"/>
      <c r="NN27" s="79"/>
      <c r="NO27" s="67"/>
      <c r="NQ27" s="98"/>
      <c r="NR27" s="99"/>
      <c r="NS27" s="100"/>
      <c r="NT27" s="77"/>
      <c r="NU27" s="78"/>
      <c r="NV27" s="78"/>
      <c r="NW27" s="79"/>
      <c r="NX27" s="67"/>
      <c r="NZ27" s="71"/>
      <c r="OA27" s="72"/>
      <c r="OB27" s="73"/>
      <c r="OC27" s="77"/>
      <c r="OD27" s="78"/>
      <c r="OE27" s="78"/>
      <c r="OF27" s="79"/>
      <c r="OG27" s="67"/>
      <c r="OI27" s="98"/>
      <c r="OJ27" s="99"/>
      <c r="OK27" s="329"/>
      <c r="OL27" s="77"/>
      <c r="OM27" s="78"/>
      <c r="ON27" s="78"/>
      <c r="OO27" s="79"/>
      <c r="OP27" s="67"/>
      <c r="OR27" s="71"/>
      <c r="OS27" s="72"/>
      <c r="OT27" s="73"/>
      <c r="OU27" s="77"/>
      <c r="OV27" s="78"/>
      <c r="OW27" s="78"/>
      <c r="OX27" s="79"/>
      <c r="OY27" s="67"/>
      <c r="PA27" s="98"/>
      <c r="PB27" s="99"/>
      <c r="PC27" s="100"/>
      <c r="PD27" s="77"/>
      <c r="PE27" s="78"/>
      <c r="PF27" s="78"/>
      <c r="PG27" s="79"/>
      <c r="PH27" s="67"/>
      <c r="PJ27" s="277"/>
      <c r="PK27" s="278"/>
      <c r="PL27" s="279"/>
      <c r="PM27" s="125"/>
      <c r="PN27" s="126"/>
      <c r="PO27" s="126"/>
      <c r="PP27" s="127"/>
      <c r="PQ27" s="128"/>
      <c r="PS27" s="403"/>
      <c r="PT27" s="404"/>
      <c r="PU27" s="405"/>
      <c r="PV27" s="330"/>
      <c r="PW27" s="331"/>
      <c r="PX27" s="331"/>
      <c r="PY27" s="332"/>
      <c r="PZ27" s="333"/>
      <c r="QB27" s="412"/>
      <c r="QC27" s="413"/>
      <c r="QD27" s="414"/>
      <c r="QE27" s="125"/>
      <c r="QF27" s="126"/>
      <c r="QG27" s="126"/>
      <c r="QH27" s="127"/>
      <c r="QI27" s="128"/>
      <c r="QK27" s="283"/>
      <c r="QL27" s="284"/>
      <c r="QM27" s="285"/>
      <c r="QN27" s="125"/>
      <c r="QO27" s="126"/>
      <c r="QP27" s="126"/>
      <c r="QQ27" s="127"/>
      <c r="QR27" s="128" t="str">
        <f>IF(QM27="","",'Name List'!$I$4)</f>
        <v/>
      </c>
      <c r="QS27" s="91"/>
      <c r="QT27" s="107">
        <f t="shared" si="50"/>
        <v>0</v>
      </c>
      <c r="QU27" s="130">
        <f t="shared" si="51"/>
        <v>4</v>
      </c>
      <c r="QV27" s="130">
        <f t="shared" si="52"/>
        <v>31</v>
      </c>
      <c r="QW27" s="108">
        <f t="shared" si="53"/>
        <v>17</v>
      </c>
      <c r="QY27" s="260">
        <f t="shared" si="54"/>
        <v>7</v>
      </c>
      <c r="RA27" s="141">
        <f t="shared" si="55"/>
        <v>20</v>
      </c>
      <c r="RB27" s="106">
        <f t="shared" si="56"/>
        <v>16</v>
      </c>
      <c r="RC27" s="106">
        <f t="shared" si="57"/>
        <v>34</v>
      </c>
      <c r="RD27" s="106">
        <f t="shared" si="58"/>
        <v>11</v>
      </c>
      <c r="RE27" s="106">
        <f t="shared" si="59"/>
        <v>14</v>
      </c>
      <c r="RF27" s="142">
        <f t="shared" si="60"/>
        <v>25</v>
      </c>
      <c r="RG27" s="106"/>
      <c r="RH27" s="139">
        <f t="shared" si="61"/>
        <v>31</v>
      </c>
      <c r="RI27" s="140">
        <f t="shared" si="62"/>
        <v>27</v>
      </c>
      <c r="RJ27" s="106"/>
      <c r="RK27" s="136">
        <f t="shared" si="63"/>
        <v>29.857142857142858</v>
      </c>
      <c r="RL27" s="106"/>
      <c r="RM27" s="137">
        <f t="shared" si="64"/>
        <v>0</v>
      </c>
      <c r="RN27" s="138">
        <f t="shared" si="65"/>
        <v>0</v>
      </c>
      <c r="RO27" s="106"/>
      <c r="RP27" s="259">
        <f t="shared" si="66"/>
        <v>0</v>
      </c>
    </row>
    <row r="28" spans="1:484" x14ac:dyDescent="0.2">
      <c r="A28" s="89" t="str">
        <f>'Name List'!B28</f>
        <v>Stuart Gay</v>
      </c>
      <c r="C28" s="98"/>
      <c r="D28" s="99"/>
      <c r="E28" s="329" t="str">
        <f t="shared" si="0"/>
        <v/>
      </c>
      <c r="F28" s="77"/>
      <c r="G28" s="78"/>
      <c r="H28" s="78"/>
      <c r="I28" s="79"/>
      <c r="J28" s="333" t="str">
        <f>IF(E28="","",'Name List'!$I$4)</f>
        <v/>
      </c>
      <c r="L28" s="98"/>
      <c r="M28" s="99"/>
      <c r="N28" s="100"/>
      <c r="O28" s="77"/>
      <c r="P28" s="78"/>
      <c r="Q28" s="78"/>
      <c r="R28" s="79"/>
      <c r="S28" s="67"/>
      <c r="U28" s="71"/>
      <c r="V28" s="72"/>
      <c r="W28" s="396" t="str">
        <f t="shared" si="2"/>
        <v/>
      </c>
      <c r="X28" s="77"/>
      <c r="Y28" s="78"/>
      <c r="Z28" s="78"/>
      <c r="AA28" s="79"/>
      <c r="AB28" s="333" t="str">
        <f>IF(W28="","",'Name List'!$I$4)</f>
        <v/>
      </c>
      <c r="AD28" s="98"/>
      <c r="AE28" s="99"/>
      <c r="AF28" s="329" t="str">
        <f t="shared" si="3"/>
        <v/>
      </c>
      <c r="AG28" s="77"/>
      <c r="AH28" s="78"/>
      <c r="AI28" s="78"/>
      <c r="AJ28" s="79"/>
      <c r="AK28" s="333" t="str">
        <f>IF(AF28="","",'Name List'!$I$4)</f>
        <v/>
      </c>
      <c r="AM28" s="98"/>
      <c r="AN28" s="99"/>
      <c r="AO28" s="329" t="str">
        <f t="shared" si="4"/>
        <v/>
      </c>
      <c r="AP28" s="77"/>
      <c r="AQ28" s="78"/>
      <c r="AR28" s="78"/>
      <c r="AS28" s="79"/>
      <c r="AT28" s="333" t="str">
        <f>IF(AO28="","",'Name List'!$I$4)</f>
        <v/>
      </c>
      <c r="AV28" s="458"/>
      <c r="AW28" s="401"/>
      <c r="AX28" s="400" t="str">
        <f t="shared" si="5"/>
        <v/>
      </c>
      <c r="AY28" s="77"/>
      <c r="AZ28" s="78"/>
      <c r="BA28" s="78"/>
      <c r="BB28" s="79"/>
      <c r="BC28" s="457" t="str">
        <f>IF(AX28="","",'Name List'!$I$4)</f>
        <v/>
      </c>
      <c r="BE28" s="71"/>
      <c r="BF28" s="72"/>
      <c r="BG28" s="383" t="str">
        <f t="shared" si="6"/>
        <v/>
      </c>
      <c r="BH28" s="77"/>
      <c r="BI28" s="78"/>
      <c r="BJ28" s="78"/>
      <c r="BK28" s="79"/>
      <c r="BL28" s="333" t="str">
        <f>IF(BG28="","",'Name List'!$I$4)</f>
        <v/>
      </c>
      <c r="BN28" s="98"/>
      <c r="BO28" s="99"/>
      <c r="BP28" s="100"/>
      <c r="BQ28" s="77"/>
      <c r="BR28" s="78"/>
      <c r="BS28" s="78"/>
      <c r="BT28" s="79"/>
      <c r="BU28" s="67"/>
      <c r="BW28" s="98"/>
      <c r="BX28" s="99"/>
      <c r="BY28" s="329" t="str">
        <f t="shared" si="8"/>
        <v/>
      </c>
      <c r="BZ28" s="77"/>
      <c r="CA28" s="78"/>
      <c r="CB28" s="78"/>
      <c r="CC28" s="79"/>
      <c r="CD28" s="333" t="str">
        <f>IF(BY28="","",'Name List'!$I$4)</f>
        <v/>
      </c>
      <c r="CF28" s="68"/>
      <c r="CG28" s="69"/>
      <c r="CH28" s="282" t="str">
        <f t="shared" si="49"/>
        <v/>
      </c>
      <c r="CI28" s="77"/>
      <c r="CJ28" s="78"/>
      <c r="CK28" s="78"/>
      <c r="CL28" s="79"/>
      <c r="CM28" s="333" t="str">
        <f>IF(CH28="","",'Name List'!$I$4)</f>
        <v/>
      </c>
      <c r="CO28" s="71">
        <v>21</v>
      </c>
      <c r="CP28" s="72">
        <v>18</v>
      </c>
      <c r="CQ28" s="383">
        <f t="shared" si="9"/>
        <v>39</v>
      </c>
      <c r="CR28" s="77">
        <v>0</v>
      </c>
      <c r="CS28" s="78">
        <v>0</v>
      </c>
      <c r="CT28" s="78">
        <v>5</v>
      </c>
      <c r="CU28" s="79">
        <v>1</v>
      </c>
      <c r="CV28" s="333">
        <f>IF(CQ28="","",'Name List'!$I$4)</f>
        <v>5</v>
      </c>
      <c r="CX28" s="98"/>
      <c r="CY28" s="99"/>
      <c r="CZ28" s="329" t="str">
        <f t="shared" si="10"/>
        <v/>
      </c>
      <c r="DA28" s="77"/>
      <c r="DB28" s="78"/>
      <c r="DC28" s="78"/>
      <c r="DD28" s="79"/>
      <c r="DE28" s="333" t="str">
        <f>IF(CZ28="","",'Name List'!$I$4)</f>
        <v/>
      </c>
      <c r="DG28" s="98"/>
      <c r="DH28" s="99"/>
      <c r="DI28" s="329" t="str">
        <f t="shared" si="11"/>
        <v/>
      </c>
      <c r="DJ28" s="77"/>
      <c r="DK28" s="78"/>
      <c r="DL28" s="78"/>
      <c r="DM28" s="79"/>
      <c r="DN28" s="333" t="str">
        <f>IF(DI28="","",'Name List'!$I$4)</f>
        <v/>
      </c>
      <c r="DP28" s="98"/>
      <c r="DQ28" s="99"/>
      <c r="DR28" s="329" t="str">
        <f t="shared" si="12"/>
        <v/>
      </c>
      <c r="DS28" s="77"/>
      <c r="DT28" s="78"/>
      <c r="DU28" s="78"/>
      <c r="DV28" s="79"/>
      <c r="DW28" s="333" t="str">
        <f>IF(DR28="","",'Name List'!$I$4)</f>
        <v/>
      </c>
      <c r="DY28" s="98"/>
      <c r="DZ28" s="99"/>
      <c r="EA28" s="329" t="str">
        <f t="shared" si="13"/>
        <v/>
      </c>
      <c r="EB28" s="77"/>
      <c r="EC28" s="78"/>
      <c r="ED28" s="78"/>
      <c r="EE28" s="79"/>
      <c r="EF28" s="333" t="str">
        <f>IF(EA28="","",'Name List'!$I$4)</f>
        <v/>
      </c>
      <c r="EH28" s="98"/>
      <c r="EI28" s="99"/>
      <c r="EJ28" s="329" t="str">
        <f t="shared" si="14"/>
        <v/>
      </c>
      <c r="EK28" s="77"/>
      <c r="EL28" s="78"/>
      <c r="EM28" s="78"/>
      <c r="EN28" s="79"/>
      <c r="EO28" s="333" t="str">
        <f>IF(EJ28="","",'Name List'!$I$4)</f>
        <v/>
      </c>
      <c r="EQ28" s="115"/>
      <c r="ER28" s="116"/>
      <c r="ES28" s="117"/>
      <c r="ET28" s="77"/>
      <c r="EU28" s="78"/>
      <c r="EV28" s="78"/>
      <c r="EW28" s="79"/>
      <c r="EX28" s="333" t="str">
        <f>IF(ES28="","",'Name List'!$I$4)</f>
        <v/>
      </c>
      <c r="EZ28" s="68"/>
      <c r="FA28" s="69"/>
      <c r="FB28" s="70"/>
      <c r="FC28" s="77"/>
      <c r="FD28" s="78"/>
      <c r="FE28" s="78"/>
      <c r="FF28" s="79"/>
      <c r="FG28" s="67"/>
      <c r="FI28" s="98"/>
      <c r="FJ28" s="99"/>
      <c r="FK28" s="329" t="str">
        <f t="shared" si="16"/>
        <v/>
      </c>
      <c r="FL28" s="77"/>
      <c r="FM28" s="78"/>
      <c r="FN28" s="78"/>
      <c r="FO28" s="79"/>
      <c r="FP28" s="333" t="str">
        <f>IF(FK28="","",'Name List'!$I$4)</f>
        <v/>
      </c>
      <c r="FR28" s="98"/>
      <c r="FS28" s="99"/>
      <c r="FT28" s="329" t="str">
        <f t="shared" si="17"/>
        <v/>
      </c>
      <c r="FU28" s="77"/>
      <c r="FV28" s="78"/>
      <c r="FW28" s="78"/>
      <c r="FX28" s="79"/>
      <c r="FY28" s="333" t="str">
        <f>IF(FT28="","",'Name List'!$I$4)</f>
        <v/>
      </c>
      <c r="GA28" s="98"/>
      <c r="GB28" s="99"/>
      <c r="GC28" s="329" t="str">
        <f t="shared" si="18"/>
        <v/>
      </c>
      <c r="GD28" s="77"/>
      <c r="GE28" s="78"/>
      <c r="GF28" s="78"/>
      <c r="GG28" s="79"/>
      <c r="GH28" s="333" t="str">
        <f>IF(GC28="","",'Name List'!$I$4)</f>
        <v/>
      </c>
      <c r="GJ28" s="98"/>
      <c r="GK28" s="99"/>
      <c r="GL28" s="329" t="str">
        <f t="shared" si="19"/>
        <v/>
      </c>
      <c r="GM28" s="77"/>
      <c r="GN28" s="78"/>
      <c r="GO28" s="78"/>
      <c r="GP28" s="79"/>
      <c r="GQ28" s="333" t="str">
        <f>IF(GL28="","",'Name List'!$I$4)</f>
        <v/>
      </c>
      <c r="GS28" s="68"/>
      <c r="GT28" s="69"/>
      <c r="GU28" s="70"/>
      <c r="GV28" s="77"/>
      <c r="GW28" s="78"/>
      <c r="GX28" s="78"/>
      <c r="GY28" s="79"/>
      <c r="GZ28" s="67"/>
      <c r="HB28" s="98"/>
      <c r="HC28" s="99"/>
      <c r="HD28" s="329" t="str">
        <f t="shared" si="21"/>
        <v/>
      </c>
      <c r="HE28" s="77"/>
      <c r="HF28" s="78"/>
      <c r="HG28" s="78"/>
      <c r="HH28" s="79"/>
      <c r="HI28" s="333" t="str">
        <f>IF(HD28="","",'Name List'!$I$4)</f>
        <v/>
      </c>
      <c r="HK28" s="71"/>
      <c r="HL28" s="72"/>
      <c r="HM28" s="383" t="str">
        <f t="shared" si="22"/>
        <v/>
      </c>
      <c r="HN28" s="77"/>
      <c r="HO28" s="78"/>
      <c r="HP28" s="78"/>
      <c r="HQ28" s="79"/>
      <c r="HR28" s="333" t="str">
        <f>IF(HM28="","",'Name List'!$I$4)</f>
        <v/>
      </c>
      <c r="HT28" s="68"/>
      <c r="HU28" s="69"/>
      <c r="HV28" s="70"/>
      <c r="HW28" s="77"/>
      <c r="HX28" s="78"/>
      <c r="HY28" s="78"/>
      <c r="HZ28" s="79"/>
      <c r="IA28" s="67"/>
      <c r="IC28" s="115"/>
      <c r="ID28" s="116"/>
      <c r="IE28" s="117"/>
      <c r="IF28" s="77"/>
      <c r="IG28" s="78"/>
      <c r="IH28" s="78"/>
      <c r="II28" s="79"/>
      <c r="IJ28" s="333" t="str">
        <f>IF(IE28="","",'Name List'!$I$4)</f>
        <v/>
      </c>
      <c r="IL28" s="98"/>
      <c r="IM28" s="99"/>
      <c r="IN28" s="100"/>
      <c r="IO28" s="77"/>
      <c r="IP28" s="78"/>
      <c r="IQ28" s="78"/>
      <c r="IR28" s="79"/>
      <c r="IS28" s="67"/>
      <c r="IU28" s="98"/>
      <c r="IV28" s="99"/>
      <c r="IW28" s="100"/>
      <c r="IX28" s="77"/>
      <c r="IY28" s="78"/>
      <c r="IZ28" s="78"/>
      <c r="JA28" s="79"/>
      <c r="JB28" s="67"/>
      <c r="JD28" s="98"/>
      <c r="JE28" s="99"/>
      <c r="JF28" s="100"/>
      <c r="JG28" s="77"/>
      <c r="JH28" s="78"/>
      <c r="JI28" s="78"/>
      <c r="JJ28" s="79"/>
      <c r="JK28" s="67"/>
      <c r="JM28" s="98"/>
      <c r="JN28" s="99"/>
      <c r="JO28" s="275"/>
      <c r="JP28" s="77"/>
      <c r="JQ28" s="78"/>
      <c r="JR28" s="78"/>
      <c r="JS28" s="79"/>
      <c r="JT28" s="67"/>
      <c r="JV28" s="98"/>
      <c r="JW28" s="99"/>
      <c r="JX28" s="100"/>
      <c r="JY28" s="77"/>
      <c r="JZ28" s="78"/>
      <c r="KA28" s="78"/>
      <c r="KB28" s="79"/>
      <c r="KC28" s="67"/>
      <c r="KE28" s="98"/>
      <c r="KF28" s="99"/>
      <c r="KG28" s="100"/>
      <c r="KH28" s="77"/>
      <c r="KI28" s="78"/>
      <c r="KJ28" s="78"/>
      <c r="KK28" s="79"/>
      <c r="KL28" s="67"/>
      <c r="KN28" s="68"/>
      <c r="KO28" s="69"/>
      <c r="KP28" s="70"/>
      <c r="KQ28" s="77"/>
      <c r="KR28" s="78"/>
      <c r="KS28" s="78"/>
      <c r="KT28" s="79"/>
      <c r="KU28" s="67"/>
      <c r="KW28" s="98"/>
      <c r="KX28" s="99"/>
      <c r="KY28" s="100"/>
      <c r="KZ28" s="77"/>
      <c r="LA28" s="78"/>
      <c r="LB28" s="78"/>
      <c r="LC28" s="79"/>
      <c r="LD28" s="67"/>
      <c r="LF28" s="71"/>
      <c r="LG28" s="72"/>
      <c r="LH28" s="73"/>
      <c r="LI28" s="77"/>
      <c r="LJ28" s="78"/>
      <c r="LK28" s="78"/>
      <c r="LL28" s="79"/>
      <c r="LM28" s="67"/>
      <c r="LO28" s="98"/>
      <c r="LP28" s="99"/>
      <c r="LQ28" s="329"/>
      <c r="LR28" s="77"/>
      <c r="LS28" s="78"/>
      <c r="LT28" s="78"/>
      <c r="LU28" s="79"/>
      <c r="LV28" s="67"/>
      <c r="LX28" s="98"/>
      <c r="LY28" s="99"/>
      <c r="LZ28" s="100"/>
      <c r="MA28" s="77"/>
      <c r="MB28" s="78"/>
      <c r="MC28" s="78"/>
      <c r="MD28" s="79"/>
      <c r="ME28" s="67"/>
      <c r="MG28" s="98"/>
      <c r="MH28" s="99"/>
      <c r="MI28" s="100"/>
      <c r="MJ28" s="77"/>
      <c r="MK28" s="78"/>
      <c r="ML28" s="78"/>
      <c r="MM28" s="79"/>
      <c r="MN28" s="67"/>
      <c r="MP28" s="98"/>
      <c r="MQ28" s="99"/>
      <c r="MR28" s="100"/>
      <c r="MS28" s="77"/>
      <c r="MT28" s="78"/>
      <c r="MU28" s="78"/>
      <c r="MV28" s="79"/>
      <c r="MW28" s="67"/>
      <c r="MY28" s="98"/>
      <c r="MZ28" s="99"/>
      <c r="NA28" s="100"/>
      <c r="NB28" s="77"/>
      <c r="NC28" s="78"/>
      <c r="ND28" s="78"/>
      <c r="NE28" s="79"/>
      <c r="NF28" s="67"/>
      <c r="NH28" s="98"/>
      <c r="NI28" s="99"/>
      <c r="NJ28" s="329"/>
      <c r="NK28" s="77"/>
      <c r="NL28" s="78"/>
      <c r="NM28" s="78"/>
      <c r="NN28" s="79"/>
      <c r="NO28" s="67"/>
      <c r="NQ28" s="98"/>
      <c r="NR28" s="99"/>
      <c r="NS28" s="100"/>
      <c r="NT28" s="77"/>
      <c r="NU28" s="78"/>
      <c r="NV28" s="78"/>
      <c r="NW28" s="79"/>
      <c r="NX28" s="67"/>
      <c r="NZ28" s="71"/>
      <c r="OA28" s="72"/>
      <c r="OB28" s="73"/>
      <c r="OC28" s="77"/>
      <c r="OD28" s="78"/>
      <c r="OE28" s="78"/>
      <c r="OF28" s="79"/>
      <c r="OG28" s="67"/>
      <c r="OI28" s="98"/>
      <c r="OJ28" s="99"/>
      <c r="OK28" s="329"/>
      <c r="OL28" s="77"/>
      <c r="OM28" s="78"/>
      <c r="ON28" s="78"/>
      <c r="OO28" s="79"/>
      <c r="OP28" s="67"/>
      <c r="OR28" s="71"/>
      <c r="OS28" s="72"/>
      <c r="OT28" s="73"/>
      <c r="OU28" s="77"/>
      <c r="OV28" s="78"/>
      <c r="OW28" s="78"/>
      <c r="OX28" s="79"/>
      <c r="OY28" s="67"/>
      <c r="PA28" s="98"/>
      <c r="PB28" s="99"/>
      <c r="PC28" s="100"/>
      <c r="PD28" s="77"/>
      <c r="PE28" s="78"/>
      <c r="PF28" s="78"/>
      <c r="PG28" s="79"/>
      <c r="PH28" s="67"/>
      <c r="PJ28" s="277"/>
      <c r="PK28" s="278"/>
      <c r="PL28" s="279"/>
      <c r="PM28" s="125"/>
      <c r="PN28" s="126"/>
      <c r="PO28" s="126"/>
      <c r="PP28" s="127"/>
      <c r="PQ28" s="128"/>
      <c r="PS28" s="403"/>
      <c r="PT28" s="404"/>
      <c r="PU28" s="405"/>
      <c r="PV28" s="330"/>
      <c r="PW28" s="331"/>
      <c r="PX28" s="331"/>
      <c r="PY28" s="332"/>
      <c r="PZ28" s="333"/>
      <c r="QB28" s="412"/>
      <c r="QC28" s="413"/>
      <c r="QD28" s="414"/>
      <c r="QE28" s="125"/>
      <c r="QF28" s="126"/>
      <c r="QG28" s="126"/>
      <c r="QH28" s="127"/>
      <c r="QI28" s="128"/>
      <c r="QK28" s="283"/>
      <c r="QL28" s="284"/>
      <c r="QM28" s="285"/>
      <c r="QN28" s="125"/>
      <c r="QO28" s="126"/>
      <c r="QP28" s="126"/>
      <c r="QQ28" s="127"/>
      <c r="QR28" s="128" t="str">
        <f>IF(QM28="","",'Name List'!$I$4)</f>
        <v/>
      </c>
      <c r="QS28" s="91"/>
      <c r="QT28" s="107">
        <f t="shared" si="50"/>
        <v>0</v>
      </c>
      <c r="QU28" s="130">
        <f t="shared" si="51"/>
        <v>0</v>
      </c>
      <c r="QV28" s="130">
        <f t="shared" si="52"/>
        <v>5</v>
      </c>
      <c r="QW28" s="108">
        <f t="shared" si="53"/>
        <v>1</v>
      </c>
      <c r="QY28" s="260">
        <f t="shared" si="54"/>
        <v>1</v>
      </c>
      <c r="RA28" s="141">
        <f t="shared" si="55"/>
        <v>0</v>
      </c>
      <c r="RB28" s="106">
        <f t="shared" si="56"/>
        <v>0</v>
      </c>
      <c r="RC28" s="106">
        <f t="shared" si="57"/>
        <v>0</v>
      </c>
      <c r="RD28" s="106">
        <f t="shared" si="58"/>
        <v>0</v>
      </c>
      <c r="RE28" s="106">
        <f t="shared" si="59"/>
        <v>0</v>
      </c>
      <c r="RF28" s="142">
        <f t="shared" si="60"/>
        <v>0</v>
      </c>
      <c r="RG28" s="106"/>
      <c r="RH28" s="139">
        <f t="shared" si="61"/>
        <v>39</v>
      </c>
      <c r="RI28" s="140">
        <f t="shared" si="62"/>
        <v>39</v>
      </c>
      <c r="RJ28" s="106"/>
      <c r="RK28" s="136">
        <f t="shared" si="63"/>
        <v>39</v>
      </c>
      <c r="RL28" s="106"/>
      <c r="RM28" s="137">
        <f t="shared" si="64"/>
        <v>0</v>
      </c>
      <c r="RN28" s="138">
        <f t="shared" si="65"/>
        <v>0</v>
      </c>
      <c r="RO28" s="106"/>
      <c r="RP28" s="259">
        <f t="shared" si="66"/>
        <v>0</v>
      </c>
    </row>
    <row r="29" spans="1:484" x14ac:dyDescent="0.2">
      <c r="A29" s="89" t="str">
        <f>'Name List'!B29</f>
        <v>Jordan Hall</v>
      </c>
      <c r="C29" s="98"/>
      <c r="D29" s="99"/>
      <c r="E29" s="329" t="str">
        <f t="shared" si="0"/>
        <v/>
      </c>
      <c r="F29" s="77"/>
      <c r="G29" s="78"/>
      <c r="H29" s="78"/>
      <c r="I29" s="79"/>
      <c r="J29" s="333" t="str">
        <f>IF(E29="","",'Name List'!$I$4)</f>
        <v/>
      </c>
      <c r="L29" s="98"/>
      <c r="M29" s="99"/>
      <c r="N29" s="100"/>
      <c r="O29" s="77"/>
      <c r="P29" s="78"/>
      <c r="Q29" s="78"/>
      <c r="R29" s="79"/>
      <c r="S29" s="67"/>
      <c r="U29" s="71"/>
      <c r="V29" s="72"/>
      <c r="W29" s="396" t="str">
        <f t="shared" si="2"/>
        <v/>
      </c>
      <c r="X29" s="77"/>
      <c r="Y29" s="78"/>
      <c r="Z29" s="78"/>
      <c r="AA29" s="79"/>
      <c r="AB29" s="333" t="str">
        <f>IF(W29="","",'Name List'!$I$4)</f>
        <v/>
      </c>
      <c r="AD29" s="98"/>
      <c r="AE29" s="99"/>
      <c r="AF29" s="329" t="str">
        <f t="shared" si="3"/>
        <v/>
      </c>
      <c r="AG29" s="77"/>
      <c r="AH29" s="78"/>
      <c r="AI29" s="78"/>
      <c r="AJ29" s="79"/>
      <c r="AK29" s="333" t="str">
        <f>IF(AF29="","",'Name List'!$I$4)</f>
        <v/>
      </c>
      <c r="AM29" s="98"/>
      <c r="AN29" s="99"/>
      <c r="AO29" s="329" t="str">
        <f t="shared" si="4"/>
        <v/>
      </c>
      <c r="AP29" s="77"/>
      <c r="AQ29" s="78"/>
      <c r="AR29" s="78"/>
      <c r="AS29" s="79"/>
      <c r="AT29" s="333" t="str">
        <f>IF(AO29="","",'Name List'!$I$4)</f>
        <v/>
      </c>
      <c r="AV29" s="458"/>
      <c r="AW29" s="401"/>
      <c r="AX29" s="400" t="str">
        <f t="shared" si="5"/>
        <v/>
      </c>
      <c r="AY29" s="77"/>
      <c r="AZ29" s="78"/>
      <c r="BA29" s="78"/>
      <c r="BB29" s="79"/>
      <c r="BC29" s="457" t="str">
        <f>IF(AX29="","",'Name List'!$I$4)</f>
        <v/>
      </c>
      <c r="BE29" s="71"/>
      <c r="BF29" s="72"/>
      <c r="BG29" s="383" t="str">
        <f t="shared" si="6"/>
        <v/>
      </c>
      <c r="BH29" s="77"/>
      <c r="BI29" s="78"/>
      <c r="BJ29" s="78"/>
      <c r="BK29" s="79"/>
      <c r="BL29" s="333" t="str">
        <f>IF(BG29="","",'Name List'!$I$4)</f>
        <v/>
      </c>
      <c r="BN29" s="98"/>
      <c r="BO29" s="99"/>
      <c r="BP29" s="100"/>
      <c r="BQ29" s="77"/>
      <c r="BR29" s="78"/>
      <c r="BS29" s="78"/>
      <c r="BT29" s="79"/>
      <c r="BU29" s="67"/>
      <c r="BW29" s="98"/>
      <c r="BX29" s="99"/>
      <c r="BY29" s="329" t="str">
        <f t="shared" si="8"/>
        <v/>
      </c>
      <c r="BZ29" s="77"/>
      <c r="CA29" s="78"/>
      <c r="CB29" s="78"/>
      <c r="CC29" s="79"/>
      <c r="CD29" s="333" t="str">
        <f>IF(BY29="","",'Name List'!$I$4)</f>
        <v/>
      </c>
      <c r="CF29" s="68">
        <v>19</v>
      </c>
      <c r="CG29" s="69">
        <v>19</v>
      </c>
      <c r="CH29" s="282">
        <f t="shared" si="49"/>
        <v>38</v>
      </c>
      <c r="CI29" s="77">
        <v>1</v>
      </c>
      <c r="CJ29" s="78">
        <v>2</v>
      </c>
      <c r="CK29" s="78">
        <v>13</v>
      </c>
      <c r="CL29" s="79">
        <v>0</v>
      </c>
      <c r="CM29" s="333">
        <f>IF(CH29="","",'Name List'!$I$4)</f>
        <v>5</v>
      </c>
      <c r="CO29" s="71"/>
      <c r="CP29" s="72"/>
      <c r="CQ29" s="383" t="str">
        <f t="shared" si="9"/>
        <v/>
      </c>
      <c r="CR29" s="77"/>
      <c r="CS29" s="78"/>
      <c r="CT29" s="78"/>
      <c r="CU29" s="79"/>
      <c r="CV29" s="333" t="str">
        <f>IF(CQ29="","",'Name List'!$I$4)</f>
        <v/>
      </c>
      <c r="CX29" s="98"/>
      <c r="CY29" s="99"/>
      <c r="CZ29" s="329" t="str">
        <f t="shared" si="10"/>
        <v/>
      </c>
      <c r="DA29" s="77"/>
      <c r="DB29" s="78"/>
      <c r="DC29" s="78"/>
      <c r="DD29" s="79"/>
      <c r="DE29" s="333" t="str">
        <f>IF(CZ29="","",'Name List'!$I$4)</f>
        <v/>
      </c>
      <c r="DG29" s="98"/>
      <c r="DH29" s="99"/>
      <c r="DI29" s="329" t="str">
        <f t="shared" si="11"/>
        <v/>
      </c>
      <c r="DJ29" s="77"/>
      <c r="DK29" s="78"/>
      <c r="DL29" s="78"/>
      <c r="DM29" s="79"/>
      <c r="DN29" s="333" t="str">
        <f>IF(DI29="","",'Name List'!$I$4)</f>
        <v/>
      </c>
      <c r="DP29" s="98"/>
      <c r="DQ29" s="99"/>
      <c r="DR29" s="329" t="str">
        <f t="shared" si="12"/>
        <v/>
      </c>
      <c r="DS29" s="77"/>
      <c r="DT29" s="78"/>
      <c r="DU29" s="78"/>
      <c r="DV29" s="79"/>
      <c r="DW29" s="333" t="str">
        <f>IF(DR29="","",'Name List'!$I$4)</f>
        <v/>
      </c>
      <c r="DY29" s="98"/>
      <c r="DZ29" s="99"/>
      <c r="EA29" s="329" t="str">
        <f t="shared" si="13"/>
        <v/>
      </c>
      <c r="EB29" s="77"/>
      <c r="EC29" s="78"/>
      <c r="ED29" s="78"/>
      <c r="EE29" s="79"/>
      <c r="EF29" s="333" t="str">
        <f>IF(EA29="","",'Name List'!$I$4)</f>
        <v/>
      </c>
      <c r="EH29" s="98"/>
      <c r="EI29" s="99"/>
      <c r="EJ29" s="329" t="str">
        <f t="shared" si="14"/>
        <v/>
      </c>
      <c r="EK29" s="77"/>
      <c r="EL29" s="78"/>
      <c r="EM29" s="78"/>
      <c r="EN29" s="79"/>
      <c r="EO29" s="333" t="str">
        <f>IF(EJ29="","",'Name List'!$I$4)</f>
        <v/>
      </c>
      <c r="EQ29" s="115"/>
      <c r="ER29" s="116"/>
      <c r="ES29" s="117"/>
      <c r="ET29" s="77"/>
      <c r="EU29" s="78"/>
      <c r="EV29" s="78"/>
      <c r="EW29" s="79"/>
      <c r="EX29" s="333" t="str">
        <f>IF(ES29="","",'Name List'!$I$4)</f>
        <v/>
      </c>
      <c r="EZ29" s="68"/>
      <c r="FA29" s="69"/>
      <c r="FB29" s="70"/>
      <c r="FC29" s="77"/>
      <c r="FD29" s="78"/>
      <c r="FE29" s="78"/>
      <c r="FF29" s="79"/>
      <c r="FG29" s="67"/>
      <c r="FI29" s="98"/>
      <c r="FJ29" s="99"/>
      <c r="FK29" s="329" t="str">
        <f t="shared" si="16"/>
        <v/>
      </c>
      <c r="FL29" s="77"/>
      <c r="FM29" s="78"/>
      <c r="FN29" s="78"/>
      <c r="FO29" s="79"/>
      <c r="FP29" s="333" t="str">
        <f>IF(FK29="","",'Name List'!$I$4)</f>
        <v/>
      </c>
      <c r="FR29" s="98"/>
      <c r="FS29" s="99"/>
      <c r="FT29" s="329" t="str">
        <f t="shared" si="17"/>
        <v/>
      </c>
      <c r="FU29" s="77"/>
      <c r="FV29" s="78"/>
      <c r="FW29" s="78"/>
      <c r="FX29" s="79"/>
      <c r="FY29" s="333" t="str">
        <f>IF(FT29="","",'Name List'!$I$4)</f>
        <v/>
      </c>
      <c r="GA29" s="98"/>
      <c r="GB29" s="99"/>
      <c r="GC29" s="329" t="str">
        <f t="shared" si="18"/>
        <v/>
      </c>
      <c r="GD29" s="77"/>
      <c r="GE29" s="78"/>
      <c r="GF29" s="78"/>
      <c r="GG29" s="79"/>
      <c r="GH29" s="333" t="str">
        <f>IF(GC29="","",'Name List'!$I$4)</f>
        <v/>
      </c>
      <c r="GJ29" s="98"/>
      <c r="GK29" s="99"/>
      <c r="GL29" s="329" t="str">
        <f t="shared" si="19"/>
        <v/>
      </c>
      <c r="GM29" s="77"/>
      <c r="GN29" s="78"/>
      <c r="GO29" s="78"/>
      <c r="GP29" s="79"/>
      <c r="GQ29" s="333" t="str">
        <f>IF(GL29="","",'Name List'!$I$4)</f>
        <v/>
      </c>
      <c r="GS29" s="68"/>
      <c r="GT29" s="69"/>
      <c r="GU29" s="70"/>
      <c r="GV29" s="77"/>
      <c r="GW29" s="78"/>
      <c r="GX29" s="78"/>
      <c r="GY29" s="79"/>
      <c r="GZ29" s="67"/>
      <c r="HB29" s="98"/>
      <c r="HC29" s="99"/>
      <c r="HD29" s="329" t="str">
        <f t="shared" si="21"/>
        <v/>
      </c>
      <c r="HE29" s="77"/>
      <c r="HF29" s="78"/>
      <c r="HG29" s="78"/>
      <c r="HH29" s="79"/>
      <c r="HI29" s="333" t="str">
        <f>IF(HD29="","",'Name List'!$I$4)</f>
        <v/>
      </c>
      <c r="HK29" s="71"/>
      <c r="HL29" s="72"/>
      <c r="HM29" s="383" t="str">
        <f t="shared" si="22"/>
        <v/>
      </c>
      <c r="HN29" s="77"/>
      <c r="HO29" s="78"/>
      <c r="HP29" s="78"/>
      <c r="HQ29" s="79"/>
      <c r="HR29" s="333" t="str">
        <f>IF(HM29="","",'Name List'!$I$4)</f>
        <v/>
      </c>
      <c r="HT29" s="68"/>
      <c r="HU29" s="69"/>
      <c r="HV29" s="70"/>
      <c r="HW29" s="77"/>
      <c r="HX29" s="78"/>
      <c r="HY29" s="78"/>
      <c r="HZ29" s="79"/>
      <c r="IA29" s="67"/>
      <c r="IC29" s="115"/>
      <c r="ID29" s="116"/>
      <c r="IE29" s="117"/>
      <c r="IF29" s="77"/>
      <c r="IG29" s="78"/>
      <c r="IH29" s="78"/>
      <c r="II29" s="79"/>
      <c r="IJ29" s="333" t="str">
        <f>IF(IE29="","",'Name List'!$I$4)</f>
        <v/>
      </c>
      <c r="IL29" s="98"/>
      <c r="IM29" s="99"/>
      <c r="IN29" s="100"/>
      <c r="IO29" s="77"/>
      <c r="IP29" s="78"/>
      <c r="IQ29" s="78"/>
      <c r="IR29" s="79"/>
      <c r="IS29" s="67"/>
      <c r="IU29" s="98"/>
      <c r="IV29" s="99"/>
      <c r="IW29" s="100"/>
      <c r="IX29" s="77"/>
      <c r="IY29" s="78"/>
      <c r="IZ29" s="78"/>
      <c r="JA29" s="79"/>
      <c r="JB29" s="67"/>
      <c r="JD29" s="98"/>
      <c r="JE29" s="99"/>
      <c r="JF29" s="100"/>
      <c r="JG29" s="77"/>
      <c r="JH29" s="78"/>
      <c r="JI29" s="78"/>
      <c r="JJ29" s="79"/>
      <c r="JK29" s="67"/>
      <c r="JM29" s="98"/>
      <c r="JN29" s="99"/>
      <c r="JO29" s="275"/>
      <c r="JP29" s="77"/>
      <c r="JQ29" s="78"/>
      <c r="JR29" s="78"/>
      <c r="JS29" s="79"/>
      <c r="JT29" s="67"/>
      <c r="JV29" s="98"/>
      <c r="JW29" s="99"/>
      <c r="JX29" s="100"/>
      <c r="JY29" s="77"/>
      <c r="JZ29" s="78"/>
      <c r="KA29" s="78"/>
      <c r="KB29" s="79"/>
      <c r="KC29" s="67"/>
      <c r="KE29" s="98"/>
      <c r="KF29" s="99"/>
      <c r="KG29" s="100"/>
      <c r="KH29" s="77"/>
      <c r="KI29" s="78"/>
      <c r="KJ29" s="78"/>
      <c r="KK29" s="79"/>
      <c r="KL29" s="67"/>
      <c r="KN29" s="68"/>
      <c r="KO29" s="69"/>
      <c r="KP29" s="70"/>
      <c r="KQ29" s="77"/>
      <c r="KR29" s="78"/>
      <c r="KS29" s="78"/>
      <c r="KT29" s="79"/>
      <c r="KU29" s="67"/>
      <c r="KW29" s="98"/>
      <c r="KX29" s="99"/>
      <c r="KY29" s="100"/>
      <c r="KZ29" s="77"/>
      <c r="LA29" s="78"/>
      <c r="LB29" s="78"/>
      <c r="LC29" s="79"/>
      <c r="LD29" s="67"/>
      <c r="LF29" s="71"/>
      <c r="LG29" s="72"/>
      <c r="LH29" s="73"/>
      <c r="LI29" s="77"/>
      <c r="LJ29" s="78"/>
      <c r="LK29" s="78"/>
      <c r="LL29" s="79"/>
      <c r="LM29" s="67"/>
      <c r="LO29" s="98"/>
      <c r="LP29" s="99"/>
      <c r="LQ29" s="329"/>
      <c r="LR29" s="77"/>
      <c r="LS29" s="78"/>
      <c r="LT29" s="78"/>
      <c r="LU29" s="79"/>
      <c r="LV29" s="67"/>
      <c r="LX29" s="98"/>
      <c r="LY29" s="99"/>
      <c r="LZ29" s="100"/>
      <c r="MA29" s="77"/>
      <c r="MB29" s="78"/>
      <c r="MC29" s="78"/>
      <c r="MD29" s="79"/>
      <c r="ME29" s="67"/>
      <c r="MG29" s="98"/>
      <c r="MH29" s="99"/>
      <c r="MI29" s="100"/>
      <c r="MJ29" s="77"/>
      <c r="MK29" s="78"/>
      <c r="ML29" s="78"/>
      <c r="MM29" s="79"/>
      <c r="MN29" s="67"/>
      <c r="MP29" s="98"/>
      <c r="MQ29" s="99"/>
      <c r="MR29" s="100"/>
      <c r="MS29" s="77"/>
      <c r="MT29" s="78"/>
      <c r="MU29" s="78"/>
      <c r="MV29" s="79"/>
      <c r="MW29" s="67"/>
      <c r="MY29" s="98"/>
      <c r="MZ29" s="99"/>
      <c r="NA29" s="100"/>
      <c r="NB29" s="77"/>
      <c r="NC29" s="78"/>
      <c r="ND29" s="78"/>
      <c r="NE29" s="79"/>
      <c r="NF29" s="67"/>
      <c r="NH29" s="98"/>
      <c r="NI29" s="99"/>
      <c r="NJ29" s="329"/>
      <c r="NK29" s="77"/>
      <c r="NL29" s="78"/>
      <c r="NM29" s="78"/>
      <c r="NN29" s="79"/>
      <c r="NO29" s="67"/>
      <c r="NQ29" s="98"/>
      <c r="NR29" s="99"/>
      <c r="NS29" s="100"/>
      <c r="NT29" s="77"/>
      <c r="NU29" s="78"/>
      <c r="NV29" s="78"/>
      <c r="NW29" s="79"/>
      <c r="NX29" s="67"/>
      <c r="NZ29" s="71"/>
      <c r="OA29" s="72"/>
      <c r="OB29" s="73"/>
      <c r="OC29" s="77"/>
      <c r="OD29" s="78"/>
      <c r="OE29" s="78"/>
      <c r="OF29" s="79"/>
      <c r="OG29" s="67"/>
      <c r="OI29" s="98"/>
      <c r="OJ29" s="99"/>
      <c r="OK29" s="329"/>
      <c r="OL29" s="77"/>
      <c r="OM29" s="78"/>
      <c r="ON29" s="78"/>
      <c r="OO29" s="79"/>
      <c r="OP29" s="67"/>
      <c r="OR29" s="71"/>
      <c r="OS29" s="72"/>
      <c r="OT29" s="73"/>
      <c r="OU29" s="77"/>
      <c r="OV29" s="78"/>
      <c r="OW29" s="78"/>
      <c r="OX29" s="79"/>
      <c r="OY29" s="67"/>
      <c r="PA29" s="98"/>
      <c r="PB29" s="99"/>
      <c r="PC29" s="100"/>
      <c r="PD29" s="77"/>
      <c r="PE29" s="78"/>
      <c r="PF29" s="78"/>
      <c r="PG29" s="79"/>
      <c r="PH29" s="67"/>
      <c r="PJ29" s="277"/>
      <c r="PK29" s="278"/>
      <c r="PL29" s="279"/>
      <c r="PM29" s="125"/>
      <c r="PN29" s="126"/>
      <c r="PO29" s="126"/>
      <c r="PP29" s="127"/>
      <c r="PQ29" s="128"/>
      <c r="PS29" s="403"/>
      <c r="PT29" s="404"/>
      <c r="PU29" s="405"/>
      <c r="PV29" s="330"/>
      <c r="PW29" s="331"/>
      <c r="PX29" s="331"/>
      <c r="PY29" s="332"/>
      <c r="PZ29" s="333"/>
      <c r="QB29" s="412"/>
      <c r="QC29" s="413"/>
      <c r="QD29" s="414"/>
      <c r="QE29" s="125"/>
      <c r="QF29" s="126"/>
      <c r="QG29" s="126"/>
      <c r="QH29" s="127"/>
      <c r="QI29" s="128"/>
      <c r="QK29" s="283"/>
      <c r="QL29" s="284"/>
      <c r="QM29" s="285"/>
      <c r="QN29" s="125"/>
      <c r="QO29" s="126"/>
      <c r="QP29" s="126"/>
      <c r="QQ29" s="127"/>
      <c r="QR29" s="128" t="str">
        <f>IF(QM29="","",'Name List'!$I$4)</f>
        <v/>
      </c>
      <c r="QS29" s="91"/>
      <c r="QT29" s="107">
        <f t="shared" si="50"/>
        <v>1</v>
      </c>
      <c r="QU29" s="130">
        <f t="shared" si="51"/>
        <v>2</v>
      </c>
      <c r="QV29" s="130">
        <f t="shared" si="52"/>
        <v>13</v>
      </c>
      <c r="QW29" s="108">
        <f t="shared" si="53"/>
        <v>0</v>
      </c>
      <c r="QY29" s="260">
        <f t="shared" si="54"/>
        <v>1</v>
      </c>
      <c r="RA29" s="141">
        <f t="shared" si="55"/>
        <v>19</v>
      </c>
      <c r="RB29" s="106">
        <f t="shared" si="56"/>
        <v>19</v>
      </c>
      <c r="RC29" s="106">
        <f t="shared" si="57"/>
        <v>38</v>
      </c>
      <c r="RD29" s="106">
        <f t="shared" si="58"/>
        <v>19</v>
      </c>
      <c r="RE29" s="106">
        <f t="shared" si="59"/>
        <v>19</v>
      </c>
      <c r="RF29" s="142">
        <f t="shared" si="60"/>
        <v>38</v>
      </c>
      <c r="RG29" s="106"/>
      <c r="RH29" s="139">
        <f t="shared" si="61"/>
        <v>0</v>
      </c>
      <c r="RI29" s="140">
        <f t="shared" si="62"/>
        <v>0</v>
      </c>
      <c r="RJ29" s="106"/>
      <c r="RK29" s="136">
        <f t="shared" si="63"/>
        <v>38</v>
      </c>
      <c r="RL29" s="106"/>
      <c r="RM29" s="137">
        <f t="shared" si="64"/>
        <v>0</v>
      </c>
      <c r="RN29" s="138">
        <f t="shared" si="65"/>
        <v>0</v>
      </c>
      <c r="RO29" s="106"/>
      <c r="RP29" s="259">
        <f t="shared" si="66"/>
        <v>0</v>
      </c>
    </row>
    <row r="30" spans="1:484" x14ac:dyDescent="0.2">
      <c r="A30" s="89" t="str">
        <f>'Name List'!B30</f>
        <v>Gary Hall</v>
      </c>
      <c r="C30" s="98"/>
      <c r="D30" s="99"/>
      <c r="E30" s="329" t="str">
        <f t="shared" si="0"/>
        <v/>
      </c>
      <c r="F30" s="77"/>
      <c r="G30" s="78"/>
      <c r="H30" s="78"/>
      <c r="I30" s="79"/>
      <c r="J30" s="333" t="str">
        <f>IF(E30="","",'Name List'!$I$4)</f>
        <v/>
      </c>
      <c r="L30" s="98"/>
      <c r="M30" s="99"/>
      <c r="N30" s="100"/>
      <c r="O30" s="77"/>
      <c r="P30" s="78"/>
      <c r="Q30" s="78"/>
      <c r="R30" s="79"/>
      <c r="S30" s="67"/>
      <c r="U30" s="71"/>
      <c r="V30" s="72"/>
      <c r="W30" s="396" t="str">
        <f t="shared" si="2"/>
        <v/>
      </c>
      <c r="X30" s="77"/>
      <c r="Y30" s="78"/>
      <c r="Z30" s="78"/>
      <c r="AA30" s="79"/>
      <c r="AB30" s="333" t="str">
        <f>IF(W30="","",'Name List'!$I$4)</f>
        <v/>
      </c>
      <c r="AD30" s="98"/>
      <c r="AE30" s="99"/>
      <c r="AF30" s="329" t="str">
        <f t="shared" si="3"/>
        <v/>
      </c>
      <c r="AG30" s="77"/>
      <c r="AH30" s="78"/>
      <c r="AI30" s="78"/>
      <c r="AJ30" s="79"/>
      <c r="AK30" s="333" t="str">
        <f>IF(AF30="","",'Name List'!$I$4)</f>
        <v/>
      </c>
      <c r="AM30" s="98"/>
      <c r="AN30" s="99"/>
      <c r="AO30" s="329" t="str">
        <f t="shared" si="4"/>
        <v/>
      </c>
      <c r="AP30" s="77"/>
      <c r="AQ30" s="78"/>
      <c r="AR30" s="78"/>
      <c r="AS30" s="79"/>
      <c r="AT30" s="333" t="str">
        <f>IF(AO30="","",'Name List'!$I$4)</f>
        <v/>
      </c>
      <c r="AV30" s="458"/>
      <c r="AW30" s="401"/>
      <c r="AX30" s="400" t="str">
        <f t="shared" si="5"/>
        <v/>
      </c>
      <c r="AY30" s="77"/>
      <c r="AZ30" s="78"/>
      <c r="BA30" s="78"/>
      <c r="BB30" s="79"/>
      <c r="BC30" s="457" t="str">
        <f>IF(AX30="","",'Name List'!$I$4)</f>
        <v/>
      </c>
      <c r="BE30" s="71"/>
      <c r="BF30" s="72"/>
      <c r="BG30" s="383" t="str">
        <f t="shared" si="6"/>
        <v/>
      </c>
      <c r="BH30" s="77"/>
      <c r="BI30" s="78"/>
      <c r="BJ30" s="78"/>
      <c r="BK30" s="79"/>
      <c r="BL30" s="333" t="str">
        <f>IF(BG30="","",'Name List'!$I$4)</f>
        <v/>
      </c>
      <c r="BN30" s="98"/>
      <c r="BO30" s="99"/>
      <c r="BP30" s="100"/>
      <c r="BQ30" s="77"/>
      <c r="BR30" s="78"/>
      <c r="BS30" s="78"/>
      <c r="BT30" s="79"/>
      <c r="BU30" s="67"/>
      <c r="BW30" s="98"/>
      <c r="BX30" s="99"/>
      <c r="BY30" s="329" t="str">
        <f t="shared" si="8"/>
        <v/>
      </c>
      <c r="BZ30" s="77"/>
      <c r="CA30" s="78"/>
      <c r="CB30" s="78"/>
      <c r="CC30" s="79"/>
      <c r="CD30" s="333" t="str">
        <f>IF(BY30="","",'Name List'!$I$4)</f>
        <v/>
      </c>
      <c r="CF30" s="68">
        <v>9</v>
      </c>
      <c r="CG30" s="69">
        <v>0</v>
      </c>
      <c r="CH30" s="282">
        <f t="shared" si="49"/>
        <v>9</v>
      </c>
      <c r="CI30" s="77">
        <v>0</v>
      </c>
      <c r="CJ30" s="78">
        <v>0</v>
      </c>
      <c r="CK30" s="78">
        <v>4</v>
      </c>
      <c r="CL30" s="79">
        <v>13</v>
      </c>
      <c r="CM30" s="333">
        <f>IF(CH30="","",'Name List'!$I$4)</f>
        <v>5</v>
      </c>
      <c r="CO30" s="71"/>
      <c r="CP30" s="72"/>
      <c r="CQ30" s="383" t="str">
        <f t="shared" si="9"/>
        <v/>
      </c>
      <c r="CR30" s="77"/>
      <c r="CS30" s="78"/>
      <c r="CT30" s="78"/>
      <c r="CU30" s="79"/>
      <c r="CV30" s="333" t="str">
        <f>IF(CQ30="","",'Name List'!$I$4)</f>
        <v/>
      </c>
      <c r="CX30" s="98"/>
      <c r="CY30" s="99"/>
      <c r="CZ30" s="329" t="str">
        <f t="shared" si="10"/>
        <v/>
      </c>
      <c r="DA30" s="77"/>
      <c r="DB30" s="78"/>
      <c r="DC30" s="78"/>
      <c r="DD30" s="79"/>
      <c r="DE30" s="333" t="str">
        <f>IF(CZ30="","",'Name List'!$I$4)</f>
        <v/>
      </c>
      <c r="DG30" s="98"/>
      <c r="DH30" s="99"/>
      <c r="DI30" s="329" t="str">
        <f t="shared" si="11"/>
        <v/>
      </c>
      <c r="DJ30" s="77"/>
      <c r="DK30" s="78"/>
      <c r="DL30" s="78"/>
      <c r="DM30" s="79"/>
      <c r="DN30" s="333" t="str">
        <f>IF(DI30="","",'Name List'!$I$4)</f>
        <v/>
      </c>
      <c r="DP30" s="98"/>
      <c r="DQ30" s="99"/>
      <c r="DR30" s="329" t="str">
        <f t="shared" si="12"/>
        <v/>
      </c>
      <c r="DS30" s="77"/>
      <c r="DT30" s="78"/>
      <c r="DU30" s="78"/>
      <c r="DV30" s="79"/>
      <c r="DW30" s="333" t="str">
        <f>IF(DR30="","",'Name List'!$I$4)</f>
        <v/>
      </c>
      <c r="DY30" s="98"/>
      <c r="DZ30" s="99"/>
      <c r="EA30" s="329" t="str">
        <f t="shared" si="13"/>
        <v/>
      </c>
      <c r="EB30" s="77"/>
      <c r="EC30" s="78"/>
      <c r="ED30" s="78"/>
      <c r="EE30" s="79"/>
      <c r="EF30" s="333" t="str">
        <f>IF(EA30="","",'Name List'!$I$4)</f>
        <v/>
      </c>
      <c r="EH30" s="98"/>
      <c r="EI30" s="99"/>
      <c r="EJ30" s="329" t="str">
        <f t="shared" si="14"/>
        <v/>
      </c>
      <c r="EK30" s="77"/>
      <c r="EL30" s="78"/>
      <c r="EM30" s="78"/>
      <c r="EN30" s="79"/>
      <c r="EO30" s="333" t="str">
        <f>IF(EJ30="","",'Name List'!$I$4)</f>
        <v/>
      </c>
      <c r="EQ30" s="115"/>
      <c r="ER30" s="116"/>
      <c r="ES30" s="117"/>
      <c r="ET30" s="77"/>
      <c r="EU30" s="78"/>
      <c r="EV30" s="78"/>
      <c r="EW30" s="79"/>
      <c r="EX30" s="333" t="str">
        <f>IF(ES30="","",'Name List'!$I$4)</f>
        <v/>
      </c>
      <c r="EZ30" s="68"/>
      <c r="FA30" s="69"/>
      <c r="FB30" s="70"/>
      <c r="FC30" s="77"/>
      <c r="FD30" s="78"/>
      <c r="FE30" s="78"/>
      <c r="FF30" s="79"/>
      <c r="FG30" s="67"/>
      <c r="FI30" s="98"/>
      <c r="FJ30" s="99"/>
      <c r="FK30" s="329" t="str">
        <f t="shared" si="16"/>
        <v/>
      </c>
      <c r="FL30" s="77"/>
      <c r="FM30" s="78"/>
      <c r="FN30" s="78"/>
      <c r="FO30" s="79"/>
      <c r="FP30" s="333" t="str">
        <f>IF(FK30="","",'Name List'!$I$4)</f>
        <v/>
      </c>
      <c r="FR30" s="98"/>
      <c r="FS30" s="99"/>
      <c r="FT30" s="329" t="str">
        <f t="shared" si="17"/>
        <v/>
      </c>
      <c r="FU30" s="77"/>
      <c r="FV30" s="78"/>
      <c r="FW30" s="78"/>
      <c r="FX30" s="79"/>
      <c r="FY30" s="333" t="str">
        <f>IF(FT30="","",'Name List'!$I$4)</f>
        <v/>
      </c>
      <c r="GA30" s="98"/>
      <c r="GB30" s="99"/>
      <c r="GC30" s="329" t="str">
        <f t="shared" si="18"/>
        <v/>
      </c>
      <c r="GD30" s="77"/>
      <c r="GE30" s="78"/>
      <c r="GF30" s="78"/>
      <c r="GG30" s="79"/>
      <c r="GH30" s="333" t="str">
        <f>IF(GC30="","",'Name List'!$I$4)</f>
        <v/>
      </c>
      <c r="GJ30" s="98"/>
      <c r="GK30" s="99"/>
      <c r="GL30" s="329" t="str">
        <f t="shared" si="19"/>
        <v/>
      </c>
      <c r="GM30" s="77"/>
      <c r="GN30" s="78"/>
      <c r="GO30" s="78"/>
      <c r="GP30" s="79"/>
      <c r="GQ30" s="333" t="str">
        <f>IF(GL30="","",'Name List'!$I$4)</f>
        <v/>
      </c>
      <c r="GS30" s="68"/>
      <c r="GT30" s="69"/>
      <c r="GU30" s="70"/>
      <c r="GV30" s="77"/>
      <c r="GW30" s="78"/>
      <c r="GX30" s="78"/>
      <c r="GY30" s="79"/>
      <c r="GZ30" s="67"/>
      <c r="HB30" s="98"/>
      <c r="HC30" s="99"/>
      <c r="HD30" s="329" t="str">
        <f t="shared" si="21"/>
        <v/>
      </c>
      <c r="HE30" s="77"/>
      <c r="HF30" s="78"/>
      <c r="HG30" s="78"/>
      <c r="HH30" s="79"/>
      <c r="HI30" s="333" t="str">
        <f>IF(HD30="","",'Name List'!$I$4)</f>
        <v/>
      </c>
      <c r="HK30" s="71"/>
      <c r="HL30" s="72"/>
      <c r="HM30" s="383" t="str">
        <f t="shared" si="22"/>
        <v/>
      </c>
      <c r="HN30" s="77"/>
      <c r="HO30" s="78"/>
      <c r="HP30" s="78"/>
      <c r="HQ30" s="79"/>
      <c r="HR30" s="333" t="str">
        <f>IF(HM30="","",'Name List'!$I$4)</f>
        <v/>
      </c>
      <c r="HT30" s="68"/>
      <c r="HU30" s="69"/>
      <c r="HV30" s="70"/>
      <c r="HW30" s="77"/>
      <c r="HX30" s="78"/>
      <c r="HY30" s="78"/>
      <c r="HZ30" s="79"/>
      <c r="IA30" s="67"/>
      <c r="IC30" s="115"/>
      <c r="ID30" s="116"/>
      <c r="IE30" s="117"/>
      <c r="IF30" s="77"/>
      <c r="IG30" s="78"/>
      <c r="IH30" s="78"/>
      <c r="II30" s="79"/>
      <c r="IJ30" s="333" t="str">
        <f>IF(IE30="","",'Name List'!$I$4)</f>
        <v/>
      </c>
      <c r="IL30" s="98"/>
      <c r="IM30" s="99"/>
      <c r="IN30" s="100"/>
      <c r="IO30" s="77"/>
      <c r="IP30" s="78"/>
      <c r="IQ30" s="78"/>
      <c r="IR30" s="79"/>
      <c r="IS30" s="67"/>
      <c r="IU30" s="98"/>
      <c r="IV30" s="99"/>
      <c r="IW30" s="100"/>
      <c r="IX30" s="77"/>
      <c r="IY30" s="78"/>
      <c r="IZ30" s="78"/>
      <c r="JA30" s="79"/>
      <c r="JB30" s="67"/>
      <c r="JD30" s="98"/>
      <c r="JE30" s="99"/>
      <c r="JF30" s="100"/>
      <c r="JG30" s="77"/>
      <c r="JH30" s="78"/>
      <c r="JI30" s="78"/>
      <c r="JJ30" s="79"/>
      <c r="JK30" s="67"/>
      <c r="JM30" s="98"/>
      <c r="JN30" s="99"/>
      <c r="JO30" s="275"/>
      <c r="JP30" s="77"/>
      <c r="JQ30" s="78"/>
      <c r="JR30" s="78"/>
      <c r="JS30" s="79"/>
      <c r="JT30" s="67"/>
      <c r="JV30" s="98"/>
      <c r="JW30" s="99"/>
      <c r="JX30" s="100"/>
      <c r="JY30" s="77"/>
      <c r="JZ30" s="78"/>
      <c r="KA30" s="78"/>
      <c r="KB30" s="79"/>
      <c r="KC30" s="67"/>
      <c r="KE30" s="98"/>
      <c r="KF30" s="99"/>
      <c r="KG30" s="100"/>
      <c r="KH30" s="77"/>
      <c r="KI30" s="78"/>
      <c r="KJ30" s="78"/>
      <c r="KK30" s="79"/>
      <c r="KL30" s="67"/>
      <c r="KN30" s="68"/>
      <c r="KO30" s="69"/>
      <c r="KP30" s="70"/>
      <c r="KQ30" s="77"/>
      <c r="KR30" s="78"/>
      <c r="KS30" s="78"/>
      <c r="KT30" s="79"/>
      <c r="KU30" s="67"/>
      <c r="KW30" s="98"/>
      <c r="KX30" s="99"/>
      <c r="KY30" s="100"/>
      <c r="KZ30" s="77"/>
      <c r="LA30" s="78"/>
      <c r="LB30" s="78"/>
      <c r="LC30" s="79"/>
      <c r="LD30" s="67"/>
      <c r="LF30" s="71"/>
      <c r="LG30" s="72"/>
      <c r="LH30" s="73"/>
      <c r="LI30" s="77"/>
      <c r="LJ30" s="78"/>
      <c r="LK30" s="78"/>
      <c r="LL30" s="79"/>
      <c r="LM30" s="67"/>
      <c r="LO30" s="98"/>
      <c r="LP30" s="99"/>
      <c r="LQ30" s="329"/>
      <c r="LR30" s="77"/>
      <c r="LS30" s="78"/>
      <c r="LT30" s="78"/>
      <c r="LU30" s="79"/>
      <c r="LV30" s="67"/>
      <c r="LX30" s="98"/>
      <c r="LY30" s="99"/>
      <c r="LZ30" s="100"/>
      <c r="MA30" s="77"/>
      <c r="MB30" s="78"/>
      <c r="MC30" s="78"/>
      <c r="MD30" s="79"/>
      <c r="ME30" s="67"/>
      <c r="MG30" s="98"/>
      <c r="MH30" s="99"/>
      <c r="MI30" s="100"/>
      <c r="MJ30" s="77"/>
      <c r="MK30" s="78"/>
      <c r="ML30" s="78"/>
      <c r="MM30" s="79"/>
      <c r="MN30" s="67"/>
      <c r="MP30" s="98"/>
      <c r="MQ30" s="99"/>
      <c r="MR30" s="100"/>
      <c r="MS30" s="77"/>
      <c r="MT30" s="78"/>
      <c r="MU30" s="78"/>
      <c r="MV30" s="79"/>
      <c r="MW30" s="67"/>
      <c r="MY30" s="98"/>
      <c r="MZ30" s="99"/>
      <c r="NA30" s="100"/>
      <c r="NB30" s="77"/>
      <c r="NC30" s="78"/>
      <c r="ND30" s="78"/>
      <c r="NE30" s="79"/>
      <c r="NF30" s="67"/>
      <c r="NH30" s="98"/>
      <c r="NI30" s="99"/>
      <c r="NJ30" s="329"/>
      <c r="NK30" s="77"/>
      <c r="NL30" s="78"/>
      <c r="NM30" s="78"/>
      <c r="NN30" s="79"/>
      <c r="NO30" s="67"/>
      <c r="NQ30" s="98"/>
      <c r="NR30" s="99"/>
      <c r="NS30" s="100"/>
      <c r="NT30" s="77"/>
      <c r="NU30" s="78"/>
      <c r="NV30" s="78"/>
      <c r="NW30" s="79"/>
      <c r="NX30" s="67"/>
      <c r="NZ30" s="71"/>
      <c r="OA30" s="72"/>
      <c r="OB30" s="73"/>
      <c r="OC30" s="77"/>
      <c r="OD30" s="78"/>
      <c r="OE30" s="78"/>
      <c r="OF30" s="79"/>
      <c r="OG30" s="67"/>
      <c r="OI30" s="98"/>
      <c r="OJ30" s="99"/>
      <c r="OK30" s="329"/>
      <c r="OL30" s="77"/>
      <c r="OM30" s="78"/>
      <c r="ON30" s="78"/>
      <c r="OO30" s="79"/>
      <c r="OP30" s="67"/>
      <c r="OR30" s="71"/>
      <c r="OS30" s="72"/>
      <c r="OT30" s="73"/>
      <c r="OU30" s="77"/>
      <c r="OV30" s="78"/>
      <c r="OW30" s="78"/>
      <c r="OX30" s="79"/>
      <c r="OY30" s="67"/>
      <c r="PA30" s="98"/>
      <c r="PB30" s="99"/>
      <c r="PC30" s="100"/>
      <c r="PD30" s="77"/>
      <c r="PE30" s="78"/>
      <c r="PF30" s="78"/>
      <c r="PG30" s="79"/>
      <c r="PH30" s="67"/>
      <c r="PJ30" s="277"/>
      <c r="PK30" s="278"/>
      <c r="PL30" s="279"/>
      <c r="PM30" s="125"/>
      <c r="PN30" s="126"/>
      <c r="PO30" s="126"/>
      <c r="PP30" s="127"/>
      <c r="PQ30" s="128"/>
      <c r="PS30" s="403"/>
      <c r="PT30" s="404"/>
      <c r="PU30" s="405"/>
      <c r="PV30" s="330"/>
      <c r="PW30" s="331"/>
      <c r="PX30" s="331"/>
      <c r="PY30" s="332"/>
      <c r="PZ30" s="333"/>
      <c r="QB30" s="412"/>
      <c r="QC30" s="413"/>
      <c r="QD30" s="414"/>
      <c r="QE30" s="125"/>
      <c r="QF30" s="126"/>
      <c r="QG30" s="126"/>
      <c r="QH30" s="127"/>
      <c r="QI30" s="128"/>
      <c r="QK30" s="283"/>
      <c r="QL30" s="284"/>
      <c r="QM30" s="285"/>
      <c r="QN30" s="125"/>
      <c r="QO30" s="126"/>
      <c r="QP30" s="126"/>
      <c r="QQ30" s="127"/>
      <c r="QR30" s="128" t="str">
        <f>IF(QM30="","",'Name List'!$I$4)</f>
        <v/>
      </c>
      <c r="QS30" s="91"/>
      <c r="QT30" s="107">
        <f t="shared" si="50"/>
        <v>0</v>
      </c>
      <c r="QU30" s="130">
        <f t="shared" si="51"/>
        <v>0</v>
      </c>
      <c r="QV30" s="130">
        <f t="shared" si="52"/>
        <v>4</v>
      </c>
      <c r="QW30" s="108">
        <f t="shared" si="53"/>
        <v>13</v>
      </c>
      <c r="QY30" s="260">
        <f t="shared" si="54"/>
        <v>1</v>
      </c>
      <c r="RA30" s="141">
        <f t="shared" si="55"/>
        <v>9</v>
      </c>
      <c r="RB30" s="106">
        <f t="shared" si="56"/>
        <v>0</v>
      </c>
      <c r="RC30" s="106">
        <f t="shared" si="57"/>
        <v>9</v>
      </c>
      <c r="RD30" s="106">
        <f t="shared" si="58"/>
        <v>9</v>
      </c>
      <c r="RE30" s="106">
        <f t="shared" si="59"/>
        <v>0</v>
      </c>
      <c r="RF30" s="142">
        <f t="shared" si="60"/>
        <v>9</v>
      </c>
      <c r="RG30" s="106"/>
      <c r="RH30" s="139">
        <f t="shared" si="61"/>
        <v>0</v>
      </c>
      <c r="RI30" s="140">
        <f t="shared" si="62"/>
        <v>0</v>
      </c>
      <c r="RJ30" s="106"/>
      <c r="RK30" s="136">
        <f t="shared" si="63"/>
        <v>9</v>
      </c>
      <c r="RL30" s="106"/>
      <c r="RM30" s="137">
        <f t="shared" si="64"/>
        <v>0</v>
      </c>
      <c r="RN30" s="138">
        <f t="shared" si="65"/>
        <v>0</v>
      </c>
      <c r="RO30" s="106"/>
      <c r="RP30" s="259">
        <f t="shared" si="66"/>
        <v>0</v>
      </c>
    </row>
    <row r="31" spans="1:484" x14ac:dyDescent="0.2">
      <c r="A31" s="89" t="str">
        <f>'Name List'!B31</f>
        <v>Anthony Harris</v>
      </c>
      <c r="C31" s="98"/>
      <c r="D31" s="99"/>
      <c r="E31" s="329" t="str">
        <f t="shared" si="0"/>
        <v/>
      </c>
      <c r="F31" s="77"/>
      <c r="G31" s="78"/>
      <c r="H31" s="78"/>
      <c r="I31" s="79"/>
      <c r="J31" s="333" t="str">
        <f>IF(E31="","",'Name List'!$I$4)</f>
        <v/>
      </c>
      <c r="L31" s="98"/>
      <c r="M31" s="99"/>
      <c r="N31" s="100"/>
      <c r="O31" s="77"/>
      <c r="P31" s="78"/>
      <c r="Q31" s="78"/>
      <c r="R31" s="79"/>
      <c r="S31" s="67"/>
      <c r="U31" s="71"/>
      <c r="V31" s="72"/>
      <c r="W31" s="396" t="str">
        <f t="shared" si="2"/>
        <v/>
      </c>
      <c r="X31" s="77"/>
      <c r="Y31" s="78"/>
      <c r="Z31" s="78"/>
      <c r="AA31" s="79"/>
      <c r="AB31" s="333" t="str">
        <f>IF(W31="","",'Name List'!$I$4)</f>
        <v/>
      </c>
      <c r="AD31" s="98">
        <v>18</v>
      </c>
      <c r="AE31" s="99">
        <v>13</v>
      </c>
      <c r="AF31" s="329">
        <f t="shared" si="3"/>
        <v>31</v>
      </c>
      <c r="AG31" s="77">
        <v>0</v>
      </c>
      <c r="AH31" s="78">
        <v>1</v>
      </c>
      <c r="AI31" s="78">
        <v>5</v>
      </c>
      <c r="AJ31" s="79">
        <v>3</v>
      </c>
      <c r="AK31" s="333">
        <f>IF(AF31="","",'Name List'!$I$4)</f>
        <v>5</v>
      </c>
      <c r="AM31" s="98">
        <v>17</v>
      </c>
      <c r="AN31" s="99">
        <v>16</v>
      </c>
      <c r="AO31" s="329">
        <f t="shared" si="4"/>
        <v>33</v>
      </c>
      <c r="AP31" s="77">
        <v>0</v>
      </c>
      <c r="AQ31" s="78">
        <v>0</v>
      </c>
      <c r="AR31" s="78">
        <v>9</v>
      </c>
      <c r="AS31" s="79">
        <v>3</v>
      </c>
      <c r="AT31" s="333">
        <f>IF(AO31="","",'Name List'!$I$4)</f>
        <v>5</v>
      </c>
      <c r="AV31" s="458"/>
      <c r="AW31" s="401"/>
      <c r="AX31" s="400" t="str">
        <f t="shared" si="5"/>
        <v/>
      </c>
      <c r="AY31" s="77"/>
      <c r="AZ31" s="78"/>
      <c r="BA31" s="78"/>
      <c r="BB31" s="79"/>
      <c r="BC31" s="457" t="str">
        <f>IF(AX31="","",'Name List'!$I$4)</f>
        <v/>
      </c>
      <c r="BE31" s="71"/>
      <c r="BF31" s="72"/>
      <c r="BG31" s="383" t="str">
        <f t="shared" si="6"/>
        <v/>
      </c>
      <c r="BH31" s="77"/>
      <c r="BI31" s="78"/>
      <c r="BJ31" s="78"/>
      <c r="BK31" s="79"/>
      <c r="BL31" s="333" t="str">
        <f>IF(BG31="","",'Name List'!$I$4)</f>
        <v/>
      </c>
      <c r="BN31" s="98"/>
      <c r="BO31" s="99"/>
      <c r="BP31" s="100"/>
      <c r="BQ31" s="77"/>
      <c r="BR31" s="78"/>
      <c r="BS31" s="78"/>
      <c r="BT31" s="79"/>
      <c r="BU31" s="67"/>
      <c r="BW31" s="98"/>
      <c r="BX31" s="99"/>
      <c r="BY31" s="329" t="str">
        <f t="shared" si="8"/>
        <v/>
      </c>
      <c r="BZ31" s="77"/>
      <c r="CA31" s="78"/>
      <c r="CB31" s="78"/>
      <c r="CC31" s="79"/>
      <c r="CD31" s="333" t="str">
        <f>IF(BY31="","",'Name List'!$I$4)</f>
        <v/>
      </c>
      <c r="CF31" s="68">
        <v>17</v>
      </c>
      <c r="CG31" s="69">
        <v>15</v>
      </c>
      <c r="CH31" s="282">
        <f t="shared" si="49"/>
        <v>32</v>
      </c>
      <c r="CI31" s="77">
        <v>0</v>
      </c>
      <c r="CJ31" s="78">
        <v>0</v>
      </c>
      <c r="CK31" s="78">
        <v>5</v>
      </c>
      <c r="CL31" s="79">
        <v>0</v>
      </c>
      <c r="CM31" s="333">
        <f>IF(CH31="","",'Name List'!$I$4)</f>
        <v>5</v>
      </c>
      <c r="CO31" s="71"/>
      <c r="CP31" s="72"/>
      <c r="CQ31" s="383" t="str">
        <f t="shared" si="9"/>
        <v/>
      </c>
      <c r="CR31" s="77"/>
      <c r="CS31" s="78"/>
      <c r="CT31" s="78"/>
      <c r="CU31" s="79"/>
      <c r="CV31" s="333" t="str">
        <f>IF(CQ31="","",'Name List'!$I$4)</f>
        <v/>
      </c>
      <c r="CX31" s="98">
        <v>17</v>
      </c>
      <c r="CY31" s="99">
        <v>20</v>
      </c>
      <c r="CZ31" s="329">
        <f t="shared" si="10"/>
        <v>37</v>
      </c>
      <c r="DA31" s="77">
        <v>0</v>
      </c>
      <c r="DB31" s="78">
        <v>1</v>
      </c>
      <c r="DC31" s="78">
        <v>8</v>
      </c>
      <c r="DD31" s="79">
        <v>2</v>
      </c>
      <c r="DE31" s="333">
        <f>IF(CZ31="","",'Name List'!$I$4)</f>
        <v>5</v>
      </c>
      <c r="DG31" s="98">
        <v>17</v>
      </c>
      <c r="DH31" s="99">
        <v>17</v>
      </c>
      <c r="DI31" s="329">
        <f t="shared" si="11"/>
        <v>34</v>
      </c>
      <c r="DJ31" s="77">
        <v>0</v>
      </c>
      <c r="DK31" s="78">
        <v>2</v>
      </c>
      <c r="DL31" s="78">
        <v>5</v>
      </c>
      <c r="DM31" s="79">
        <v>2</v>
      </c>
      <c r="DN31" s="333">
        <f>IF(DI31="","",'Name List'!$I$4)</f>
        <v>5</v>
      </c>
      <c r="DP31" s="98"/>
      <c r="DQ31" s="99"/>
      <c r="DR31" s="329" t="str">
        <f t="shared" si="12"/>
        <v/>
      </c>
      <c r="DS31" s="77"/>
      <c r="DT31" s="78"/>
      <c r="DU31" s="78"/>
      <c r="DV31" s="79"/>
      <c r="DW31" s="333" t="str">
        <f>IF(DR31="","",'Name List'!$I$4)</f>
        <v/>
      </c>
      <c r="DY31" s="98"/>
      <c r="DZ31" s="99"/>
      <c r="EA31" s="329" t="str">
        <f t="shared" si="13"/>
        <v/>
      </c>
      <c r="EB31" s="77"/>
      <c r="EC31" s="78"/>
      <c r="ED31" s="78"/>
      <c r="EE31" s="79"/>
      <c r="EF31" s="333" t="str">
        <f>IF(EA31="","",'Name List'!$I$4)</f>
        <v/>
      </c>
      <c r="EH31" s="98"/>
      <c r="EI31" s="99"/>
      <c r="EJ31" s="329" t="str">
        <f t="shared" si="14"/>
        <v/>
      </c>
      <c r="EK31" s="77"/>
      <c r="EL31" s="78"/>
      <c r="EM31" s="78"/>
      <c r="EN31" s="79"/>
      <c r="EO31" s="333" t="str">
        <f>IF(EJ31="","",'Name List'!$I$4)</f>
        <v/>
      </c>
      <c r="EQ31" s="115"/>
      <c r="ER31" s="116"/>
      <c r="ES31" s="117">
        <v>95</v>
      </c>
      <c r="ET31" s="77">
        <v>0</v>
      </c>
      <c r="EU31" s="78">
        <v>0</v>
      </c>
      <c r="EV31" s="78">
        <v>5</v>
      </c>
      <c r="EW31" s="79"/>
      <c r="EX31" s="333">
        <f>IF(ES31="","",'Name List'!$I$4)</f>
        <v>5</v>
      </c>
      <c r="EZ31" s="68"/>
      <c r="FA31" s="69"/>
      <c r="FB31" s="70"/>
      <c r="FC31" s="77"/>
      <c r="FD31" s="78"/>
      <c r="FE31" s="78"/>
      <c r="FF31" s="79"/>
      <c r="FG31" s="67"/>
      <c r="FI31" s="98"/>
      <c r="FJ31" s="99"/>
      <c r="FK31" s="329" t="str">
        <f t="shared" si="16"/>
        <v/>
      </c>
      <c r="FL31" s="77"/>
      <c r="FM31" s="78"/>
      <c r="FN31" s="78"/>
      <c r="FO31" s="79"/>
      <c r="FP31" s="333" t="str">
        <f>IF(FK31="","",'Name List'!$I$4)</f>
        <v/>
      </c>
      <c r="FR31" s="98"/>
      <c r="FS31" s="99"/>
      <c r="FT31" s="329" t="str">
        <f t="shared" si="17"/>
        <v/>
      </c>
      <c r="FU31" s="77"/>
      <c r="FV31" s="78"/>
      <c r="FW31" s="78"/>
      <c r="FX31" s="79"/>
      <c r="FY31" s="333" t="str">
        <f>IF(FT31="","",'Name List'!$I$4)</f>
        <v/>
      </c>
      <c r="GA31" s="98"/>
      <c r="GB31" s="99"/>
      <c r="GC31" s="329" t="str">
        <f t="shared" si="18"/>
        <v/>
      </c>
      <c r="GD31" s="77"/>
      <c r="GE31" s="78"/>
      <c r="GF31" s="78"/>
      <c r="GG31" s="79"/>
      <c r="GH31" s="333" t="str">
        <f>IF(GC31="","",'Name List'!$I$4)</f>
        <v/>
      </c>
      <c r="GJ31" s="98">
        <v>17</v>
      </c>
      <c r="GK31" s="99">
        <v>18</v>
      </c>
      <c r="GL31" s="329">
        <f t="shared" si="19"/>
        <v>35</v>
      </c>
      <c r="GM31" s="77">
        <v>0</v>
      </c>
      <c r="GN31" s="78">
        <v>0</v>
      </c>
      <c r="GO31" s="78">
        <v>8</v>
      </c>
      <c r="GP31" s="79">
        <v>1</v>
      </c>
      <c r="GQ31" s="333">
        <f>IF(GL31="","",'Name List'!$I$4)</f>
        <v>5</v>
      </c>
      <c r="GS31" s="68"/>
      <c r="GT31" s="69"/>
      <c r="GU31" s="70"/>
      <c r="GV31" s="77"/>
      <c r="GW31" s="78"/>
      <c r="GX31" s="78"/>
      <c r="GY31" s="79"/>
      <c r="GZ31" s="67"/>
      <c r="HB31" s="98"/>
      <c r="HC31" s="99"/>
      <c r="HD31" s="329" t="str">
        <f t="shared" si="21"/>
        <v/>
      </c>
      <c r="HE31" s="77"/>
      <c r="HF31" s="78"/>
      <c r="HG31" s="78"/>
      <c r="HH31" s="79"/>
      <c r="HI31" s="333" t="str">
        <f>IF(HD31="","",'Name List'!$I$4)</f>
        <v/>
      </c>
      <c r="HK31" s="71">
        <v>20</v>
      </c>
      <c r="HL31" s="72">
        <v>18</v>
      </c>
      <c r="HM31" s="383">
        <f t="shared" si="22"/>
        <v>38</v>
      </c>
      <c r="HN31" s="77">
        <v>0</v>
      </c>
      <c r="HO31" s="78">
        <v>0</v>
      </c>
      <c r="HP31" s="78">
        <v>10</v>
      </c>
      <c r="HQ31" s="79">
        <v>0</v>
      </c>
      <c r="HR31" s="333">
        <f>IF(HM31="","",'Name List'!$I$4)</f>
        <v>5</v>
      </c>
      <c r="HT31" s="68"/>
      <c r="HU31" s="69"/>
      <c r="HV31" s="70"/>
      <c r="HW31" s="77"/>
      <c r="HX31" s="78"/>
      <c r="HY31" s="78"/>
      <c r="HZ31" s="79"/>
      <c r="IA31" s="67"/>
      <c r="IC31" s="115"/>
      <c r="ID31" s="116"/>
      <c r="IE31" s="117"/>
      <c r="IF31" s="77"/>
      <c r="IG31" s="78"/>
      <c r="IH31" s="78"/>
      <c r="II31" s="79"/>
      <c r="IJ31" s="333" t="str">
        <f>IF(IE31="","",'Name List'!$I$4)</f>
        <v/>
      </c>
      <c r="IL31" s="98"/>
      <c r="IM31" s="99"/>
      <c r="IN31" s="100"/>
      <c r="IO31" s="77"/>
      <c r="IP31" s="78"/>
      <c r="IQ31" s="78"/>
      <c r="IR31" s="79"/>
      <c r="IS31" s="67"/>
      <c r="IU31" s="98"/>
      <c r="IV31" s="99"/>
      <c r="IW31" s="100"/>
      <c r="IX31" s="77"/>
      <c r="IY31" s="78"/>
      <c r="IZ31" s="78"/>
      <c r="JA31" s="79"/>
      <c r="JB31" s="67"/>
      <c r="JD31" s="98"/>
      <c r="JE31" s="99"/>
      <c r="JF31" s="100"/>
      <c r="JG31" s="77"/>
      <c r="JH31" s="78"/>
      <c r="JI31" s="78"/>
      <c r="JJ31" s="79"/>
      <c r="JK31" s="67"/>
      <c r="JM31" s="98"/>
      <c r="JN31" s="99"/>
      <c r="JO31" s="275"/>
      <c r="JP31" s="77"/>
      <c r="JQ31" s="78"/>
      <c r="JR31" s="78"/>
      <c r="JS31" s="79"/>
      <c r="JT31" s="67"/>
      <c r="JV31" s="98"/>
      <c r="JW31" s="99"/>
      <c r="JX31" s="100"/>
      <c r="JY31" s="77"/>
      <c r="JZ31" s="78"/>
      <c r="KA31" s="78"/>
      <c r="KB31" s="79"/>
      <c r="KC31" s="67"/>
      <c r="KE31" s="98"/>
      <c r="KF31" s="99"/>
      <c r="KG31" s="100"/>
      <c r="KH31" s="77"/>
      <c r="KI31" s="78"/>
      <c r="KJ31" s="78"/>
      <c r="KK31" s="79"/>
      <c r="KL31" s="67"/>
      <c r="KN31" s="68"/>
      <c r="KO31" s="69"/>
      <c r="KP31" s="70"/>
      <c r="KQ31" s="77"/>
      <c r="KR31" s="78"/>
      <c r="KS31" s="78"/>
      <c r="KT31" s="79"/>
      <c r="KU31" s="67"/>
      <c r="KW31" s="98"/>
      <c r="KX31" s="99"/>
      <c r="KY31" s="100"/>
      <c r="KZ31" s="77"/>
      <c r="LA31" s="78"/>
      <c r="LB31" s="78"/>
      <c r="LC31" s="79"/>
      <c r="LD31" s="67"/>
      <c r="LF31" s="71"/>
      <c r="LG31" s="72"/>
      <c r="LH31" s="73"/>
      <c r="LI31" s="77"/>
      <c r="LJ31" s="78"/>
      <c r="LK31" s="78"/>
      <c r="LL31" s="79"/>
      <c r="LM31" s="67"/>
      <c r="LO31" s="98"/>
      <c r="LP31" s="99"/>
      <c r="LQ31" s="329"/>
      <c r="LR31" s="77"/>
      <c r="LS31" s="78"/>
      <c r="LT31" s="78"/>
      <c r="LU31" s="79"/>
      <c r="LV31" s="67"/>
      <c r="LX31" s="98"/>
      <c r="LY31" s="99"/>
      <c r="LZ31" s="100"/>
      <c r="MA31" s="77"/>
      <c r="MB31" s="78"/>
      <c r="MC31" s="78"/>
      <c r="MD31" s="79"/>
      <c r="ME31" s="67"/>
      <c r="MG31" s="98"/>
      <c r="MH31" s="99"/>
      <c r="MI31" s="100"/>
      <c r="MJ31" s="77"/>
      <c r="MK31" s="78"/>
      <c r="ML31" s="78"/>
      <c r="MM31" s="79"/>
      <c r="MN31" s="67"/>
      <c r="MP31" s="98"/>
      <c r="MQ31" s="99"/>
      <c r="MR31" s="100"/>
      <c r="MS31" s="77"/>
      <c r="MT31" s="78"/>
      <c r="MU31" s="78"/>
      <c r="MV31" s="79"/>
      <c r="MW31" s="67"/>
      <c r="MY31" s="98"/>
      <c r="MZ31" s="99"/>
      <c r="NA31" s="100"/>
      <c r="NB31" s="77"/>
      <c r="NC31" s="78"/>
      <c r="ND31" s="78"/>
      <c r="NE31" s="79"/>
      <c r="NF31" s="67"/>
      <c r="NH31" s="98"/>
      <c r="NI31" s="99"/>
      <c r="NJ31" s="329"/>
      <c r="NK31" s="77"/>
      <c r="NL31" s="78"/>
      <c r="NM31" s="78"/>
      <c r="NN31" s="79"/>
      <c r="NO31" s="67"/>
      <c r="NQ31" s="98"/>
      <c r="NR31" s="99"/>
      <c r="NS31" s="100"/>
      <c r="NT31" s="77"/>
      <c r="NU31" s="78"/>
      <c r="NV31" s="78"/>
      <c r="NW31" s="79"/>
      <c r="NX31" s="67"/>
      <c r="NZ31" s="71"/>
      <c r="OA31" s="72"/>
      <c r="OB31" s="73"/>
      <c r="OC31" s="77"/>
      <c r="OD31" s="78"/>
      <c r="OE31" s="78"/>
      <c r="OF31" s="79"/>
      <c r="OG31" s="67"/>
      <c r="OI31" s="98"/>
      <c r="OJ31" s="99"/>
      <c r="OK31" s="329"/>
      <c r="OL31" s="77"/>
      <c r="OM31" s="78"/>
      <c r="ON31" s="78"/>
      <c r="OO31" s="79"/>
      <c r="OP31" s="67"/>
      <c r="OR31" s="71"/>
      <c r="OS31" s="72"/>
      <c r="OT31" s="73"/>
      <c r="OU31" s="77"/>
      <c r="OV31" s="78"/>
      <c r="OW31" s="78"/>
      <c r="OX31" s="79"/>
      <c r="OY31" s="67"/>
      <c r="PA31" s="98"/>
      <c r="PB31" s="99"/>
      <c r="PC31" s="100"/>
      <c r="PD31" s="77"/>
      <c r="PE31" s="78"/>
      <c r="PF31" s="78"/>
      <c r="PG31" s="79"/>
      <c r="PH31" s="67"/>
      <c r="PJ31" s="277"/>
      <c r="PK31" s="278"/>
      <c r="PL31" s="279"/>
      <c r="PM31" s="125"/>
      <c r="PN31" s="126"/>
      <c r="PO31" s="126"/>
      <c r="PP31" s="127"/>
      <c r="PQ31" s="128"/>
      <c r="PS31" s="403"/>
      <c r="PT31" s="404"/>
      <c r="PU31" s="405"/>
      <c r="PV31" s="330"/>
      <c r="PW31" s="331"/>
      <c r="PX31" s="331"/>
      <c r="PY31" s="332"/>
      <c r="PZ31" s="333"/>
      <c r="QB31" s="412"/>
      <c r="QC31" s="413"/>
      <c r="QD31" s="414"/>
      <c r="QE31" s="125"/>
      <c r="QF31" s="126"/>
      <c r="QG31" s="126"/>
      <c r="QH31" s="127"/>
      <c r="QI31" s="128"/>
      <c r="QK31" s="283"/>
      <c r="QL31" s="284"/>
      <c r="QM31" s="285"/>
      <c r="QN31" s="125"/>
      <c r="QO31" s="126"/>
      <c r="QP31" s="126"/>
      <c r="QQ31" s="127"/>
      <c r="QR31" s="128" t="str">
        <f>IF(QM31="","",'Name List'!$I$4)</f>
        <v/>
      </c>
      <c r="QS31" s="91"/>
      <c r="QT31" s="107">
        <f t="shared" si="50"/>
        <v>0</v>
      </c>
      <c r="QU31" s="130">
        <f t="shared" si="51"/>
        <v>4</v>
      </c>
      <c r="QV31" s="130">
        <f t="shared" si="52"/>
        <v>55</v>
      </c>
      <c r="QW31" s="108">
        <f t="shared" si="53"/>
        <v>11</v>
      </c>
      <c r="QY31" s="260">
        <f t="shared" si="54"/>
        <v>7</v>
      </c>
      <c r="RA31" s="141">
        <f t="shared" si="55"/>
        <v>20</v>
      </c>
      <c r="RB31" s="106">
        <f t="shared" si="56"/>
        <v>20</v>
      </c>
      <c r="RC31" s="106">
        <f t="shared" si="57"/>
        <v>38</v>
      </c>
      <c r="RD31" s="106">
        <f t="shared" si="58"/>
        <v>17</v>
      </c>
      <c r="RE31" s="106">
        <f t="shared" si="59"/>
        <v>13</v>
      </c>
      <c r="RF31" s="142">
        <f t="shared" si="60"/>
        <v>31</v>
      </c>
      <c r="RG31" s="106"/>
      <c r="RH31" s="139">
        <f t="shared" si="61"/>
        <v>0</v>
      </c>
      <c r="RI31" s="140">
        <f t="shared" si="62"/>
        <v>0</v>
      </c>
      <c r="RJ31" s="106"/>
      <c r="RK31" s="136">
        <f t="shared" si="63"/>
        <v>34.285714285714285</v>
      </c>
      <c r="RL31" s="106"/>
      <c r="RM31" s="137">
        <f t="shared" si="64"/>
        <v>95</v>
      </c>
      <c r="RN31" s="138">
        <f t="shared" si="65"/>
        <v>95</v>
      </c>
      <c r="RO31" s="106"/>
      <c r="RP31" s="259">
        <f t="shared" si="66"/>
        <v>1</v>
      </c>
    </row>
    <row r="32" spans="1:484" x14ac:dyDescent="0.2">
      <c r="A32" s="89" t="str">
        <f>'Name List'!B32</f>
        <v>Neil Hart</v>
      </c>
      <c r="C32" s="98"/>
      <c r="D32" s="99"/>
      <c r="E32" s="329" t="str">
        <f t="shared" si="0"/>
        <v/>
      </c>
      <c r="F32" s="77"/>
      <c r="G32" s="78"/>
      <c r="H32" s="78"/>
      <c r="I32" s="79"/>
      <c r="J32" s="333" t="str">
        <f>IF(E32="","",'Name List'!$I$4)</f>
        <v/>
      </c>
      <c r="L32" s="98"/>
      <c r="M32" s="99"/>
      <c r="N32" s="100"/>
      <c r="O32" s="77"/>
      <c r="P32" s="78"/>
      <c r="Q32" s="78"/>
      <c r="R32" s="79"/>
      <c r="S32" s="67"/>
      <c r="U32" s="71"/>
      <c r="V32" s="72"/>
      <c r="W32" s="396" t="str">
        <f t="shared" si="2"/>
        <v/>
      </c>
      <c r="X32" s="77"/>
      <c r="Y32" s="78"/>
      <c r="Z32" s="78"/>
      <c r="AA32" s="79"/>
      <c r="AB32" s="333" t="str">
        <f>IF(W32="","",'Name List'!$I$4)</f>
        <v/>
      </c>
      <c r="AD32" s="98"/>
      <c r="AE32" s="99"/>
      <c r="AF32" s="329" t="str">
        <f t="shared" si="3"/>
        <v/>
      </c>
      <c r="AG32" s="77"/>
      <c r="AH32" s="78"/>
      <c r="AI32" s="78"/>
      <c r="AJ32" s="79"/>
      <c r="AK32" s="333" t="str">
        <f>IF(AF32="","",'Name List'!$I$4)</f>
        <v/>
      </c>
      <c r="AM32" s="98">
        <v>15</v>
      </c>
      <c r="AN32" s="99">
        <v>20</v>
      </c>
      <c r="AO32" s="329">
        <f t="shared" si="4"/>
        <v>35</v>
      </c>
      <c r="AP32" s="77">
        <v>0</v>
      </c>
      <c r="AQ32" s="78">
        <v>2</v>
      </c>
      <c r="AR32" s="78">
        <v>11</v>
      </c>
      <c r="AS32" s="79">
        <v>0</v>
      </c>
      <c r="AT32" s="333">
        <f>IF(AO32="","",'Name List'!$I$4)</f>
        <v>5</v>
      </c>
      <c r="AV32" s="458">
        <v>11</v>
      </c>
      <c r="AW32" s="401">
        <v>18</v>
      </c>
      <c r="AX32" s="400">
        <f t="shared" si="5"/>
        <v>29</v>
      </c>
      <c r="AY32" s="77">
        <v>0</v>
      </c>
      <c r="AZ32" s="78">
        <v>3</v>
      </c>
      <c r="BA32" s="78">
        <v>7</v>
      </c>
      <c r="BB32" s="79">
        <v>3</v>
      </c>
      <c r="BC32" s="457">
        <f>IF(AX32="","",'Name List'!$I$4)</f>
        <v>5</v>
      </c>
      <c r="BE32" s="71">
        <v>15</v>
      </c>
      <c r="BF32" s="72">
        <v>20</v>
      </c>
      <c r="BG32" s="383">
        <f t="shared" si="6"/>
        <v>35</v>
      </c>
      <c r="BH32" s="77">
        <v>0</v>
      </c>
      <c r="BI32" s="78">
        <v>2</v>
      </c>
      <c r="BJ32" s="78">
        <v>10</v>
      </c>
      <c r="BK32" s="79">
        <v>0</v>
      </c>
      <c r="BL32" s="333">
        <f>IF(BG32="","",'Name List'!$I$4)</f>
        <v>5</v>
      </c>
      <c r="BN32" s="98"/>
      <c r="BO32" s="99"/>
      <c r="BP32" s="100"/>
      <c r="BQ32" s="77"/>
      <c r="BR32" s="78"/>
      <c r="BS32" s="78"/>
      <c r="BT32" s="79"/>
      <c r="BU32" s="67"/>
      <c r="BW32" s="98"/>
      <c r="BX32" s="99"/>
      <c r="BY32" s="329" t="str">
        <f t="shared" si="8"/>
        <v/>
      </c>
      <c r="BZ32" s="77"/>
      <c r="CA32" s="78"/>
      <c r="CB32" s="78"/>
      <c r="CC32" s="79"/>
      <c r="CD32" s="333" t="str">
        <f>IF(BY32="","",'Name List'!$I$4)</f>
        <v/>
      </c>
      <c r="CF32" s="68"/>
      <c r="CG32" s="69"/>
      <c r="CH32" s="282" t="str">
        <f t="shared" si="49"/>
        <v/>
      </c>
      <c r="CI32" s="77"/>
      <c r="CJ32" s="78"/>
      <c r="CK32" s="78"/>
      <c r="CL32" s="79"/>
      <c r="CM32" s="333" t="str">
        <f>IF(CH32="","",'Name List'!$I$4)</f>
        <v/>
      </c>
      <c r="CO32" s="71"/>
      <c r="CP32" s="72"/>
      <c r="CQ32" s="383" t="str">
        <f t="shared" si="9"/>
        <v/>
      </c>
      <c r="CR32" s="77"/>
      <c r="CS32" s="78"/>
      <c r="CT32" s="78"/>
      <c r="CU32" s="79"/>
      <c r="CV32" s="333" t="str">
        <f>IF(CQ32="","",'Name List'!$I$4)</f>
        <v/>
      </c>
      <c r="CX32" s="98"/>
      <c r="CY32" s="99"/>
      <c r="CZ32" s="329" t="str">
        <f t="shared" si="10"/>
        <v/>
      </c>
      <c r="DA32" s="77"/>
      <c r="DB32" s="78"/>
      <c r="DC32" s="78"/>
      <c r="DD32" s="79"/>
      <c r="DE32" s="333" t="str">
        <f>IF(CZ32="","",'Name List'!$I$4)</f>
        <v/>
      </c>
      <c r="DG32" s="98"/>
      <c r="DH32" s="99"/>
      <c r="DI32" s="329" t="str">
        <f t="shared" si="11"/>
        <v/>
      </c>
      <c r="DJ32" s="77"/>
      <c r="DK32" s="78"/>
      <c r="DL32" s="78"/>
      <c r="DM32" s="79"/>
      <c r="DN32" s="333" t="str">
        <f>IF(DI32="","",'Name List'!$I$4)</f>
        <v/>
      </c>
      <c r="DP32" s="98">
        <v>15</v>
      </c>
      <c r="DQ32" s="99">
        <v>18</v>
      </c>
      <c r="DR32" s="329">
        <f t="shared" si="12"/>
        <v>33</v>
      </c>
      <c r="DS32" s="77">
        <v>0</v>
      </c>
      <c r="DT32" s="78">
        <v>2</v>
      </c>
      <c r="DU32" s="78">
        <v>9</v>
      </c>
      <c r="DV32" s="79">
        <v>0</v>
      </c>
      <c r="DW32" s="333">
        <f>IF(DR32="","",'Name List'!$I$4)</f>
        <v>5</v>
      </c>
      <c r="DY32" s="98"/>
      <c r="DZ32" s="99"/>
      <c r="EA32" s="329" t="str">
        <f t="shared" si="13"/>
        <v/>
      </c>
      <c r="EB32" s="77"/>
      <c r="EC32" s="78"/>
      <c r="ED32" s="78"/>
      <c r="EE32" s="79"/>
      <c r="EF32" s="333" t="str">
        <f>IF(EA32="","",'Name List'!$I$4)</f>
        <v/>
      </c>
      <c r="EH32" s="98"/>
      <c r="EI32" s="99"/>
      <c r="EJ32" s="329" t="str">
        <f t="shared" si="14"/>
        <v/>
      </c>
      <c r="EK32" s="77"/>
      <c r="EL32" s="78"/>
      <c r="EM32" s="78"/>
      <c r="EN32" s="79"/>
      <c r="EO32" s="333" t="str">
        <f>IF(EJ32="","",'Name List'!$I$4)</f>
        <v/>
      </c>
      <c r="EQ32" s="115"/>
      <c r="ER32" s="116"/>
      <c r="ES32" s="117"/>
      <c r="ET32" s="77"/>
      <c r="EU32" s="78"/>
      <c r="EV32" s="78"/>
      <c r="EW32" s="79"/>
      <c r="EX32" s="333" t="str">
        <f>IF(ES32="","",'Name List'!$I$4)</f>
        <v/>
      </c>
      <c r="EZ32" s="68"/>
      <c r="FA32" s="69"/>
      <c r="FB32" s="70"/>
      <c r="FC32" s="77"/>
      <c r="FD32" s="78"/>
      <c r="FE32" s="78"/>
      <c r="FF32" s="79"/>
      <c r="FG32" s="67"/>
      <c r="FI32" s="98"/>
      <c r="FJ32" s="99"/>
      <c r="FK32" s="329" t="str">
        <f t="shared" si="16"/>
        <v/>
      </c>
      <c r="FL32" s="77"/>
      <c r="FM32" s="78"/>
      <c r="FN32" s="78"/>
      <c r="FO32" s="79"/>
      <c r="FP32" s="333" t="str">
        <f>IF(FK32="","",'Name List'!$I$4)</f>
        <v/>
      </c>
      <c r="FR32" s="98"/>
      <c r="FS32" s="99"/>
      <c r="FT32" s="329" t="str">
        <f t="shared" si="17"/>
        <v/>
      </c>
      <c r="FU32" s="77"/>
      <c r="FV32" s="78"/>
      <c r="FW32" s="78"/>
      <c r="FX32" s="79"/>
      <c r="FY32" s="333" t="str">
        <f>IF(FT32="","",'Name List'!$I$4)</f>
        <v/>
      </c>
      <c r="GA32" s="98"/>
      <c r="GB32" s="99"/>
      <c r="GC32" s="329" t="str">
        <f t="shared" si="18"/>
        <v/>
      </c>
      <c r="GD32" s="77"/>
      <c r="GE32" s="78"/>
      <c r="GF32" s="78"/>
      <c r="GG32" s="79"/>
      <c r="GH32" s="333" t="str">
        <f>IF(GC32="","",'Name List'!$I$4)</f>
        <v/>
      </c>
      <c r="GJ32" s="98">
        <v>17</v>
      </c>
      <c r="GK32" s="99">
        <v>10</v>
      </c>
      <c r="GL32" s="329">
        <f t="shared" si="19"/>
        <v>27</v>
      </c>
      <c r="GM32" s="77">
        <v>0</v>
      </c>
      <c r="GN32" s="78">
        <v>1</v>
      </c>
      <c r="GO32" s="78">
        <v>7</v>
      </c>
      <c r="GP32" s="79">
        <v>1</v>
      </c>
      <c r="GQ32" s="333">
        <f>IF(GL32="","",'Name List'!$I$4)</f>
        <v>5</v>
      </c>
      <c r="GS32" s="68"/>
      <c r="GT32" s="69"/>
      <c r="GU32" s="70"/>
      <c r="GV32" s="77"/>
      <c r="GW32" s="78"/>
      <c r="GX32" s="78"/>
      <c r="GY32" s="79"/>
      <c r="GZ32" s="67"/>
      <c r="HB32" s="98">
        <v>19</v>
      </c>
      <c r="HC32" s="99">
        <v>16</v>
      </c>
      <c r="HD32" s="329">
        <f t="shared" si="21"/>
        <v>35</v>
      </c>
      <c r="HE32" s="77">
        <v>0</v>
      </c>
      <c r="HF32" s="78">
        <v>3</v>
      </c>
      <c r="HG32" s="78">
        <v>9</v>
      </c>
      <c r="HH32" s="79">
        <v>1</v>
      </c>
      <c r="HI32" s="333">
        <f>IF(HD32="","",'Name List'!$I$4)</f>
        <v>5</v>
      </c>
      <c r="HK32" s="71"/>
      <c r="HL32" s="72"/>
      <c r="HM32" s="383" t="str">
        <f t="shared" si="22"/>
        <v/>
      </c>
      <c r="HN32" s="77"/>
      <c r="HO32" s="78"/>
      <c r="HP32" s="78"/>
      <c r="HQ32" s="79"/>
      <c r="HR32" s="333" t="str">
        <f>IF(HM32="","",'Name List'!$I$4)</f>
        <v/>
      </c>
      <c r="HT32" s="68"/>
      <c r="HU32" s="69"/>
      <c r="HV32" s="70"/>
      <c r="HW32" s="77"/>
      <c r="HX32" s="78"/>
      <c r="HY32" s="78"/>
      <c r="HZ32" s="79"/>
      <c r="IA32" s="67"/>
      <c r="IC32" s="115"/>
      <c r="ID32" s="116"/>
      <c r="IE32" s="117"/>
      <c r="IF32" s="77"/>
      <c r="IG32" s="78"/>
      <c r="IH32" s="78"/>
      <c r="II32" s="79"/>
      <c r="IJ32" s="333" t="str">
        <f>IF(IE32="","",'Name List'!$I$4)</f>
        <v/>
      </c>
      <c r="IL32" s="98"/>
      <c r="IM32" s="99"/>
      <c r="IN32" s="100"/>
      <c r="IO32" s="77"/>
      <c r="IP32" s="78"/>
      <c r="IQ32" s="78"/>
      <c r="IR32" s="79"/>
      <c r="IS32" s="67"/>
      <c r="IU32" s="98"/>
      <c r="IV32" s="99"/>
      <c r="IW32" s="100"/>
      <c r="IX32" s="77"/>
      <c r="IY32" s="78"/>
      <c r="IZ32" s="78"/>
      <c r="JA32" s="79"/>
      <c r="JB32" s="67"/>
      <c r="JD32" s="98"/>
      <c r="JE32" s="99"/>
      <c r="JF32" s="100"/>
      <c r="JG32" s="77"/>
      <c r="JH32" s="78"/>
      <c r="JI32" s="78"/>
      <c r="JJ32" s="79"/>
      <c r="JK32" s="67"/>
      <c r="JM32" s="98"/>
      <c r="JN32" s="99"/>
      <c r="JO32" s="275"/>
      <c r="JP32" s="77"/>
      <c r="JQ32" s="78"/>
      <c r="JR32" s="78"/>
      <c r="JS32" s="79"/>
      <c r="JT32" s="67"/>
      <c r="JV32" s="98"/>
      <c r="JW32" s="99"/>
      <c r="JX32" s="100"/>
      <c r="JY32" s="77"/>
      <c r="JZ32" s="78"/>
      <c r="KA32" s="78"/>
      <c r="KB32" s="79"/>
      <c r="KC32" s="67"/>
      <c r="KE32" s="98"/>
      <c r="KF32" s="99"/>
      <c r="KG32" s="100"/>
      <c r="KH32" s="77"/>
      <c r="KI32" s="78"/>
      <c r="KJ32" s="78"/>
      <c r="KK32" s="79"/>
      <c r="KL32" s="67"/>
      <c r="KN32" s="68"/>
      <c r="KO32" s="69"/>
      <c r="KP32" s="70"/>
      <c r="KQ32" s="77"/>
      <c r="KR32" s="78"/>
      <c r="KS32" s="78"/>
      <c r="KT32" s="79"/>
      <c r="KU32" s="67"/>
      <c r="KW32" s="98"/>
      <c r="KX32" s="99"/>
      <c r="KY32" s="100"/>
      <c r="KZ32" s="77"/>
      <c r="LA32" s="78"/>
      <c r="LB32" s="78"/>
      <c r="LC32" s="79"/>
      <c r="LD32" s="67"/>
      <c r="LF32" s="71"/>
      <c r="LG32" s="72"/>
      <c r="LH32" s="73"/>
      <c r="LI32" s="77"/>
      <c r="LJ32" s="78"/>
      <c r="LK32" s="78"/>
      <c r="LL32" s="79"/>
      <c r="LM32" s="67"/>
      <c r="LO32" s="98"/>
      <c r="LP32" s="99"/>
      <c r="LQ32" s="329"/>
      <c r="LR32" s="77"/>
      <c r="LS32" s="78"/>
      <c r="LT32" s="78"/>
      <c r="LU32" s="79"/>
      <c r="LV32" s="67"/>
      <c r="LX32" s="98"/>
      <c r="LY32" s="99"/>
      <c r="LZ32" s="100"/>
      <c r="MA32" s="77"/>
      <c r="MB32" s="78"/>
      <c r="MC32" s="78"/>
      <c r="MD32" s="79"/>
      <c r="ME32" s="67"/>
      <c r="MG32" s="98"/>
      <c r="MH32" s="99"/>
      <c r="MI32" s="100"/>
      <c r="MJ32" s="77"/>
      <c r="MK32" s="78"/>
      <c r="ML32" s="78"/>
      <c r="MM32" s="79"/>
      <c r="MN32" s="67"/>
      <c r="MP32" s="98"/>
      <c r="MQ32" s="99"/>
      <c r="MR32" s="100"/>
      <c r="MS32" s="77"/>
      <c r="MT32" s="78"/>
      <c r="MU32" s="78"/>
      <c r="MV32" s="79"/>
      <c r="MW32" s="67"/>
      <c r="MY32" s="98"/>
      <c r="MZ32" s="99"/>
      <c r="NA32" s="100"/>
      <c r="NB32" s="77"/>
      <c r="NC32" s="78"/>
      <c r="ND32" s="78"/>
      <c r="NE32" s="79"/>
      <c r="NF32" s="67"/>
      <c r="NH32" s="98"/>
      <c r="NI32" s="99"/>
      <c r="NJ32" s="329"/>
      <c r="NK32" s="77"/>
      <c r="NL32" s="78"/>
      <c r="NM32" s="78"/>
      <c r="NN32" s="79"/>
      <c r="NO32" s="67"/>
      <c r="NQ32" s="98"/>
      <c r="NR32" s="99"/>
      <c r="NS32" s="100"/>
      <c r="NT32" s="77"/>
      <c r="NU32" s="78"/>
      <c r="NV32" s="78"/>
      <c r="NW32" s="79"/>
      <c r="NX32" s="67"/>
      <c r="NZ32" s="71"/>
      <c r="OA32" s="72"/>
      <c r="OB32" s="73"/>
      <c r="OC32" s="77"/>
      <c r="OD32" s="78"/>
      <c r="OE32" s="78"/>
      <c r="OF32" s="79"/>
      <c r="OG32" s="67"/>
      <c r="OI32" s="98"/>
      <c r="OJ32" s="99"/>
      <c r="OK32" s="329"/>
      <c r="OL32" s="77"/>
      <c r="OM32" s="78"/>
      <c r="ON32" s="78"/>
      <c r="OO32" s="79"/>
      <c r="OP32" s="67"/>
      <c r="OR32" s="71"/>
      <c r="OS32" s="72"/>
      <c r="OT32" s="73"/>
      <c r="OU32" s="77"/>
      <c r="OV32" s="78"/>
      <c r="OW32" s="78"/>
      <c r="OX32" s="79"/>
      <c r="OY32" s="67"/>
      <c r="PA32" s="98"/>
      <c r="PB32" s="99"/>
      <c r="PC32" s="100"/>
      <c r="PD32" s="77"/>
      <c r="PE32" s="78"/>
      <c r="PF32" s="78"/>
      <c r="PG32" s="79"/>
      <c r="PH32" s="67"/>
      <c r="PJ32" s="277"/>
      <c r="PK32" s="278"/>
      <c r="PL32" s="279"/>
      <c r="PM32" s="125"/>
      <c r="PN32" s="126"/>
      <c r="PO32" s="126"/>
      <c r="PP32" s="127"/>
      <c r="PQ32" s="128"/>
      <c r="PS32" s="403"/>
      <c r="PT32" s="404"/>
      <c r="PU32" s="405"/>
      <c r="PV32" s="330"/>
      <c r="PW32" s="331"/>
      <c r="PX32" s="331"/>
      <c r="PY32" s="332"/>
      <c r="PZ32" s="333"/>
      <c r="QB32" s="412"/>
      <c r="QC32" s="413"/>
      <c r="QD32" s="414"/>
      <c r="QE32" s="125"/>
      <c r="QF32" s="126"/>
      <c r="QG32" s="126"/>
      <c r="QH32" s="127"/>
      <c r="QI32" s="128"/>
      <c r="QK32" s="283"/>
      <c r="QL32" s="284"/>
      <c r="QM32" s="285"/>
      <c r="QN32" s="125"/>
      <c r="QO32" s="126"/>
      <c r="QP32" s="126"/>
      <c r="QQ32" s="127"/>
      <c r="QR32" s="128" t="str">
        <f>IF(QM32="","",'Name List'!$I$4)</f>
        <v/>
      </c>
      <c r="QS32" s="91"/>
      <c r="QT32" s="107">
        <f t="shared" si="50"/>
        <v>0</v>
      </c>
      <c r="QU32" s="130">
        <f t="shared" si="51"/>
        <v>13</v>
      </c>
      <c r="QV32" s="130">
        <f t="shared" si="52"/>
        <v>53</v>
      </c>
      <c r="QW32" s="108">
        <f t="shared" si="53"/>
        <v>5</v>
      </c>
      <c r="QY32" s="260">
        <f t="shared" si="54"/>
        <v>6</v>
      </c>
      <c r="RA32" s="141">
        <f t="shared" si="55"/>
        <v>17</v>
      </c>
      <c r="RB32" s="106">
        <f t="shared" si="56"/>
        <v>20</v>
      </c>
      <c r="RC32" s="106">
        <f t="shared" si="57"/>
        <v>35</v>
      </c>
      <c r="RD32" s="106">
        <f t="shared" si="58"/>
        <v>11</v>
      </c>
      <c r="RE32" s="106">
        <f t="shared" si="59"/>
        <v>10</v>
      </c>
      <c r="RF32" s="142">
        <f t="shared" si="60"/>
        <v>27</v>
      </c>
      <c r="RG32" s="106"/>
      <c r="RH32" s="139">
        <f t="shared" si="61"/>
        <v>35</v>
      </c>
      <c r="RI32" s="140">
        <f t="shared" si="62"/>
        <v>35</v>
      </c>
      <c r="RJ32" s="106"/>
      <c r="RK32" s="136">
        <f t="shared" si="63"/>
        <v>32.333333333333336</v>
      </c>
      <c r="RL32" s="106"/>
      <c r="RM32" s="137">
        <f t="shared" si="64"/>
        <v>0</v>
      </c>
      <c r="RN32" s="138">
        <f t="shared" si="65"/>
        <v>0</v>
      </c>
      <c r="RO32" s="106"/>
      <c r="RP32" s="259">
        <f t="shared" si="66"/>
        <v>0</v>
      </c>
    </row>
    <row r="33" spans="1:484" x14ac:dyDescent="0.2">
      <c r="A33" s="89" t="str">
        <f>'Name List'!B33</f>
        <v>Tony Hearson</v>
      </c>
      <c r="C33" s="98"/>
      <c r="D33" s="99"/>
      <c r="E33" s="329" t="str">
        <f t="shared" si="0"/>
        <v/>
      </c>
      <c r="F33" s="77"/>
      <c r="G33" s="78"/>
      <c r="H33" s="78"/>
      <c r="I33" s="79"/>
      <c r="J33" s="333" t="str">
        <f>IF(E33="","",'Name List'!$I$4)</f>
        <v/>
      </c>
      <c r="L33" s="98"/>
      <c r="M33" s="99"/>
      <c r="N33" s="100"/>
      <c r="O33" s="77"/>
      <c r="P33" s="78"/>
      <c r="Q33" s="78"/>
      <c r="R33" s="79"/>
      <c r="S33" s="67"/>
      <c r="U33" s="71"/>
      <c r="V33" s="72"/>
      <c r="W33" s="396" t="str">
        <f t="shared" si="2"/>
        <v/>
      </c>
      <c r="X33" s="77"/>
      <c r="Y33" s="78"/>
      <c r="Z33" s="78"/>
      <c r="AA33" s="79"/>
      <c r="AB33" s="333" t="str">
        <f>IF(W33="","",'Name List'!$I$4)</f>
        <v/>
      </c>
      <c r="AD33" s="98"/>
      <c r="AE33" s="99"/>
      <c r="AF33" s="329" t="str">
        <f t="shared" si="3"/>
        <v/>
      </c>
      <c r="AG33" s="77"/>
      <c r="AH33" s="78"/>
      <c r="AI33" s="78"/>
      <c r="AJ33" s="79"/>
      <c r="AK33" s="333" t="str">
        <f>IF(AF33="","",'Name List'!$I$4)</f>
        <v/>
      </c>
      <c r="AM33" s="98"/>
      <c r="AN33" s="99"/>
      <c r="AO33" s="329" t="str">
        <f t="shared" si="4"/>
        <v/>
      </c>
      <c r="AP33" s="77"/>
      <c r="AQ33" s="78"/>
      <c r="AR33" s="78"/>
      <c r="AS33" s="79"/>
      <c r="AT33" s="333" t="str">
        <f>IF(AO33="","",'Name List'!$I$4)</f>
        <v/>
      </c>
      <c r="AV33" s="458"/>
      <c r="AW33" s="401"/>
      <c r="AX33" s="400" t="str">
        <f t="shared" si="5"/>
        <v/>
      </c>
      <c r="AY33" s="77"/>
      <c r="AZ33" s="78"/>
      <c r="BA33" s="78"/>
      <c r="BB33" s="79"/>
      <c r="BC33" s="457" t="str">
        <f>IF(AX33="","",'Name List'!$I$4)</f>
        <v/>
      </c>
      <c r="BE33" s="71"/>
      <c r="BF33" s="72"/>
      <c r="BG33" s="383" t="str">
        <f t="shared" si="6"/>
        <v/>
      </c>
      <c r="BH33" s="77"/>
      <c r="BI33" s="78"/>
      <c r="BJ33" s="78"/>
      <c r="BK33" s="79"/>
      <c r="BL33" s="333" t="str">
        <f>IF(BG33="","",'Name List'!$I$4)</f>
        <v/>
      </c>
      <c r="BN33" s="98"/>
      <c r="BO33" s="99"/>
      <c r="BP33" s="100"/>
      <c r="BQ33" s="77"/>
      <c r="BR33" s="78"/>
      <c r="BS33" s="78"/>
      <c r="BT33" s="79"/>
      <c r="BU33" s="67"/>
      <c r="BW33" s="98"/>
      <c r="BX33" s="99"/>
      <c r="BY33" s="329" t="str">
        <f t="shared" si="8"/>
        <v/>
      </c>
      <c r="BZ33" s="77"/>
      <c r="CA33" s="78"/>
      <c r="CB33" s="78"/>
      <c r="CC33" s="79"/>
      <c r="CD33" s="333" t="str">
        <f>IF(BY33="","",'Name List'!$I$4)</f>
        <v/>
      </c>
      <c r="CF33" s="68"/>
      <c r="CG33" s="69"/>
      <c r="CH33" s="282" t="str">
        <f t="shared" si="49"/>
        <v/>
      </c>
      <c r="CI33" s="77"/>
      <c r="CJ33" s="78"/>
      <c r="CK33" s="78"/>
      <c r="CL33" s="79"/>
      <c r="CM33" s="333" t="str">
        <f>IF(CH33="","",'Name List'!$I$4)</f>
        <v/>
      </c>
      <c r="CO33" s="71"/>
      <c r="CP33" s="72"/>
      <c r="CQ33" s="383" t="str">
        <f t="shared" si="9"/>
        <v/>
      </c>
      <c r="CR33" s="77"/>
      <c r="CS33" s="78"/>
      <c r="CT33" s="78"/>
      <c r="CU33" s="79"/>
      <c r="CV33" s="333" t="str">
        <f>IF(CQ33="","",'Name List'!$I$4)</f>
        <v/>
      </c>
      <c r="CX33" s="98"/>
      <c r="CY33" s="99"/>
      <c r="CZ33" s="329" t="str">
        <f t="shared" si="10"/>
        <v/>
      </c>
      <c r="DA33" s="77"/>
      <c r="DB33" s="78"/>
      <c r="DC33" s="78"/>
      <c r="DD33" s="79"/>
      <c r="DE33" s="333" t="str">
        <f>IF(CZ33="","",'Name List'!$I$4)</f>
        <v/>
      </c>
      <c r="DG33" s="98"/>
      <c r="DH33" s="99"/>
      <c r="DI33" s="329" t="str">
        <f t="shared" si="11"/>
        <v/>
      </c>
      <c r="DJ33" s="77"/>
      <c r="DK33" s="78"/>
      <c r="DL33" s="78"/>
      <c r="DM33" s="79"/>
      <c r="DN33" s="333" t="str">
        <f>IF(DI33="","",'Name List'!$I$4)</f>
        <v/>
      </c>
      <c r="DP33" s="98"/>
      <c r="DQ33" s="99"/>
      <c r="DR33" s="329" t="str">
        <f t="shared" si="12"/>
        <v/>
      </c>
      <c r="DS33" s="77"/>
      <c r="DT33" s="78"/>
      <c r="DU33" s="78"/>
      <c r="DV33" s="79"/>
      <c r="DW33" s="333" t="str">
        <f>IF(DR33="","",'Name List'!$I$4)</f>
        <v/>
      </c>
      <c r="DY33" s="98"/>
      <c r="DZ33" s="99"/>
      <c r="EA33" s="329" t="str">
        <f t="shared" si="13"/>
        <v/>
      </c>
      <c r="EB33" s="77"/>
      <c r="EC33" s="78"/>
      <c r="ED33" s="78"/>
      <c r="EE33" s="79"/>
      <c r="EF33" s="333" t="str">
        <f>IF(EA33="","",'Name List'!$I$4)</f>
        <v/>
      </c>
      <c r="EH33" s="98"/>
      <c r="EI33" s="99"/>
      <c r="EJ33" s="329" t="str">
        <f t="shared" si="14"/>
        <v/>
      </c>
      <c r="EK33" s="77"/>
      <c r="EL33" s="78"/>
      <c r="EM33" s="78"/>
      <c r="EN33" s="79"/>
      <c r="EO33" s="333" t="str">
        <f>IF(EJ33="","",'Name List'!$I$4)</f>
        <v/>
      </c>
      <c r="EQ33" s="115"/>
      <c r="ER33" s="116"/>
      <c r="ES33" s="117"/>
      <c r="ET33" s="77"/>
      <c r="EU33" s="78"/>
      <c r="EV33" s="78"/>
      <c r="EW33" s="79"/>
      <c r="EX33" s="333" t="str">
        <f>IF(ES33="","",'Name List'!$I$4)</f>
        <v/>
      </c>
      <c r="EZ33" s="68"/>
      <c r="FA33" s="69"/>
      <c r="FB33" s="70"/>
      <c r="FC33" s="77"/>
      <c r="FD33" s="78"/>
      <c r="FE33" s="78"/>
      <c r="FF33" s="79"/>
      <c r="FG33" s="67"/>
      <c r="FI33" s="98"/>
      <c r="FJ33" s="99"/>
      <c r="FK33" s="329" t="str">
        <f t="shared" si="16"/>
        <v/>
      </c>
      <c r="FL33" s="77"/>
      <c r="FM33" s="78"/>
      <c r="FN33" s="78"/>
      <c r="FO33" s="79"/>
      <c r="FP33" s="333" t="str">
        <f>IF(FK33="","",'Name List'!$I$4)</f>
        <v/>
      </c>
      <c r="FR33" s="98"/>
      <c r="FS33" s="99"/>
      <c r="FT33" s="329" t="str">
        <f t="shared" si="17"/>
        <v/>
      </c>
      <c r="FU33" s="77"/>
      <c r="FV33" s="78"/>
      <c r="FW33" s="78"/>
      <c r="FX33" s="79"/>
      <c r="FY33" s="333" t="str">
        <f>IF(FT33="","",'Name List'!$I$4)</f>
        <v/>
      </c>
      <c r="GA33" s="98"/>
      <c r="GB33" s="99"/>
      <c r="GC33" s="329" t="str">
        <f t="shared" si="18"/>
        <v/>
      </c>
      <c r="GD33" s="77"/>
      <c r="GE33" s="78"/>
      <c r="GF33" s="78"/>
      <c r="GG33" s="79"/>
      <c r="GH33" s="333" t="str">
        <f>IF(GC33="","",'Name List'!$I$4)</f>
        <v/>
      </c>
      <c r="GJ33" s="98"/>
      <c r="GK33" s="99"/>
      <c r="GL33" s="329" t="str">
        <f t="shared" si="19"/>
        <v/>
      </c>
      <c r="GM33" s="77"/>
      <c r="GN33" s="78"/>
      <c r="GO33" s="78"/>
      <c r="GP33" s="79"/>
      <c r="GQ33" s="333" t="str">
        <f>IF(GL33="","",'Name List'!$I$4)</f>
        <v/>
      </c>
      <c r="GS33" s="68"/>
      <c r="GT33" s="69"/>
      <c r="GU33" s="70"/>
      <c r="GV33" s="77"/>
      <c r="GW33" s="78"/>
      <c r="GX33" s="78"/>
      <c r="GY33" s="79"/>
      <c r="GZ33" s="67"/>
      <c r="HB33" s="98"/>
      <c r="HC33" s="99"/>
      <c r="HD33" s="329" t="str">
        <f t="shared" si="21"/>
        <v/>
      </c>
      <c r="HE33" s="77"/>
      <c r="HF33" s="78"/>
      <c r="HG33" s="78"/>
      <c r="HH33" s="79"/>
      <c r="HI33" s="333" t="str">
        <f>IF(HD33="","",'Name List'!$I$4)</f>
        <v/>
      </c>
      <c r="HK33" s="71"/>
      <c r="HL33" s="72"/>
      <c r="HM33" s="383" t="str">
        <f t="shared" si="22"/>
        <v/>
      </c>
      <c r="HN33" s="77"/>
      <c r="HO33" s="78"/>
      <c r="HP33" s="78"/>
      <c r="HQ33" s="79"/>
      <c r="HR33" s="333" t="str">
        <f>IF(HM33="","",'Name List'!$I$4)</f>
        <v/>
      </c>
      <c r="HT33" s="68"/>
      <c r="HU33" s="69"/>
      <c r="HV33" s="70"/>
      <c r="HW33" s="77"/>
      <c r="HX33" s="78"/>
      <c r="HY33" s="78"/>
      <c r="HZ33" s="79"/>
      <c r="IA33" s="67"/>
      <c r="IC33" s="115"/>
      <c r="ID33" s="116"/>
      <c r="IE33" s="117"/>
      <c r="IF33" s="77"/>
      <c r="IG33" s="78"/>
      <c r="IH33" s="78"/>
      <c r="II33" s="79"/>
      <c r="IJ33" s="333" t="str">
        <f>IF(IE33="","",'Name List'!$I$4)</f>
        <v/>
      </c>
      <c r="IL33" s="98"/>
      <c r="IM33" s="99"/>
      <c r="IN33" s="100"/>
      <c r="IO33" s="77"/>
      <c r="IP33" s="78"/>
      <c r="IQ33" s="78"/>
      <c r="IR33" s="79"/>
      <c r="IS33" s="67"/>
      <c r="IU33" s="98"/>
      <c r="IV33" s="99"/>
      <c r="IW33" s="100"/>
      <c r="IX33" s="77"/>
      <c r="IY33" s="78"/>
      <c r="IZ33" s="78"/>
      <c r="JA33" s="79"/>
      <c r="JB33" s="67"/>
      <c r="JD33" s="98"/>
      <c r="JE33" s="99"/>
      <c r="JF33" s="100"/>
      <c r="JG33" s="77"/>
      <c r="JH33" s="78"/>
      <c r="JI33" s="78"/>
      <c r="JJ33" s="79"/>
      <c r="JK33" s="67"/>
      <c r="JM33" s="98"/>
      <c r="JN33" s="99"/>
      <c r="JO33" s="275"/>
      <c r="JP33" s="77"/>
      <c r="JQ33" s="78"/>
      <c r="JR33" s="78"/>
      <c r="JS33" s="79"/>
      <c r="JT33" s="67"/>
      <c r="JV33" s="98"/>
      <c r="JW33" s="99"/>
      <c r="JX33" s="100"/>
      <c r="JY33" s="77"/>
      <c r="JZ33" s="78"/>
      <c r="KA33" s="78"/>
      <c r="KB33" s="79"/>
      <c r="KC33" s="67"/>
      <c r="KE33" s="98"/>
      <c r="KF33" s="99"/>
      <c r="KG33" s="100"/>
      <c r="KH33" s="77"/>
      <c r="KI33" s="78"/>
      <c r="KJ33" s="78"/>
      <c r="KK33" s="79"/>
      <c r="KL33" s="67"/>
      <c r="KN33" s="68"/>
      <c r="KO33" s="69"/>
      <c r="KP33" s="70"/>
      <c r="KQ33" s="77"/>
      <c r="KR33" s="78"/>
      <c r="KS33" s="78"/>
      <c r="KT33" s="79"/>
      <c r="KU33" s="67"/>
      <c r="KW33" s="98"/>
      <c r="KX33" s="99"/>
      <c r="KY33" s="100"/>
      <c r="KZ33" s="77"/>
      <c r="LA33" s="78"/>
      <c r="LB33" s="78"/>
      <c r="LC33" s="79"/>
      <c r="LD33" s="67"/>
      <c r="LF33" s="71"/>
      <c r="LG33" s="72"/>
      <c r="LH33" s="73"/>
      <c r="LI33" s="77"/>
      <c r="LJ33" s="78"/>
      <c r="LK33" s="78"/>
      <c r="LL33" s="79"/>
      <c r="LM33" s="67"/>
      <c r="LO33" s="98"/>
      <c r="LP33" s="99"/>
      <c r="LQ33" s="329"/>
      <c r="LR33" s="77"/>
      <c r="LS33" s="78"/>
      <c r="LT33" s="78"/>
      <c r="LU33" s="79"/>
      <c r="LV33" s="67"/>
      <c r="LX33" s="98"/>
      <c r="LY33" s="99"/>
      <c r="LZ33" s="100"/>
      <c r="MA33" s="77"/>
      <c r="MB33" s="78"/>
      <c r="MC33" s="78"/>
      <c r="MD33" s="79"/>
      <c r="ME33" s="67"/>
      <c r="MG33" s="98"/>
      <c r="MH33" s="99"/>
      <c r="MI33" s="100"/>
      <c r="MJ33" s="77"/>
      <c r="MK33" s="78"/>
      <c r="ML33" s="78"/>
      <c r="MM33" s="79"/>
      <c r="MN33" s="67"/>
      <c r="MP33" s="98"/>
      <c r="MQ33" s="99"/>
      <c r="MR33" s="100"/>
      <c r="MS33" s="77"/>
      <c r="MT33" s="78"/>
      <c r="MU33" s="78"/>
      <c r="MV33" s="79"/>
      <c r="MW33" s="67"/>
      <c r="MY33" s="98"/>
      <c r="MZ33" s="99"/>
      <c r="NA33" s="100"/>
      <c r="NB33" s="77"/>
      <c r="NC33" s="78"/>
      <c r="ND33" s="78"/>
      <c r="NE33" s="79"/>
      <c r="NF33" s="67"/>
      <c r="NH33" s="98"/>
      <c r="NI33" s="99"/>
      <c r="NJ33" s="329"/>
      <c r="NK33" s="77"/>
      <c r="NL33" s="78"/>
      <c r="NM33" s="78"/>
      <c r="NN33" s="79"/>
      <c r="NO33" s="67"/>
      <c r="NQ33" s="98"/>
      <c r="NR33" s="99"/>
      <c r="NS33" s="100"/>
      <c r="NT33" s="77"/>
      <c r="NU33" s="78"/>
      <c r="NV33" s="78"/>
      <c r="NW33" s="79"/>
      <c r="NX33" s="67"/>
      <c r="NZ33" s="71"/>
      <c r="OA33" s="72"/>
      <c r="OB33" s="73"/>
      <c r="OC33" s="77"/>
      <c r="OD33" s="78"/>
      <c r="OE33" s="78"/>
      <c r="OF33" s="79"/>
      <c r="OG33" s="67"/>
      <c r="OI33" s="98"/>
      <c r="OJ33" s="99"/>
      <c r="OK33" s="329"/>
      <c r="OL33" s="77"/>
      <c r="OM33" s="78"/>
      <c r="ON33" s="78"/>
      <c r="OO33" s="79"/>
      <c r="OP33" s="67"/>
      <c r="OR33" s="71"/>
      <c r="OS33" s="72"/>
      <c r="OT33" s="73"/>
      <c r="OU33" s="77"/>
      <c r="OV33" s="78"/>
      <c r="OW33" s="78"/>
      <c r="OX33" s="79"/>
      <c r="OY33" s="67"/>
      <c r="PA33" s="98"/>
      <c r="PB33" s="99"/>
      <c r="PC33" s="100"/>
      <c r="PD33" s="77"/>
      <c r="PE33" s="78"/>
      <c r="PF33" s="78"/>
      <c r="PG33" s="79"/>
      <c r="PH33" s="67"/>
      <c r="PJ33" s="277"/>
      <c r="PK33" s="278"/>
      <c r="PL33" s="279"/>
      <c r="PM33" s="125"/>
      <c r="PN33" s="126"/>
      <c r="PO33" s="126"/>
      <c r="PP33" s="127"/>
      <c r="PQ33" s="128"/>
      <c r="PS33" s="403"/>
      <c r="PT33" s="404"/>
      <c r="PU33" s="405"/>
      <c r="PV33" s="330"/>
      <c r="PW33" s="331"/>
      <c r="PX33" s="331"/>
      <c r="PY33" s="332"/>
      <c r="PZ33" s="333"/>
      <c r="QB33" s="412"/>
      <c r="QC33" s="413"/>
      <c r="QD33" s="414"/>
      <c r="QE33" s="125"/>
      <c r="QF33" s="126"/>
      <c r="QG33" s="126"/>
      <c r="QH33" s="127"/>
      <c r="QI33" s="128"/>
      <c r="QK33" s="283"/>
      <c r="QL33" s="284"/>
      <c r="QM33" s="285"/>
      <c r="QN33" s="125"/>
      <c r="QO33" s="126"/>
      <c r="QP33" s="126"/>
      <c r="QQ33" s="127"/>
      <c r="QR33" s="128" t="str">
        <f>IF(QM33="","",'Name List'!$I$4)</f>
        <v/>
      </c>
      <c r="QS33" s="91"/>
      <c r="QT33" s="107">
        <f t="shared" si="50"/>
        <v>0</v>
      </c>
      <c r="QU33" s="130">
        <f t="shared" si="51"/>
        <v>0</v>
      </c>
      <c r="QV33" s="130">
        <f t="shared" si="52"/>
        <v>0</v>
      </c>
      <c r="QW33" s="108">
        <f t="shared" si="53"/>
        <v>0</v>
      </c>
      <c r="QY33" s="260">
        <f t="shared" si="54"/>
        <v>0</v>
      </c>
      <c r="RA33" s="141">
        <f t="shared" si="55"/>
        <v>0</v>
      </c>
      <c r="RB33" s="106">
        <f t="shared" si="56"/>
        <v>0</v>
      </c>
      <c r="RC33" s="106">
        <f t="shared" si="57"/>
        <v>0</v>
      </c>
      <c r="RD33" s="106">
        <f t="shared" si="58"/>
        <v>0</v>
      </c>
      <c r="RE33" s="106">
        <f t="shared" si="59"/>
        <v>0</v>
      </c>
      <c r="RF33" s="142">
        <f t="shared" si="60"/>
        <v>0</v>
      </c>
      <c r="RG33" s="106"/>
      <c r="RH33" s="139">
        <f t="shared" si="61"/>
        <v>0</v>
      </c>
      <c r="RI33" s="140">
        <f t="shared" si="62"/>
        <v>0</v>
      </c>
      <c r="RJ33" s="106"/>
      <c r="RK33" s="136">
        <f t="shared" si="63"/>
        <v>0</v>
      </c>
      <c r="RL33" s="106"/>
      <c r="RM33" s="137">
        <f t="shared" si="64"/>
        <v>0</v>
      </c>
      <c r="RN33" s="138">
        <f t="shared" si="65"/>
        <v>0</v>
      </c>
      <c r="RO33" s="106"/>
      <c r="RP33" s="259">
        <f t="shared" si="66"/>
        <v>0</v>
      </c>
    </row>
    <row r="34" spans="1:484" x14ac:dyDescent="0.2">
      <c r="A34" s="89" t="str">
        <f>'Name List'!B34</f>
        <v>David Hilton</v>
      </c>
      <c r="C34" s="98"/>
      <c r="D34" s="99"/>
      <c r="E34" s="329" t="str">
        <f t="shared" si="0"/>
        <v/>
      </c>
      <c r="F34" s="77"/>
      <c r="G34" s="78"/>
      <c r="H34" s="78"/>
      <c r="I34" s="79"/>
      <c r="J34" s="333" t="str">
        <f>IF(E34="","",'Name List'!$I$4)</f>
        <v/>
      </c>
      <c r="L34" s="98"/>
      <c r="M34" s="99"/>
      <c r="N34" s="100"/>
      <c r="O34" s="77"/>
      <c r="P34" s="78"/>
      <c r="Q34" s="78"/>
      <c r="R34" s="79"/>
      <c r="S34" s="67"/>
      <c r="U34" s="71"/>
      <c r="V34" s="72"/>
      <c r="W34" s="396" t="str">
        <f t="shared" si="2"/>
        <v/>
      </c>
      <c r="X34" s="77"/>
      <c r="Y34" s="78"/>
      <c r="Z34" s="78"/>
      <c r="AA34" s="79"/>
      <c r="AB34" s="333" t="str">
        <f>IF(W34="","",'Name List'!$I$4)</f>
        <v/>
      </c>
      <c r="AD34" s="98"/>
      <c r="AE34" s="99"/>
      <c r="AF34" s="329" t="str">
        <f t="shared" si="3"/>
        <v/>
      </c>
      <c r="AG34" s="77"/>
      <c r="AH34" s="78"/>
      <c r="AI34" s="78"/>
      <c r="AJ34" s="79"/>
      <c r="AK34" s="333" t="str">
        <f>IF(AF34="","",'Name List'!$I$4)</f>
        <v/>
      </c>
      <c r="AM34" s="98"/>
      <c r="AN34" s="99"/>
      <c r="AO34" s="329" t="str">
        <f t="shared" si="4"/>
        <v/>
      </c>
      <c r="AP34" s="77"/>
      <c r="AQ34" s="78"/>
      <c r="AR34" s="78"/>
      <c r="AS34" s="79"/>
      <c r="AT34" s="333" t="str">
        <f>IF(AO34="","",'Name List'!$I$4)</f>
        <v/>
      </c>
      <c r="AV34" s="458"/>
      <c r="AW34" s="401"/>
      <c r="AX34" s="400" t="str">
        <f t="shared" si="5"/>
        <v/>
      </c>
      <c r="AY34" s="77"/>
      <c r="AZ34" s="78"/>
      <c r="BA34" s="78"/>
      <c r="BB34" s="79"/>
      <c r="BC34" s="457" t="str">
        <f>IF(AX34="","",'Name List'!$I$4)</f>
        <v/>
      </c>
      <c r="BE34" s="71"/>
      <c r="BF34" s="72"/>
      <c r="BG34" s="383" t="str">
        <f t="shared" si="6"/>
        <v/>
      </c>
      <c r="BH34" s="77"/>
      <c r="BI34" s="78"/>
      <c r="BJ34" s="78"/>
      <c r="BK34" s="79"/>
      <c r="BL34" s="333" t="str">
        <f>IF(BG34="","",'Name List'!$I$4)</f>
        <v/>
      </c>
      <c r="BN34" s="98"/>
      <c r="BO34" s="99"/>
      <c r="BP34" s="100"/>
      <c r="BQ34" s="77"/>
      <c r="BR34" s="78"/>
      <c r="BS34" s="78"/>
      <c r="BT34" s="79"/>
      <c r="BU34" s="67"/>
      <c r="BW34" s="98"/>
      <c r="BX34" s="99"/>
      <c r="BY34" s="329" t="str">
        <f t="shared" si="8"/>
        <v/>
      </c>
      <c r="BZ34" s="77"/>
      <c r="CA34" s="78"/>
      <c r="CB34" s="78"/>
      <c r="CC34" s="79"/>
      <c r="CD34" s="333" t="str">
        <f>IF(BY34="","",'Name List'!$I$4)</f>
        <v/>
      </c>
      <c r="CF34" s="68"/>
      <c r="CG34" s="69"/>
      <c r="CH34" s="282" t="str">
        <f t="shared" si="49"/>
        <v/>
      </c>
      <c r="CI34" s="77"/>
      <c r="CJ34" s="78"/>
      <c r="CK34" s="78"/>
      <c r="CL34" s="79"/>
      <c r="CM34" s="333" t="str">
        <f>IF(CH34="","",'Name List'!$I$4)</f>
        <v/>
      </c>
      <c r="CO34" s="71"/>
      <c r="CP34" s="72"/>
      <c r="CQ34" s="383" t="str">
        <f t="shared" si="9"/>
        <v/>
      </c>
      <c r="CR34" s="77"/>
      <c r="CS34" s="78"/>
      <c r="CT34" s="78"/>
      <c r="CU34" s="79"/>
      <c r="CV34" s="333" t="str">
        <f>IF(CQ34="","",'Name List'!$I$4)</f>
        <v/>
      </c>
      <c r="CX34" s="98"/>
      <c r="CY34" s="99"/>
      <c r="CZ34" s="329" t="str">
        <f t="shared" si="10"/>
        <v/>
      </c>
      <c r="DA34" s="77"/>
      <c r="DB34" s="78"/>
      <c r="DC34" s="78"/>
      <c r="DD34" s="79"/>
      <c r="DE34" s="333" t="str">
        <f>IF(CZ34="","",'Name List'!$I$4)</f>
        <v/>
      </c>
      <c r="DG34" s="98"/>
      <c r="DH34" s="99"/>
      <c r="DI34" s="329" t="str">
        <f t="shared" si="11"/>
        <v/>
      </c>
      <c r="DJ34" s="77"/>
      <c r="DK34" s="78"/>
      <c r="DL34" s="78"/>
      <c r="DM34" s="79"/>
      <c r="DN34" s="333" t="str">
        <f>IF(DI34="","",'Name List'!$I$4)</f>
        <v/>
      </c>
      <c r="DP34" s="98"/>
      <c r="DQ34" s="99"/>
      <c r="DR34" s="329" t="str">
        <f t="shared" si="12"/>
        <v/>
      </c>
      <c r="DS34" s="77"/>
      <c r="DT34" s="78"/>
      <c r="DU34" s="78"/>
      <c r="DV34" s="79"/>
      <c r="DW34" s="333" t="str">
        <f>IF(DR34="","",'Name List'!$I$4)</f>
        <v/>
      </c>
      <c r="DY34" s="98"/>
      <c r="DZ34" s="99"/>
      <c r="EA34" s="329" t="str">
        <f t="shared" si="13"/>
        <v/>
      </c>
      <c r="EB34" s="77"/>
      <c r="EC34" s="78"/>
      <c r="ED34" s="78"/>
      <c r="EE34" s="79"/>
      <c r="EF34" s="333" t="str">
        <f>IF(EA34="","",'Name List'!$I$4)</f>
        <v/>
      </c>
      <c r="EH34" s="98"/>
      <c r="EI34" s="99"/>
      <c r="EJ34" s="329" t="str">
        <f t="shared" si="14"/>
        <v/>
      </c>
      <c r="EK34" s="77"/>
      <c r="EL34" s="78"/>
      <c r="EM34" s="78"/>
      <c r="EN34" s="79"/>
      <c r="EO34" s="333" t="str">
        <f>IF(EJ34="","",'Name List'!$I$4)</f>
        <v/>
      </c>
      <c r="EQ34" s="115"/>
      <c r="ER34" s="116"/>
      <c r="ES34" s="117"/>
      <c r="ET34" s="77"/>
      <c r="EU34" s="78"/>
      <c r="EV34" s="78"/>
      <c r="EW34" s="79"/>
      <c r="EX34" s="333" t="str">
        <f>IF(ES34="","",'Name List'!$I$4)</f>
        <v/>
      </c>
      <c r="EZ34" s="68"/>
      <c r="FA34" s="69"/>
      <c r="FB34" s="70"/>
      <c r="FC34" s="77"/>
      <c r="FD34" s="78"/>
      <c r="FE34" s="78"/>
      <c r="FF34" s="79"/>
      <c r="FG34" s="67"/>
      <c r="FI34" s="98"/>
      <c r="FJ34" s="99"/>
      <c r="FK34" s="329" t="str">
        <f t="shared" si="16"/>
        <v/>
      </c>
      <c r="FL34" s="77"/>
      <c r="FM34" s="78"/>
      <c r="FN34" s="78"/>
      <c r="FO34" s="79"/>
      <c r="FP34" s="333" t="str">
        <f>IF(FK34="","",'Name List'!$I$4)</f>
        <v/>
      </c>
      <c r="FR34" s="98"/>
      <c r="FS34" s="99"/>
      <c r="FT34" s="329" t="str">
        <f t="shared" si="17"/>
        <v/>
      </c>
      <c r="FU34" s="77"/>
      <c r="FV34" s="78"/>
      <c r="FW34" s="78"/>
      <c r="FX34" s="79"/>
      <c r="FY34" s="333" t="str">
        <f>IF(FT34="","",'Name List'!$I$4)</f>
        <v/>
      </c>
      <c r="GA34" s="98"/>
      <c r="GB34" s="99"/>
      <c r="GC34" s="329" t="str">
        <f t="shared" si="18"/>
        <v/>
      </c>
      <c r="GD34" s="77"/>
      <c r="GE34" s="78"/>
      <c r="GF34" s="78"/>
      <c r="GG34" s="79"/>
      <c r="GH34" s="333" t="str">
        <f>IF(GC34="","",'Name List'!$I$4)</f>
        <v/>
      </c>
      <c r="GJ34" s="98">
        <v>14</v>
      </c>
      <c r="GK34" s="99">
        <v>13</v>
      </c>
      <c r="GL34" s="329">
        <f t="shared" si="19"/>
        <v>27</v>
      </c>
      <c r="GM34" s="77">
        <v>0</v>
      </c>
      <c r="GN34" s="78">
        <v>1</v>
      </c>
      <c r="GO34" s="78">
        <v>7</v>
      </c>
      <c r="GP34" s="79">
        <v>2</v>
      </c>
      <c r="GQ34" s="333">
        <f>IF(GL34="","",'Name List'!$I$4)</f>
        <v>5</v>
      </c>
      <c r="GS34" s="68"/>
      <c r="GT34" s="69"/>
      <c r="GU34" s="70"/>
      <c r="GV34" s="77"/>
      <c r="GW34" s="78"/>
      <c r="GX34" s="78"/>
      <c r="GY34" s="79"/>
      <c r="GZ34" s="67"/>
      <c r="HB34" s="98"/>
      <c r="HC34" s="99"/>
      <c r="HD34" s="329" t="str">
        <f t="shared" si="21"/>
        <v/>
      </c>
      <c r="HE34" s="77"/>
      <c r="HF34" s="78"/>
      <c r="HG34" s="78"/>
      <c r="HH34" s="79"/>
      <c r="HI34" s="333" t="str">
        <f>IF(HD34="","",'Name List'!$I$4)</f>
        <v/>
      </c>
      <c r="HK34" s="71"/>
      <c r="HL34" s="72"/>
      <c r="HM34" s="383" t="str">
        <f t="shared" si="22"/>
        <v/>
      </c>
      <c r="HN34" s="77"/>
      <c r="HO34" s="78"/>
      <c r="HP34" s="78"/>
      <c r="HQ34" s="79"/>
      <c r="HR34" s="333" t="str">
        <f>IF(HM34="","",'Name List'!$I$4)</f>
        <v/>
      </c>
      <c r="HT34" s="68"/>
      <c r="HU34" s="69"/>
      <c r="HV34" s="70"/>
      <c r="HW34" s="77"/>
      <c r="HX34" s="78"/>
      <c r="HY34" s="78"/>
      <c r="HZ34" s="79"/>
      <c r="IA34" s="67"/>
      <c r="IC34" s="115"/>
      <c r="ID34" s="116"/>
      <c r="IE34" s="117"/>
      <c r="IF34" s="77"/>
      <c r="IG34" s="78"/>
      <c r="IH34" s="78"/>
      <c r="II34" s="79"/>
      <c r="IJ34" s="333" t="str">
        <f>IF(IE34="","",'Name List'!$I$4)</f>
        <v/>
      </c>
      <c r="IL34" s="98"/>
      <c r="IM34" s="99"/>
      <c r="IN34" s="100"/>
      <c r="IO34" s="77"/>
      <c r="IP34" s="78"/>
      <c r="IQ34" s="78"/>
      <c r="IR34" s="79"/>
      <c r="IS34" s="67"/>
      <c r="IU34" s="98"/>
      <c r="IV34" s="99"/>
      <c r="IW34" s="100"/>
      <c r="IX34" s="77"/>
      <c r="IY34" s="78"/>
      <c r="IZ34" s="78"/>
      <c r="JA34" s="79"/>
      <c r="JB34" s="67"/>
      <c r="JD34" s="98"/>
      <c r="JE34" s="99"/>
      <c r="JF34" s="100"/>
      <c r="JG34" s="77"/>
      <c r="JH34" s="78"/>
      <c r="JI34" s="78"/>
      <c r="JJ34" s="79"/>
      <c r="JK34" s="67"/>
      <c r="JM34" s="98"/>
      <c r="JN34" s="99"/>
      <c r="JO34" s="275"/>
      <c r="JP34" s="77"/>
      <c r="JQ34" s="78"/>
      <c r="JR34" s="78"/>
      <c r="JS34" s="79"/>
      <c r="JT34" s="67"/>
      <c r="JV34" s="98"/>
      <c r="JW34" s="99"/>
      <c r="JX34" s="100"/>
      <c r="JY34" s="77"/>
      <c r="JZ34" s="78"/>
      <c r="KA34" s="78"/>
      <c r="KB34" s="79"/>
      <c r="KC34" s="67"/>
      <c r="KE34" s="98"/>
      <c r="KF34" s="99"/>
      <c r="KG34" s="100"/>
      <c r="KH34" s="77"/>
      <c r="KI34" s="78"/>
      <c r="KJ34" s="78"/>
      <c r="KK34" s="79"/>
      <c r="KL34" s="67"/>
      <c r="KN34" s="68"/>
      <c r="KO34" s="69"/>
      <c r="KP34" s="70"/>
      <c r="KQ34" s="77"/>
      <c r="KR34" s="78"/>
      <c r="KS34" s="78"/>
      <c r="KT34" s="79"/>
      <c r="KU34" s="67"/>
      <c r="KW34" s="98"/>
      <c r="KX34" s="99"/>
      <c r="KY34" s="100"/>
      <c r="KZ34" s="77"/>
      <c r="LA34" s="78"/>
      <c r="LB34" s="78"/>
      <c r="LC34" s="79"/>
      <c r="LD34" s="67"/>
      <c r="LF34" s="71"/>
      <c r="LG34" s="72"/>
      <c r="LH34" s="73"/>
      <c r="LI34" s="77"/>
      <c r="LJ34" s="78"/>
      <c r="LK34" s="78"/>
      <c r="LL34" s="79"/>
      <c r="LM34" s="67"/>
      <c r="LO34" s="98"/>
      <c r="LP34" s="99"/>
      <c r="LQ34" s="329"/>
      <c r="LR34" s="77"/>
      <c r="LS34" s="78"/>
      <c r="LT34" s="78"/>
      <c r="LU34" s="79"/>
      <c r="LV34" s="67"/>
      <c r="LX34" s="98"/>
      <c r="LY34" s="99"/>
      <c r="LZ34" s="100"/>
      <c r="MA34" s="77"/>
      <c r="MB34" s="78"/>
      <c r="MC34" s="78"/>
      <c r="MD34" s="79"/>
      <c r="ME34" s="67"/>
      <c r="MG34" s="98"/>
      <c r="MH34" s="99"/>
      <c r="MI34" s="100"/>
      <c r="MJ34" s="77"/>
      <c r="MK34" s="78"/>
      <c r="ML34" s="78"/>
      <c r="MM34" s="79"/>
      <c r="MN34" s="67"/>
      <c r="MP34" s="98"/>
      <c r="MQ34" s="99"/>
      <c r="MR34" s="100"/>
      <c r="MS34" s="77"/>
      <c r="MT34" s="78"/>
      <c r="MU34" s="78"/>
      <c r="MV34" s="79"/>
      <c r="MW34" s="67"/>
      <c r="MY34" s="98"/>
      <c r="MZ34" s="99"/>
      <c r="NA34" s="100"/>
      <c r="NB34" s="77"/>
      <c r="NC34" s="78"/>
      <c r="ND34" s="78"/>
      <c r="NE34" s="79"/>
      <c r="NF34" s="67"/>
      <c r="NH34" s="98"/>
      <c r="NI34" s="99"/>
      <c r="NJ34" s="329"/>
      <c r="NK34" s="77"/>
      <c r="NL34" s="78"/>
      <c r="NM34" s="78"/>
      <c r="NN34" s="79"/>
      <c r="NO34" s="67"/>
      <c r="NQ34" s="98"/>
      <c r="NR34" s="99"/>
      <c r="NS34" s="100"/>
      <c r="NT34" s="77"/>
      <c r="NU34" s="78"/>
      <c r="NV34" s="78"/>
      <c r="NW34" s="79"/>
      <c r="NX34" s="67"/>
      <c r="NZ34" s="71"/>
      <c r="OA34" s="72"/>
      <c r="OB34" s="73"/>
      <c r="OC34" s="77"/>
      <c r="OD34" s="78"/>
      <c r="OE34" s="78"/>
      <c r="OF34" s="79"/>
      <c r="OG34" s="67"/>
      <c r="OI34" s="98"/>
      <c r="OJ34" s="99"/>
      <c r="OK34" s="329"/>
      <c r="OL34" s="77"/>
      <c r="OM34" s="78"/>
      <c r="ON34" s="78"/>
      <c r="OO34" s="79"/>
      <c r="OP34" s="67"/>
      <c r="OR34" s="71"/>
      <c r="OS34" s="72"/>
      <c r="OT34" s="73"/>
      <c r="OU34" s="77"/>
      <c r="OV34" s="78"/>
      <c r="OW34" s="78"/>
      <c r="OX34" s="79"/>
      <c r="OY34" s="67"/>
      <c r="PA34" s="98"/>
      <c r="PB34" s="99"/>
      <c r="PC34" s="100"/>
      <c r="PD34" s="77"/>
      <c r="PE34" s="78"/>
      <c r="PF34" s="78"/>
      <c r="PG34" s="79"/>
      <c r="PH34" s="67"/>
      <c r="PJ34" s="277"/>
      <c r="PK34" s="278"/>
      <c r="PL34" s="279"/>
      <c r="PM34" s="125"/>
      <c r="PN34" s="126"/>
      <c r="PO34" s="126"/>
      <c r="PP34" s="127"/>
      <c r="PQ34" s="128"/>
      <c r="PS34" s="403"/>
      <c r="PT34" s="404"/>
      <c r="PU34" s="405"/>
      <c r="PV34" s="330"/>
      <c r="PW34" s="331"/>
      <c r="PX34" s="331"/>
      <c r="PY34" s="332"/>
      <c r="PZ34" s="333"/>
      <c r="QB34" s="412"/>
      <c r="QC34" s="413"/>
      <c r="QD34" s="414"/>
      <c r="QE34" s="125"/>
      <c r="QF34" s="126"/>
      <c r="QG34" s="126"/>
      <c r="QH34" s="127"/>
      <c r="QI34" s="128"/>
      <c r="QK34" s="283"/>
      <c r="QL34" s="284"/>
      <c r="QM34" s="285"/>
      <c r="QN34" s="125"/>
      <c r="QO34" s="126"/>
      <c r="QP34" s="126"/>
      <c r="QQ34" s="127"/>
      <c r="QR34" s="128" t="str">
        <f>IF(QM34="","",'Name List'!$I$4)</f>
        <v/>
      </c>
      <c r="QS34" s="91"/>
      <c r="QT34" s="107">
        <f t="shared" si="50"/>
        <v>0</v>
      </c>
      <c r="QU34" s="130">
        <f t="shared" si="51"/>
        <v>1</v>
      </c>
      <c r="QV34" s="130">
        <f t="shared" si="52"/>
        <v>7</v>
      </c>
      <c r="QW34" s="108">
        <f t="shared" si="53"/>
        <v>2</v>
      </c>
      <c r="QY34" s="260">
        <f t="shared" si="54"/>
        <v>1</v>
      </c>
      <c r="RA34" s="141">
        <f t="shared" si="55"/>
        <v>14</v>
      </c>
      <c r="RB34" s="106">
        <f t="shared" si="56"/>
        <v>13</v>
      </c>
      <c r="RC34" s="106">
        <f t="shared" si="57"/>
        <v>27</v>
      </c>
      <c r="RD34" s="106">
        <f t="shared" si="58"/>
        <v>14</v>
      </c>
      <c r="RE34" s="106">
        <f t="shared" si="59"/>
        <v>13</v>
      </c>
      <c r="RF34" s="142">
        <f t="shared" si="60"/>
        <v>27</v>
      </c>
      <c r="RG34" s="106"/>
      <c r="RH34" s="139">
        <f t="shared" si="61"/>
        <v>0</v>
      </c>
      <c r="RI34" s="140">
        <f t="shared" si="62"/>
        <v>0</v>
      </c>
      <c r="RJ34" s="106"/>
      <c r="RK34" s="136">
        <f t="shared" si="63"/>
        <v>27</v>
      </c>
      <c r="RL34" s="106"/>
      <c r="RM34" s="137">
        <f t="shared" si="64"/>
        <v>0</v>
      </c>
      <c r="RN34" s="138">
        <f t="shared" si="65"/>
        <v>0</v>
      </c>
      <c r="RO34" s="106"/>
      <c r="RP34" s="259">
        <f t="shared" si="66"/>
        <v>0</v>
      </c>
    </row>
    <row r="35" spans="1:484" x14ac:dyDescent="0.2">
      <c r="A35" s="89" t="str">
        <f>'Name List'!B35</f>
        <v>Eoghan Hilton</v>
      </c>
      <c r="C35" s="98"/>
      <c r="D35" s="99"/>
      <c r="E35" s="329" t="str">
        <f t="shared" si="0"/>
        <v/>
      </c>
      <c r="F35" s="77"/>
      <c r="G35" s="78"/>
      <c r="H35" s="78"/>
      <c r="I35" s="79"/>
      <c r="J35" s="333" t="str">
        <f>IF(E35="","",'Name List'!$I$4)</f>
        <v/>
      </c>
      <c r="L35" s="98"/>
      <c r="M35" s="99"/>
      <c r="N35" s="100"/>
      <c r="O35" s="77"/>
      <c r="P35" s="78"/>
      <c r="Q35" s="78"/>
      <c r="R35" s="79"/>
      <c r="S35" s="67"/>
      <c r="U35" s="71"/>
      <c r="V35" s="72"/>
      <c r="W35" s="396" t="str">
        <f t="shared" si="2"/>
        <v/>
      </c>
      <c r="X35" s="77"/>
      <c r="Y35" s="78"/>
      <c r="Z35" s="78"/>
      <c r="AA35" s="79"/>
      <c r="AB35" s="333" t="str">
        <f>IF(W35="","",'Name List'!$I$4)</f>
        <v/>
      </c>
      <c r="AD35" s="98"/>
      <c r="AE35" s="99"/>
      <c r="AF35" s="329" t="str">
        <f t="shared" si="3"/>
        <v/>
      </c>
      <c r="AG35" s="77"/>
      <c r="AH35" s="78"/>
      <c r="AI35" s="78"/>
      <c r="AJ35" s="79"/>
      <c r="AK35" s="333" t="str">
        <f>IF(AF35="","",'Name List'!$I$4)</f>
        <v/>
      </c>
      <c r="AM35" s="98">
        <v>11</v>
      </c>
      <c r="AN35" s="99">
        <v>14</v>
      </c>
      <c r="AO35" s="329">
        <f t="shared" si="4"/>
        <v>25</v>
      </c>
      <c r="AP35" s="77">
        <v>0</v>
      </c>
      <c r="AQ35" s="78">
        <v>2</v>
      </c>
      <c r="AR35" s="78">
        <v>2</v>
      </c>
      <c r="AS35" s="79">
        <v>3</v>
      </c>
      <c r="AT35" s="333">
        <f>IF(AO35="","",'Name List'!$I$4)</f>
        <v>5</v>
      </c>
      <c r="AV35" s="458"/>
      <c r="AW35" s="401"/>
      <c r="AX35" s="400" t="str">
        <f t="shared" si="5"/>
        <v/>
      </c>
      <c r="AY35" s="77"/>
      <c r="AZ35" s="78"/>
      <c r="BA35" s="78"/>
      <c r="BB35" s="79"/>
      <c r="BC35" s="457" t="str">
        <f>IF(AX35="","",'Name List'!$I$4)</f>
        <v/>
      </c>
      <c r="BE35" s="71"/>
      <c r="BF35" s="72"/>
      <c r="BG35" s="383" t="str">
        <f t="shared" si="6"/>
        <v/>
      </c>
      <c r="BH35" s="77"/>
      <c r="BI35" s="78"/>
      <c r="BJ35" s="78"/>
      <c r="BK35" s="79"/>
      <c r="BL35" s="333" t="str">
        <f>IF(BG35="","",'Name List'!$I$4)</f>
        <v/>
      </c>
      <c r="BN35" s="98"/>
      <c r="BO35" s="99"/>
      <c r="BP35" s="100"/>
      <c r="BQ35" s="77"/>
      <c r="BR35" s="78"/>
      <c r="BS35" s="78"/>
      <c r="BT35" s="79"/>
      <c r="BU35" s="67"/>
      <c r="BW35" s="98"/>
      <c r="BX35" s="99"/>
      <c r="BY35" s="329" t="str">
        <f t="shared" si="8"/>
        <v/>
      </c>
      <c r="BZ35" s="77"/>
      <c r="CA35" s="78"/>
      <c r="CB35" s="78"/>
      <c r="CC35" s="79"/>
      <c r="CD35" s="333" t="str">
        <f>IF(BY35="","",'Name List'!$I$4)</f>
        <v/>
      </c>
      <c r="CF35" s="68"/>
      <c r="CG35" s="69"/>
      <c r="CH35" s="282" t="str">
        <f t="shared" si="49"/>
        <v/>
      </c>
      <c r="CI35" s="77"/>
      <c r="CJ35" s="78"/>
      <c r="CK35" s="78"/>
      <c r="CL35" s="79"/>
      <c r="CM35" s="333" t="str">
        <f>IF(CH35="","",'Name List'!$I$4)</f>
        <v/>
      </c>
      <c r="CO35" s="71"/>
      <c r="CP35" s="72"/>
      <c r="CQ35" s="383" t="str">
        <f t="shared" si="9"/>
        <v/>
      </c>
      <c r="CR35" s="77"/>
      <c r="CS35" s="78"/>
      <c r="CT35" s="78"/>
      <c r="CU35" s="79"/>
      <c r="CV35" s="333" t="str">
        <f>IF(CQ35="","",'Name List'!$I$4)</f>
        <v/>
      </c>
      <c r="CX35" s="98"/>
      <c r="CY35" s="99"/>
      <c r="CZ35" s="329" t="str">
        <f t="shared" si="10"/>
        <v/>
      </c>
      <c r="DA35" s="77"/>
      <c r="DB35" s="78"/>
      <c r="DC35" s="78"/>
      <c r="DD35" s="79"/>
      <c r="DE35" s="333" t="str">
        <f>IF(CZ35="","",'Name List'!$I$4)</f>
        <v/>
      </c>
      <c r="DG35" s="98"/>
      <c r="DH35" s="99"/>
      <c r="DI35" s="329" t="str">
        <f t="shared" si="11"/>
        <v/>
      </c>
      <c r="DJ35" s="77"/>
      <c r="DK35" s="78"/>
      <c r="DL35" s="78"/>
      <c r="DM35" s="79"/>
      <c r="DN35" s="333" t="str">
        <f>IF(DI35="","",'Name List'!$I$4)</f>
        <v/>
      </c>
      <c r="DP35" s="98"/>
      <c r="DQ35" s="99"/>
      <c r="DR35" s="329" t="str">
        <f t="shared" si="12"/>
        <v/>
      </c>
      <c r="DS35" s="77"/>
      <c r="DT35" s="78"/>
      <c r="DU35" s="78"/>
      <c r="DV35" s="79"/>
      <c r="DW35" s="333" t="str">
        <f>IF(DR35="","",'Name List'!$I$4)</f>
        <v/>
      </c>
      <c r="DY35" s="98"/>
      <c r="DZ35" s="99"/>
      <c r="EA35" s="329" t="str">
        <f t="shared" si="13"/>
        <v/>
      </c>
      <c r="EB35" s="77"/>
      <c r="EC35" s="78"/>
      <c r="ED35" s="78"/>
      <c r="EE35" s="79"/>
      <c r="EF35" s="333" t="str">
        <f>IF(EA35="","",'Name List'!$I$4)</f>
        <v/>
      </c>
      <c r="EH35" s="98"/>
      <c r="EI35" s="99"/>
      <c r="EJ35" s="329" t="str">
        <f t="shared" si="14"/>
        <v/>
      </c>
      <c r="EK35" s="77"/>
      <c r="EL35" s="78"/>
      <c r="EM35" s="78"/>
      <c r="EN35" s="79"/>
      <c r="EO35" s="333" t="str">
        <f>IF(EJ35="","",'Name List'!$I$4)</f>
        <v/>
      </c>
      <c r="EQ35" s="115"/>
      <c r="ER35" s="116"/>
      <c r="ES35" s="117"/>
      <c r="ET35" s="77"/>
      <c r="EU35" s="78"/>
      <c r="EV35" s="78"/>
      <c r="EW35" s="79"/>
      <c r="EX35" s="333" t="str">
        <f>IF(ES35="","",'Name List'!$I$4)</f>
        <v/>
      </c>
      <c r="EZ35" s="68"/>
      <c r="FA35" s="69"/>
      <c r="FB35" s="70"/>
      <c r="FC35" s="77"/>
      <c r="FD35" s="78"/>
      <c r="FE35" s="78"/>
      <c r="FF35" s="79"/>
      <c r="FG35" s="67"/>
      <c r="FI35" s="98"/>
      <c r="FJ35" s="99"/>
      <c r="FK35" s="329" t="str">
        <f t="shared" si="16"/>
        <v/>
      </c>
      <c r="FL35" s="77"/>
      <c r="FM35" s="78"/>
      <c r="FN35" s="78"/>
      <c r="FO35" s="79"/>
      <c r="FP35" s="333" t="str">
        <f>IF(FK35="","",'Name List'!$I$4)</f>
        <v/>
      </c>
      <c r="FR35" s="98"/>
      <c r="FS35" s="99"/>
      <c r="FT35" s="329" t="str">
        <f t="shared" si="17"/>
        <v/>
      </c>
      <c r="FU35" s="77"/>
      <c r="FV35" s="78"/>
      <c r="FW35" s="78"/>
      <c r="FX35" s="79"/>
      <c r="FY35" s="333" t="str">
        <f>IF(FT35="","",'Name List'!$I$4)</f>
        <v/>
      </c>
      <c r="GA35" s="98"/>
      <c r="GB35" s="99"/>
      <c r="GC35" s="329" t="str">
        <f t="shared" si="18"/>
        <v/>
      </c>
      <c r="GD35" s="77"/>
      <c r="GE35" s="78"/>
      <c r="GF35" s="78"/>
      <c r="GG35" s="79"/>
      <c r="GH35" s="333" t="str">
        <f>IF(GC35="","",'Name List'!$I$4)</f>
        <v/>
      </c>
      <c r="GJ35" s="98">
        <v>21</v>
      </c>
      <c r="GK35" s="99">
        <v>17</v>
      </c>
      <c r="GL35" s="329">
        <f t="shared" si="19"/>
        <v>38</v>
      </c>
      <c r="GM35" s="77">
        <v>0</v>
      </c>
      <c r="GN35" s="78">
        <v>2</v>
      </c>
      <c r="GO35" s="78">
        <v>10</v>
      </c>
      <c r="GP35" s="79">
        <v>1</v>
      </c>
      <c r="GQ35" s="333">
        <f>IF(GL35="","",'Name List'!$I$4)</f>
        <v>5</v>
      </c>
      <c r="GS35" s="68"/>
      <c r="GT35" s="69"/>
      <c r="GU35" s="70"/>
      <c r="GV35" s="77"/>
      <c r="GW35" s="78"/>
      <c r="GX35" s="78"/>
      <c r="GY35" s="79"/>
      <c r="GZ35" s="67"/>
      <c r="HB35" s="98"/>
      <c r="HC35" s="99"/>
      <c r="HD35" s="329" t="str">
        <f t="shared" si="21"/>
        <v/>
      </c>
      <c r="HE35" s="77"/>
      <c r="HF35" s="78"/>
      <c r="HG35" s="78"/>
      <c r="HH35" s="79"/>
      <c r="HI35" s="333" t="str">
        <f>IF(HD35="","",'Name List'!$I$4)</f>
        <v/>
      </c>
      <c r="HK35" s="71"/>
      <c r="HL35" s="72"/>
      <c r="HM35" s="383" t="str">
        <f t="shared" si="22"/>
        <v/>
      </c>
      <c r="HN35" s="77"/>
      <c r="HO35" s="78"/>
      <c r="HP35" s="78"/>
      <c r="HQ35" s="79"/>
      <c r="HR35" s="333" t="str">
        <f>IF(HM35="","",'Name List'!$I$4)</f>
        <v/>
      </c>
      <c r="HT35" s="68"/>
      <c r="HU35" s="69"/>
      <c r="HV35" s="70"/>
      <c r="HW35" s="77"/>
      <c r="HX35" s="78"/>
      <c r="HY35" s="78"/>
      <c r="HZ35" s="79"/>
      <c r="IA35" s="67"/>
      <c r="IC35" s="115"/>
      <c r="ID35" s="116"/>
      <c r="IE35" s="117"/>
      <c r="IF35" s="77"/>
      <c r="IG35" s="78"/>
      <c r="IH35" s="78"/>
      <c r="II35" s="79"/>
      <c r="IJ35" s="333" t="str">
        <f>IF(IE35="","",'Name List'!$I$4)</f>
        <v/>
      </c>
      <c r="IL35" s="98"/>
      <c r="IM35" s="99"/>
      <c r="IN35" s="100"/>
      <c r="IO35" s="77"/>
      <c r="IP35" s="78"/>
      <c r="IQ35" s="78"/>
      <c r="IR35" s="79"/>
      <c r="IS35" s="67"/>
      <c r="IU35" s="98"/>
      <c r="IV35" s="99"/>
      <c r="IW35" s="100"/>
      <c r="IX35" s="77"/>
      <c r="IY35" s="78"/>
      <c r="IZ35" s="78"/>
      <c r="JA35" s="79"/>
      <c r="JB35" s="67"/>
      <c r="JD35" s="98"/>
      <c r="JE35" s="99"/>
      <c r="JF35" s="100"/>
      <c r="JG35" s="77"/>
      <c r="JH35" s="78"/>
      <c r="JI35" s="78"/>
      <c r="JJ35" s="79"/>
      <c r="JK35" s="67"/>
      <c r="JM35" s="98"/>
      <c r="JN35" s="99"/>
      <c r="JO35" s="275"/>
      <c r="JP35" s="77"/>
      <c r="JQ35" s="78"/>
      <c r="JR35" s="78"/>
      <c r="JS35" s="79"/>
      <c r="JT35" s="67"/>
      <c r="JV35" s="98"/>
      <c r="JW35" s="99"/>
      <c r="JX35" s="100"/>
      <c r="JY35" s="77"/>
      <c r="JZ35" s="78"/>
      <c r="KA35" s="78"/>
      <c r="KB35" s="79"/>
      <c r="KC35" s="67"/>
      <c r="KE35" s="98"/>
      <c r="KF35" s="99"/>
      <c r="KG35" s="100"/>
      <c r="KH35" s="77"/>
      <c r="KI35" s="78"/>
      <c r="KJ35" s="78"/>
      <c r="KK35" s="79"/>
      <c r="KL35" s="67"/>
      <c r="KN35" s="68"/>
      <c r="KO35" s="69"/>
      <c r="KP35" s="70"/>
      <c r="KQ35" s="77"/>
      <c r="KR35" s="78"/>
      <c r="KS35" s="78"/>
      <c r="KT35" s="79"/>
      <c r="KU35" s="67"/>
      <c r="KW35" s="98"/>
      <c r="KX35" s="99"/>
      <c r="KY35" s="100"/>
      <c r="KZ35" s="77"/>
      <c r="LA35" s="78"/>
      <c r="LB35" s="78"/>
      <c r="LC35" s="79"/>
      <c r="LD35" s="67"/>
      <c r="LF35" s="71"/>
      <c r="LG35" s="72"/>
      <c r="LH35" s="73"/>
      <c r="LI35" s="77"/>
      <c r="LJ35" s="78"/>
      <c r="LK35" s="78"/>
      <c r="LL35" s="79"/>
      <c r="LM35" s="67"/>
      <c r="LO35" s="98"/>
      <c r="LP35" s="99"/>
      <c r="LQ35" s="329"/>
      <c r="LR35" s="77"/>
      <c r="LS35" s="78"/>
      <c r="LT35" s="78"/>
      <c r="LU35" s="79"/>
      <c r="LV35" s="67"/>
      <c r="LX35" s="98"/>
      <c r="LY35" s="99"/>
      <c r="LZ35" s="100"/>
      <c r="MA35" s="77"/>
      <c r="MB35" s="78"/>
      <c r="MC35" s="78"/>
      <c r="MD35" s="79"/>
      <c r="ME35" s="67"/>
      <c r="MG35" s="98"/>
      <c r="MH35" s="99"/>
      <c r="MI35" s="100"/>
      <c r="MJ35" s="77"/>
      <c r="MK35" s="78"/>
      <c r="ML35" s="78"/>
      <c r="MM35" s="79"/>
      <c r="MN35" s="67"/>
      <c r="MP35" s="98"/>
      <c r="MQ35" s="99"/>
      <c r="MR35" s="100"/>
      <c r="MS35" s="77"/>
      <c r="MT35" s="78"/>
      <c r="MU35" s="78"/>
      <c r="MV35" s="79"/>
      <c r="MW35" s="67"/>
      <c r="MY35" s="98"/>
      <c r="MZ35" s="99"/>
      <c r="NA35" s="100"/>
      <c r="NB35" s="77"/>
      <c r="NC35" s="78"/>
      <c r="ND35" s="78"/>
      <c r="NE35" s="79"/>
      <c r="NF35" s="67"/>
      <c r="NH35" s="98"/>
      <c r="NI35" s="99"/>
      <c r="NJ35" s="329"/>
      <c r="NK35" s="77"/>
      <c r="NL35" s="78"/>
      <c r="NM35" s="78"/>
      <c r="NN35" s="79"/>
      <c r="NO35" s="67"/>
      <c r="NQ35" s="98"/>
      <c r="NR35" s="99"/>
      <c r="NS35" s="100"/>
      <c r="NT35" s="77"/>
      <c r="NU35" s="78"/>
      <c r="NV35" s="78"/>
      <c r="NW35" s="79"/>
      <c r="NX35" s="67"/>
      <c r="NZ35" s="71"/>
      <c r="OA35" s="72"/>
      <c r="OB35" s="73"/>
      <c r="OC35" s="77"/>
      <c r="OD35" s="78"/>
      <c r="OE35" s="78"/>
      <c r="OF35" s="79"/>
      <c r="OG35" s="67"/>
      <c r="OI35" s="98"/>
      <c r="OJ35" s="99"/>
      <c r="OK35" s="329"/>
      <c r="OL35" s="77"/>
      <c r="OM35" s="78"/>
      <c r="ON35" s="78"/>
      <c r="OO35" s="79"/>
      <c r="OP35" s="67"/>
      <c r="OR35" s="71"/>
      <c r="OS35" s="72"/>
      <c r="OT35" s="73"/>
      <c r="OU35" s="77"/>
      <c r="OV35" s="78"/>
      <c r="OW35" s="78"/>
      <c r="OX35" s="79"/>
      <c r="OY35" s="67"/>
      <c r="PA35" s="98"/>
      <c r="PB35" s="99"/>
      <c r="PC35" s="100"/>
      <c r="PD35" s="77"/>
      <c r="PE35" s="78"/>
      <c r="PF35" s="78"/>
      <c r="PG35" s="79"/>
      <c r="PH35" s="67"/>
      <c r="PJ35" s="277"/>
      <c r="PK35" s="278"/>
      <c r="PL35" s="279"/>
      <c r="PM35" s="125"/>
      <c r="PN35" s="126"/>
      <c r="PO35" s="126"/>
      <c r="PP35" s="127"/>
      <c r="PQ35" s="128"/>
      <c r="PS35" s="403"/>
      <c r="PT35" s="404"/>
      <c r="PU35" s="405"/>
      <c r="PV35" s="330"/>
      <c r="PW35" s="331"/>
      <c r="PX35" s="331"/>
      <c r="PY35" s="332"/>
      <c r="PZ35" s="333"/>
      <c r="QB35" s="412"/>
      <c r="QC35" s="413"/>
      <c r="QD35" s="414"/>
      <c r="QE35" s="125"/>
      <c r="QF35" s="126"/>
      <c r="QG35" s="126"/>
      <c r="QH35" s="127"/>
      <c r="QI35" s="128"/>
      <c r="QK35" s="283"/>
      <c r="QL35" s="284"/>
      <c r="QM35" s="285"/>
      <c r="QN35" s="125"/>
      <c r="QO35" s="126"/>
      <c r="QP35" s="126"/>
      <c r="QQ35" s="127"/>
      <c r="QR35" s="128" t="str">
        <f>IF(QM35="","",'Name List'!$I$4)</f>
        <v/>
      </c>
      <c r="QS35" s="91"/>
      <c r="QT35" s="107">
        <f t="shared" si="50"/>
        <v>0</v>
      </c>
      <c r="QU35" s="130">
        <f t="shared" si="51"/>
        <v>4</v>
      </c>
      <c r="QV35" s="130">
        <f t="shared" si="52"/>
        <v>12</v>
      </c>
      <c r="QW35" s="108">
        <f t="shared" si="53"/>
        <v>4</v>
      </c>
      <c r="QY35" s="260">
        <f t="shared" si="54"/>
        <v>2</v>
      </c>
      <c r="RA35" s="141">
        <f t="shared" si="55"/>
        <v>21</v>
      </c>
      <c r="RB35" s="106">
        <f t="shared" si="56"/>
        <v>17</v>
      </c>
      <c r="RC35" s="106">
        <f t="shared" si="57"/>
        <v>38</v>
      </c>
      <c r="RD35" s="106">
        <f t="shared" si="58"/>
        <v>11</v>
      </c>
      <c r="RE35" s="106">
        <f t="shared" si="59"/>
        <v>14</v>
      </c>
      <c r="RF35" s="142">
        <f t="shared" si="60"/>
        <v>25</v>
      </c>
      <c r="RG35" s="106"/>
      <c r="RH35" s="139">
        <f t="shared" si="61"/>
        <v>0</v>
      </c>
      <c r="RI35" s="140">
        <f t="shared" si="62"/>
        <v>0</v>
      </c>
      <c r="RJ35" s="106"/>
      <c r="RK35" s="136">
        <f t="shared" si="63"/>
        <v>31.5</v>
      </c>
      <c r="RL35" s="106"/>
      <c r="RM35" s="137">
        <f t="shared" si="64"/>
        <v>0</v>
      </c>
      <c r="RN35" s="138">
        <f t="shared" si="65"/>
        <v>0</v>
      </c>
      <c r="RO35" s="106"/>
      <c r="RP35" s="259">
        <f t="shared" si="66"/>
        <v>0</v>
      </c>
    </row>
    <row r="36" spans="1:484" x14ac:dyDescent="0.2">
      <c r="A36" s="89" t="str">
        <f>'Name List'!B36</f>
        <v>Martin Holder</v>
      </c>
      <c r="C36" s="98"/>
      <c r="D36" s="99"/>
      <c r="E36" s="329" t="str">
        <f t="shared" si="0"/>
        <v/>
      </c>
      <c r="F36" s="77"/>
      <c r="G36" s="78"/>
      <c r="H36" s="78"/>
      <c r="I36" s="79"/>
      <c r="J36" s="333" t="str">
        <f>IF(E36="","",'Name List'!$I$4)</f>
        <v/>
      </c>
      <c r="L36" s="98"/>
      <c r="M36" s="99"/>
      <c r="N36" s="100"/>
      <c r="O36" s="77"/>
      <c r="P36" s="78"/>
      <c r="Q36" s="78"/>
      <c r="R36" s="79"/>
      <c r="S36" s="67"/>
      <c r="U36" s="71"/>
      <c r="V36" s="72"/>
      <c r="W36" s="396" t="str">
        <f t="shared" si="2"/>
        <v/>
      </c>
      <c r="X36" s="77"/>
      <c r="Y36" s="78"/>
      <c r="Z36" s="78"/>
      <c r="AA36" s="79"/>
      <c r="AB36" s="333" t="str">
        <f>IF(W36="","",'Name List'!$I$4)</f>
        <v/>
      </c>
      <c r="AD36" s="98"/>
      <c r="AE36" s="99"/>
      <c r="AF36" s="329" t="str">
        <f t="shared" si="3"/>
        <v/>
      </c>
      <c r="AG36" s="77"/>
      <c r="AH36" s="78"/>
      <c r="AI36" s="78"/>
      <c r="AJ36" s="79"/>
      <c r="AK36" s="333" t="str">
        <f>IF(AF36="","",'Name List'!$I$4)</f>
        <v/>
      </c>
      <c r="AM36" s="98"/>
      <c r="AN36" s="99"/>
      <c r="AO36" s="329" t="str">
        <f t="shared" si="4"/>
        <v/>
      </c>
      <c r="AP36" s="77"/>
      <c r="AQ36" s="78"/>
      <c r="AR36" s="78"/>
      <c r="AS36" s="79"/>
      <c r="AT36" s="333" t="str">
        <f>IF(AO36="","",'Name List'!$I$4)</f>
        <v/>
      </c>
      <c r="AV36" s="458"/>
      <c r="AW36" s="401"/>
      <c r="AX36" s="400" t="str">
        <f t="shared" si="5"/>
        <v/>
      </c>
      <c r="AY36" s="77"/>
      <c r="AZ36" s="78"/>
      <c r="BA36" s="78"/>
      <c r="BB36" s="79"/>
      <c r="BC36" s="457" t="str">
        <f>IF(AX36="","",'Name List'!$I$4)</f>
        <v/>
      </c>
      <c r="BE36" s="71"/>
      <c r="BF36" s="72"/>
      <c r="BG36" s="383" t="str">
        <f t="shared" si="6"/>
        <v/>
      </c>
      <c r="BH36" s="77"/>
      <c r="BI36" s="78"/>
      <c r="BJ36" s="78"/>
      <c r="BK36" s="79"/>
      <c r="BL36" s="333" t="str">
        <f>IF(BG36="","",'Name List'!$I$4)</f>
        <v/>
      </c>
      <c r="BN36" s="98"/>
      <c r="BO36" s="99"/>
      <c r="BP36" s="100"/>
      <c r="BQ36" s="77"/>
      <c r="BR36" s="78"/>
      <c r="BS36" s="78"/>
      <c r="BT36" s="79"/>
      <c r="BU36" s="67"/>
      <c r="BW36" s="98"/>
      <c r="BX36" s="99"/>
      <c r="BY36" s="329" t="str">
        <f t="shared" si="8"/>
        <v/>
      </c>
      <c r="BZ36" s="77"/>
      <c r="CA36" s="78"/>
      <c r="CB36" s="78"/>
      <c r="CC36" s="79"/>
      <c r="CD36" s="333" t="str">
        <f>IF(BY36="","",'Name List'!$I$4)</f>
        <v/>
      </c>
      <c r="CF36" s="68"/>
      <c r="CG36" s="69"/>
      <c r="CH36" s="282" t="str">
        <f t="shared" si="49"/>
        <v/>
      </c>
      <c r="CI36" s="77"/>
      <c r="CJ36" s="78"/>
      <c r="CK36" s="78"/>
      <c r="CL36" s="79"/>
      <c r="CM36" s="333" t="str">
        <f>IF(CH36="","",'Name List'!$I$4)</f>
        <v/>
      </c>
      <c r="CO36" s="71"/>
      <c r="CP36" s="72"/>
      <c r="CQ36" s="383" t="str">
        <f t="shared" si="9"/>
        <v/>
      </c>
      <c r="CR36" s="77"/>
      <c r="CS36" s="78"/>
      <c r="CT36" s="78"/>
      <c r="CU36" s="79"/>
      <c r="CV36" s="333" t="str">
        <f>IF(CQ36="","",'Name List'!$I$4)</f>
        <v/>
      </c>
      <c r="CX36" s="98"/>
      <c r="CY36" s="99"/>
      <c r="CZ36" s="329" t="str">
        <f t="shared" si="10"/>
        <v/>
      </c>
      <c r="DA36" s="77"/>
      <c r="DB36" s="78"/>
      <c r="DC36" s="78"/>
      <c r="DD36" s="79"/>
      <c r="DE36" s="333" t="str">
        <f>IF(CZ36="","",'Name List'!$I$4)</f>
        <v/>
      </c>
      <c r="DG36" s="98"/>
      <c r="DH36" s="99"/>
      <c r="DI36" s="329" t="str">
        <f t="shared" si="11"/>
        <v/>
      </c>
      <c r="DJ36" s="77"/>
      <c r="DK36" s="78"/>
      <c r="DL36" s="78"/>
      <c r="DM36" s="79"/>
      <c r="DN36" s="333" t="str">
        <f>IF(DI36="","",'Name List'!$I$4)</f>
        <v/>
      </c>
      <c r="DP36" s="98"/>
      <c r="DQ36" s="99"/>
      <c r="DR36" s="329" t="str">
        <f t="shared" si="12"/>
        <v/>
      </c>
      <c r="DS36" s="77"/>
      <c r="DT36" s="78"/>
      <c r="DU36" s="78"/>
      <c r="DV36" s="79"/>
      <c r="DW36" s="333" t="str">
        <f>IF(DR36="","",'Name List'!$I$4)</f>
        <v/>
      </c>
      <c r="DY36" s="98"/>
      <c r="DZ36" s="99"/>
      <c r="EA36" s="329" t="str">
        <f t="shared" si="13"/>
        <v/>
      </c>
      <c r="EB36" s="77"/>
      <c r="EC36" s="78"/>
      <c r="ED36" s="78"/>
      <c r="EE36" s="79"/>
      <c r="EF36" s="333" t="str">
        <f>IF(EA36="","",'Name List'!$I$4)</f>
        <v/>
      </c>
      <c r="EH36" s="98"/>
      <c r="EI36" s="99"/>
      <c r="EJ36" s="329" t="str">
        <f t="shared" si="14"/>
        <v/>
      </c>
      <c r="EK36" s="77"/>
      <c r="EL36" s="78"/>
      <c r="EM36" s="78"/>
      <c r="EN36" s="79"/>
      <c r="EO36" s="333" t="str">
        <f>IF(EJ36="","",'Name List'!$I$4)</f>
        <v/>
      </c>
      <c r="EQ36" s="115"/>
      <c r="ER36" s="116"/>
      <c r="ES36" s="117"/>
      <c r="ET36" s="77"/>
      <c r="EU36" s="78"/>
      <c r="EV36" s="78"/>
      <c r="EW36" s="79"/>
      <c r="EX36" s="333" t="str">
        <f>IF(ES36="","",'Name List'!$I$4)</f>
        <v/>
      </c>
      <c r="EZ36" s="68"/>
      <c r="FA36" s="69"/>
      <c r="FB36" s="70"/>
      <c r="FC36" s="77"/>
      <c r="FD36" s="78"/>
      <c r="FE36" s="78"/>
      <c r="FF36" s="79"/>
      <c r="FG36" s="67"/>
      <c r="FI36" s="98"/>
      <c r="FJ36" s="99"/>
      <c r="FK36" s="329" t="str">
        <f t="shared" si="16"/>
        <v/>
      </c>
      <c r="FL36" s="77"/>
      <c r="FM36" s="78"/>
      <c r="FN36" s="78"/>
      <c r="FO36" s="79"/>
      <c r="FP36" s="333" t="str">
        <f>IF(FK36="","",'Name List'!$I$4)</f>
        <v/>
      </c>
      <c r="FR36" s="98"/>
      <c r="FS36" s="99"/>
      <c r="FT36" s="329" t="str">
        <f t="shared" si="17"/>
        <v/>
      </c>
      <c r="FU36" s="77"/>
      <c r="FV36" s="78"/>
      <c r="FW36" s="78"/>
      <c r="FX36" s="79"/>
      <c r="FY36" s="333" t="str">
        <f>IF(FT36="","",'Name List'!$I$4)</f>
        <v/>
      </c>
      <c r="GA36" s="98"/>
      <c r="GB36" s="99"/>
      <c r="GC36" s="329" t="str">
        <f t="shared" si="18"/>
        <v/>
      </c>
      <c r="GD36" s="77"/>
      <c r="GE36" s="78"/>
      <c r="GF36" s="78"/>
      <c r="GG36" s="79"/>
      <c r="GH36" s="333" t="str">
        <f>IF(GC36="","",'Name List'!$I$4)</f>
        <v/>
      </c>
      <c r="GJ36" s="98"/>
      <c r="GK36" s="99"/>
      <c r="GL36" s="329" t="str">
        <f t="shared" si="19"/>
        <v/>
      </c>
      <c r="GM36" s="77"/>
      <c r="GN36" s="78"/>
      <c r="GO36" s="78"/>
      <c r="GP36" s="79"/>
      <c r="GQ36" s="333" t="str">
        <f>IF(GL36="","",'Name List'!$I$4)</f>
        <v/>
      </c>
      <c r="GS36" s="68"/>
      <c r="GT36" s="69"/>
      <c r="GU36" s="70"/>
      <c r="GV36" s="77"/>
      <c r="GW36" s="78"/>
      <c r="GX36" s="78"/>
      <c r="GY36" s="79"/>
      <c r="GZ36" s="67"/>
      <c r="HB36" s="98"/>
      <c r="HC36" s="99"/>
      <c r="HD36" s="329" t="str">
        <f t="shared" si="21"/>
        <v/>
      </c>
      <c r="HE36" s="77"/>
      <c r="HF36" s="78"/>
      <c r="HG36" s="78"/>
      <c r="HH36" s="79"/>
      <c r="HI36" s="333" t="str">
        <f>IF(HD36="","",'Name List'!$I$4)</f>
        <v/>
      </c>
      <c r="HK36" s="71"/>
      <c r="HL36" s="72"/>
      <c r="HM36" s="383" t="str">
        <f t="shared" si="22"/>
        <v/>
      </c>
      <c r="HN36" s="77"/>
      <c r="HO36" s="78"/>
      <c r="HP36" s="78"/>
      <c r="HQ36" s="79"/>
      <c r="HR36" s="333" t="str">
        <f>IF(HM36="","",'Name List'!$I$4)</f>
        <v/>
      </c>
      <c r="HT36" s="68"/>
      <c r="HU36" s="69"/>
      <c r="HV36" s="70"/>
      <c r="HW36" s="77"/>
      <c r="HX36" s="78"/>
      <c r="HY36" s="78"/>
      <c r="HZ36" s="79"/>
      <c r="IA36" s="67"/>
      <c r="IC36" s="115"/>
      <c r="ID36" s="116"/>
      <c r="IE36" s="117"/>
      <c r="IF36" s="77"/>
      <c r="IG36" s="78"/>
      <c r="IH36" s="78"/>
      <c r="II36" s="79"/>
      <c r="IJ36" s="333" t="str">
        <f>IF(IE36="","",'Name List'!$I$4)</f>
        <v/>
      </c>
      <c r="IL36" s="98"/>
      <c r="IM36" s="99"/>
      <c r="IN36" s="100"/>
      <c r="IO36" s="77"/>
      <c r="IP36" s="78"/>
      <c r="IQ36" s="78"/>
      <c r="IR36" s="79"/>
      <c r="IS36" s="67"/>
      <c r="IU36" s="98"/>
      <c r="IV36" s="99"/>
      <c r="IW36" s="100"/>
      <c r="IX36" s="77"/>
      <c r="IY36" s="78"/>
      <c r="IZ36" s="78"/>
      <c r="JA36" s="79"/>
      <c r="JB36" s="67"/>
      <c r="JD36" s="98"/>
      <c r="JE36" s="99"/>
      <c r="JF36" s="100"/>
      <c r="JG36" s="77"/>
      <c r="JH36" s="78"/>
      <c r="JI36" s="78"/>
      <c r="JJ36" s="79"/>
      <c r="JK36" s="67"/>
      <c r="JM36" s="98"/>
      <c r="JN36" s="99"/>
      <c r="JO36" s="275"/>
      <c r="JP36" s="77"/>
      <c r="JQ36" s="78"/>
      <c r="JR36" s="78"/>
      <c r="JS36" s="79"/>
      <c r="JT36" s="67"/>
      <c r="JV36" s="98"/>
      <c r="JW36" s="99"/>
      <c r="JX36" s="100"/>
      <c r="JY36" s="77"/>
      <c r="JZ36" s="78"/>
      <c r="KA36" s="78"/>
      <c r="KB36" s="79"/>
      <c r="KC36" s="67"/>
      <c r="KE36" s="98"/>
      <c r="KF36" s="99"/>
      <c r="KG36" s="100"/>
      <c r="KH36" s="77"/>
      <c r="KI36" s="78"/>
      <c r="KJ36" s="78"/>
      <c r="KK36" s="79"/>
      <c r="KL36" s="67"/>
      <c r="KN36" s="68"/>
      <c r="KO36" s="69"/>
      <c r="KP36" s="70"/>
      <c r="KQ36" s="77"/>
      <c r="KR36" s="78"/>
      <c r="KS36" s="78"/>
      <c r="KT36" s="79"/>
      <c r="KU36" s="67"/>
      <c r="KW36" s="98"/>
      <c r="KX36" s="99"/>
      <c r="KY36" s="100"/>
      <c r="KZ36" s="77"/>
      <c r="LA36" s="78"/>
      <c r="LB36" s="78"/>
      <c r="LC36" s="79"/>
      <c r="LD36" s="67"/>
      <c r="LF36" s="71"/>
      <c r="LG36" s="72"/>
      <c r="LH36" s="73"/>
      <c r="LI36" s="77"/>
      <c r="LJ36" s="78"/>
      <c r="LK36" s="78"/>
      <c r="LL36" s="79"/>
      <c r="LM36" s="67"/>
      <c r="LO36" s="98"/>
      <c r="LP36" s="99"/>
      <c r="LQ36" s="329"/>
      <c r="LR36" s="77"/>
      <c r="LS36" s="78"/>
      <c r="LT36" s="78"/>
      <c r="LU36" s="79"/>
      <c r="LV36" s="67"/>
      <c r="LX36" s="98"/>
      <c r="LY36" s="99"/>
      <c r="LZ36" s="100"/>
      <c r="MA36" s="77"/>
      <c r="MB36" s="78"/>
      <c r="MC36" s="78"/>
      <c r="MD36" s="79"/>
      <c r="ME36" s="67"/>
      <c r="MG36" s="98"/>
      <c r="MH36" s="99"/>
      <c r="MI36" s="100"/>
      <c r="MJ36" s="77"/>
      <c r="MK36" s="78"/>
      <c r="ML36" s="78"/>
      <c r="MM36" s="79"/>
      <c r="MN36" s="67"/>
      <c r="MP36" s="98"/>
      <c r="MQ36" s="99"/>
      <c r="MR36" s="100"/>
      <c r="MS36" s="77"/>
      <c r="MT36" s="78"/>
      <c r="MU36" s="78"/>
      <c r="MV36" s="79"/>
      <c r="MW36" s="67"/>
      <c r="MY36" s="98"/>
      <c r="MZ36" s="99"/>
      <c r="NA36" s="100"/>
      <c r="NB36" s="77"/>
      <c r="NC36" s="78"/>
      <c r="ND36" s="78"/>
      <c r="NE36" s="79"/>
      <c r="NF36" s="67"/>
      <c r="NH36" s="98"/>
      <c r="NI36" s="99"/>
      <c r="NJ36" s="329"/>
      <c r="NK36" s="77"/>
      <c r="NL36" s="78"/>
      <c r="NM36" s="78"/>
      <c r="NN36" s="79"/>
      <c r="NO36" s="67"/>
      <c r="NQ36" s="98"/>
      <c r="NR36" s="99"/>
      <c r="NS36" s="100"/>
      <c r="NT36" s="77"/>
      <c r="NU36" s="78"/>
      <c r="NV36" s="78"/>
      <c r="NW36" s="79"/>
      <c r="NX36" s="67"/>
      <c r="NZ36" s="71"/>
      <c r="OA36" s="72"/>
      <c r="OB36" s="73"/>
      <c r="OC36" s="77"/>
      <c r="OD36" s="78"/>
      <c r="OE36" s="78"/>
      <c r="OF36" s="79"/>
      <c r="OG36" s="67"/>
      <c r="OI36" s="98"/>
      <c r="OJ36" s="99"/>
      <c r="OK36" s="329"/>
      <c r="OL36" s="77"/>
      <c r="OM36" s="78"/>
      <c r="ON36" s="78"/>
      <c r="OO36" s="79"/>
      <c r="OP36" s="67"/>
      <c r="OR36" s="71"/>
      <c r="OS36" s="72"/>
      <c r="OT36" s="73"/>
      <c r="OU36" s="77"/>
      <c r="OV36" s="78"/>
      <c r="OW36" s="78"/>
      <c r="OX36" s="79"/>
      <c r="OY36" s="67"/>
      <c r="PA36" s="98"/>
      <c r="PB36" s="99"/>
      <c r="PC36" s="100"/>
      <c r="PD36" s="77"/>
      <c r="PE36" s="78"/>
      <c r="PF36" s="78"/>
      <c r="PG36" s="79"/>
      <c r="PH36" s="67"/>
      <c r="PJ36" s="277"/>
      <c r="PK36" s="278"/>
      <c r="PL36" s="279"/>
      <c r="PM36" s="125"/>
      <c r="PN36" s="126"/>
      <c r="PO36" s="126"/>
      <c r="PP36" s="127"/>
      <c r="PQ36" s="128"/>
      <c r="PS36" s="403"/>
      <c r="PT36" s="404"/>
      <c r="PU36" s="405"/>
      <c r="PV36" s="330"/>
      <c r="PW36" s="331"/>
      <c r="PX36" s="331"/>
      <c r="PY36" s="332"/>
      <c r="PZ36" s="333"/>
      <c r="QB36" s="412"/>
      <c r="QC36" s="413"/>
      <c r="QD36" s="414"/>
      <c r="QE36" s="125"/>
      <c r="QF36" s="126"/>
      <c r="QG36" s="126"/>
      <c r="QH36" s="127"/>
      <c r="QI36" s="128"/>
      <c r="QK36" s="283"/>
      <c r="QL36" s="284"/>
      <c r="QM36" s="285"/>
      <c r="QN36" s="125"/>
      <c r="QO36" s="126"/>
      <c r="QP36" s="126"/>
      <c r="QQ36" s="127"/>
      <c r="QR36" s="128" t="str">
        <f>IF(QM36="","",'Name List'!$I$4)</f>
        <v/>
      </c>
      <c r="QS36" s="91"/>
      <c r="QT36" s="107">
        <f t="shared" si="50"/>
        <v>0</v>
      </c>
      <c r="QU36" s="130">
        <f t="shared" si="51"/>
        <v>0</v>
      </c>
      <c r="QV36" s="130">
        <f t="shared" si="52"/>
        <v>0</v>
      </c>
      <c r="QW36" s="108">
        <f t="shared" si="53"/>
        <v>0</v>
      </c>
      <c r="QY36" s="260">
        <f t="shared" si="54"/>
        <v>0</v>
      </c>
      <c r="RA36" s="141">
        <f t="shared" si="55"/>
        <v>0</v>
      </c>
      <c r="RB36" s="106">
        <f t="shared" si="56"/>
        <v>0</v>
      </c>
      <c r="RC36" s="106">
        <f t="shared" si="57"/>
        <v>0</v>
      </c>
      <c r="RD36" s="106">
        <f t="shared" si="58"/>
        <v>0</v>
      </c>
      <c r="RE36" s="106">
        <f t="shared" si="59"/>
        <v>0</v>
      </c>
      <c r="RF36" s="142">
        <f t="shared" si="60"/>
        <v>0</v>
      </c>
      <c r="RG36" s="106"/>
      <c r="RH36" s="139">
        <f t="shared" si="61"/>
        <v>0</v>
      </c>
      <c r="RI36" s="140">
        <f t="shared" si="62"/>
        <v>0</v>
      </c>
      <c r="RJ36" s="106"/>
      <c r="RK36" s="136">
        <f t="shared" si="63"/>
        <v>0</v>
      </c>
      <c r="RL36" s="106"/>
      <c r="RM36" s="137">
        <f t="shared" si="64"/>
        <v>0</v>
      </c>
      <c r="RN36" s="138">
        <f t="shared" si="65"/>
        <v>0</v>
      </c>
      <c r="RO36" s="106"/>
      <c r="RP36" s="259">
        <f t="shared" si="66"/>
        <v>0</v>
      </c>
    </row>
    <row r="37" spans="1:484" x14ac:dyDescent="0.2">
      <c r="A37" s="89" t="str">
        <f>'Name List'!B37</f>
        <v>Justin Hunt</v>
      </c>
      <c r="C37" s="98"/>
      <c r="D37" s="99"/>
      <c r="E37" s="329" t="str">
        <f t="shared" si="0"/>
        <v/>
      </c>
      <c r="F37" s="77"/>
      <c r="G37" s="78"/>
      <c r="H37" s="78"/>
      <c r="I37" s="79"/>
      <c r="J37" s="333" t="str">
        <f>IF(E37="","",'Name List'!$I$4)</f>
        <v/>
      </c>
      <c r="L37" s="98"/>
      <c r="M37" s="99"/>
      <c r="N37" s="100"/>
      <c r="O37" s="77"/>
      <c r="P37" s="78"/>
      <c r="Q37" s="78"/>
      <c r="R37" s="79"/>
      <c r="S37" s="67"/>
      <c r="U37" s="71">
        <v>16</v>
      </c>
      <c r="V37" s="72">
        <v>18</v>
      </c>
      <c r="W37" s="396">
        <f t="shared" si="2"/>
        <v>34</v>
      </c>
      <c r="X37" s="77">
        <v>0</v>
      </c>
      <c r="Y37" s="78">
        <v>0</v>
      </c>
      <c r="Z37" s="78">
        <v>10</v>
      </c>
      <c r="AA37" s="79">
        <v>1</v>
      </c>
      <c r="AB37" s="333">
        <f>IF(W37="","",'Name List'!$I$4)</f>
        <v>5</v>
      </c>
      <c r="AD37" s="98">
        <v>17</v>
      </c>
      <c r="AE37" s="99">
        <v>17</v>
      </c>
      <c r="AF37" s="329">
        <f t="shared" si="3"/>
        <v>34</v>
      </c>
      <c r="AG37" s="77">
        <v>0</v>
      </c>
      <c r="AH37" s="78">
        <v>1</v>
      </c>
      <c r="AI37" s="78">
        <v>9</v>
      </c>
      <c r="AJ37" s="79">
        <v>0</v>
      </c>
      <c r="AK37" s="333">
        <f>IF(AF37="","",'Name List'!$I$4)</f>
        <v>5</v>
      </c>
      <c r="AM37" s="98"/>
      <c r="AN37" s="99"/>
      <c r="AO37" s="329" t="str">
        <f t="shared" si="4"/>
        <v/>
      </c>
      <c r="AP37" s="77"/>
      <c r="AQ37" s="78"/>
      <c r="AR37" s="78"/>
      <c r="AS37" s="79"/>
      <c r="AT37" s="333" t="str">
        <f>IF(AO37="","",'Name List'!$I$4)</f>
        <v/>
      </c>
      <c r="AV37" s="458"/>
      <c r="AW37" s="401"/>
      <c r="AX37" s="400" t="str">
        <f t="shared" si="5"/>
        <v/>
      </c>
      <c r="AY37" s="77"/>
      <c r="AZ37" s="78"/>
      <c r="BA37" s="78"/>
      <c r="BB37" s="79"/>
      <c r="BC37" s="457" t="str">
        <f>IF(AX37="","",'Name List'!$I$4)</f>
        <v/>
      </c>
      <c r="BE37" s="71">
        <v>14</v>
      </c>
      <c r="BF37" s="72">
        <v>18</v>
      </c>
      <c r="BG37" s="383">
        <f t="shared" si="6"/>
        <v>32</v>
      </c>
      <c r="BH37" s="77">
        <v>0</v>
      </c>
      <c r="BI37" s="78">
        <v>1</v>
      </c>
      <c r="BJ37" s="78">
        <v>5</v>
      </c>
      <c r="BK37" s="79">
        <v>1</v>
      </c>
      <c r="BL37" s="333">
        <f>IF(BG37="","",'Name List'!$I$4)</f>
        <v>5</v>
      </c>
      <c r="BN37" s="98"/>
      <c r="BO37" s="99"/>
      <c r="BP37" s="100"/>
      <c r="BQ37" s="77"/>
      <c r="BR37" s="78"/>
      <c r="BS37" s="78"/>
      <c r="BT37" s="79"/>
      <c r="BU37" s="67"/>
      <c r="BW37" s="98">
        <v>14</v>
      </c>
      <c r="BX37" s="99">
        <v>14</v>
      </c>
      <c r="BY37" s="329">
        <f t="shared" si="8"/>
        <v>28</v>
      </c>
      <c r="BZ37" s="77">
        <v>0</v>
      </c>
      <c r="CA37" s="78">
        <v>0</v>
      </c>
      <c r="CB37" s="78">
        <v>7</v>
      </c>
      <c r="CC37" s="79">
        <v>1</v>
      </c>
      <c r="CD37" s="333">
        <f>IF(BY37="","",'Name List'!$I$4)</f>
        <v>5</v>
      </c>
      <c r="CF37" s="68"/>
      <c r="CG37" s="69"/>
      <c r="CH37" s="282" t="str">
        <f t="shared" si="49"/>
        <v/>
      </c>
      <c r="CI37" s="77"/>
      <c r="CJ37" s="78"/>
      <c r="CK37" s="78"/>
      <c r="CL37" s="79"/>
      <c r="CM37" s="333" t="str">
        <f>IF(CH37="","",'Name List'!$I$4)</f>
        <v/>
      </c>
      <c r="CO37" s="71"/>
      <c r="CP37" s="72"/>
      <c r="CQ37" s="383" t="str">
        <f t="shared" si="9"/>
        <v/>
      </c>
      <c r="CR37" s="77"/>
      <c r="CS37" s="78"/>
      <c r="CT37" s="78"/>
      <c r="CU37" s="79"/>
      <c r="CV37" s="333" t="str">
        <f>IF(CQ37="","",'Name List'!$I$4)</f>
        <v/>
      </c>
      <c r="CX37" s="98"/>
      <c r="CY37" s="99"/>
      <c r="CZ37" s="329" t="str">
        <f t="shared" si="10"/>
        <v/>
      </c>
      <c r="DA37" s="77"/>
      <c r="DB37" s="78"/>
      <c r="DC37" s="78"/>
      <c r="DD37" s="79"/>
      <c r="DE37" s="333" t="str">
        <f>IF(CZ37="","",'Name List'!$I$4)</f>
        <v/>
      </c>
      <c r="DG37" s="98">
        <v>19</v>
      </c>
      <c r="DH37" s="99">
        <v>12</v>
      </c>
      <c r="DI37" s="329">
        <f t="shared" si="11"/>
        <v>31</v>
      </c>
      <c r="DJ37" s="77">
        <v>0</v>
      </c>
      <c r="DK37" s="78">
        <v>2</v>
      </c>
      <c r="DL37" s="78">
        <v>4</v>
      </c>
      <c r="DM37" s="79">
        <v>2</v>
      </c>
      <c r="DN37" s="333">
        <f>IF(DI37="","",'Name List'!$I$4)</f>
        <v>5</v>
      </c>
      <c r="DP37" s="98">
        <v>19</v>
      </c>
      <c r="DQ37" s="99">
        <v>23</v>
      </c>
      <c r="DR37" s="329">
        <f t="shared" si="12"/>
        <v>42</v>
      </c>
      <c r="DS37" s="77">
        <v>1</v>
      </c>
      <c r="DT37" s="78">
        <v>5</v>
      </c>
      <c r="DU37" s="78">
        <v>4</v>
      </c>
      <c r="DV37" s="79">
        <v>1</v>
      </c>
      <c r="DW37" s="333">
        <f>IF(DR37="","",'Name List'!$I$4)</f>
        <v>5</v>
      </c>
      <c r="DY37" s="98"/>
      <c r="DZ37" s="99"/>
      <c r="EA37" s="329" t="str">
        <f t="shared" si="13"/>
        <v/>
      </c>
      <c r="EB37" s="77"/>
      <c r="EC37" s="78"/>
      <c r="ED37" s="78"/>
      <c r="EE37" s="79"/>
      <c r="EF37" s="333" t="str">
        <f>IF(EA37="","",'Name List'!$I$4)</f>
        <v/>
      </c>
      <c r="EH37" s="98">
        <v>21</v>
      </c>
      <c r="EI37" s="99">
        <v>15</v>
      </c>
      <c r="EJ37" s="329">
        <f t="shared" si="14"/>
        <v>36</v>
      </c>
      <c r="EK37" s="77">
        <v>0</v>
      </c>
      <c r="EL37" s="78">
        <v>0</v>
      </c>
      <c r="EM37" s="78">
        <v>12</v>
      </c>
      <c r="EN37" s="79">
        <v>0</v>
      </c>
      <c r="EO37" s="333">
        <f>IF(EJ37="","",'Name List'!$I$4)</f>
        <v>5</v>
      </c>
      <c r="EQ37" s="115"/>
      <c r="ER37" s="116"/>
      <c r="ES37" s="117">
        <v>82</v>
      </c>
      <c r="ET37" s="77">
        <v>0</v>
      </c>
      <c r="EU37" s="78">
        <v>2</v>
      </c>
      <c r="EV37" s="78">
        <v>9</v>
      </c>
      <c r="EW37" s="79"/>
      <c r="EX37" s="333">
        <f>IF(ES37="","",'Name List'!$I$4)</f>
        <v>5</v>
      </c>
      <c r="EZ37" s="68"/>
      <c r="FA37" s="69"/>
      <c r="FB37" s="70"/>
      <c r="FC37" s="77"/>
      <c r="FD37" s="78"/>
      <c r="FE37" s="78"/>
      <c r="FF37" s="79"/>
      <c r="FG37" s="67"/>
      <c r="FI37" s="98"/>
      <c r="FJ37" s="99"/>
      <c r="FK37" s="329" t="str">
        <f t="shared" si="16"/>
        <v/>
      </c>
      <c r="FL37" s="77"/>
      <c r="FM37" s="78"/>
      <c r="FN37" s="78"/>
      <c r="FO37" s="79"/>
      <c r="FP37" s="333" t="str">
        <f>IF(FK37="","",'Name List'!$I$4)</f>
        <v/>
      </c>
      <c r="FR37" s="98"/>
      <c r="FS37" s="99"/>
      <c r="FT37" s="329" t="str">
        <f t="shared" si="17"/>
        <v/>
      </c>
      <c r="FU37" s="77"/>
      <c r="FV37" s="78"/>
      <c r="FW37" s="78"/>
      <c r="FX37" s="79"/>
      <c r="FY37" s="333" t="str">
        <f>IF(FT37="","",'Name List'!$I$4)</f>
        <v/>
      </c>
      <c r="GA37" s="98">
        <v>19</v>
      </c>
      <c r="GB37" s="99">
        <v>17</v>
      </c>
      <c r="GC37" s="329">
        <f t="shared" si="18"/>
        <v>36</v>
      </c>
      <c r="GD37" s="77">
        <v>0</v>
      </c>
      <c r="GE37" s="78">
        <v>2</v>
      </c>
      <c r="GF37" s="78">
        <v>9</v>
      </c>
      <c r="GG37" s="79">
        <v>1</v>
      </c>
      <c r="GH37" s="333">
        <f>IF(GC37="","",'Name List'!$I$4)</f>
        <v>5</v>
      </c>
      <c r="GJ37" s="98">
        <v>17</v>
      </c>
      <c r="GK37" s="99">
        <v>20</v>
      </c>
      <c r="GL37" s="329">
        <f t="shared" si="19"/>
        <v>37</v>
      </c>
      <c r="GM37" s="77">
        <v>0</v>
      </c>
      <c r="GN37" s="78">
        <v>2</v>
      </c>
      <c r="GO37" s="78">
        <v>11</v>
      </c>
      <c r="GP37" s="79">
        <v>1</v>
      </c>
      <c r="GQ37" s="333">
        <f>IF(GL37="","",'Name List'!$I$4)</f>
        <v>5</v>
      </c>
      <c r="GS37" s="68"/>
      <c r="GT37" s="69"/>
      <c r="GU37" s="70"/>
      <c r="GV37" s="77"/>
      <c r="GW37" s="78"/>
      <c r="GX37" s="78"/>
      <c r="GY37" s="79"/>
      <c r="GZ37" s="67"/>
      <c r="HB37" s="98"/>
      <c r="HC37" s="99"/>
      <c r="HD37" s="329" t="str">
        <f t="shared" si="21"/>
        <v/>
      </c>
      <c r="HE37" s="77"/>
      <c r="HF37" s="78"/>
      <c r="HG37" s="78"/>
      <c r="HH37" s="79"/>
      <c r="HI37" s="333" t="str">
        <f>IF(HD37="","",'Name List'!$I$4)</f>
        <v/>
      </c>
      <c r="HK37" s="71"/>
      <c r="HL37" s="72"/>
      <c r="HM37" s="383" t="str">
        <f t="shared" si="22"/>
        <v/>
      </c>
      <c r="HN37" s="77"/>
      <c r="HO37" s="78"/>
      <c r="HP37" s="78"/>
      <c r="HQ37" s="79"/>
      <c r="HR37" s="333" t="str">
        <f>IF(HM37="","",'Name List'!$I$4)</f>
        <v/>
      </c>
      <c r="HT37" s="68"/>
      <c r="HU37" s="69"/>
      <c r="HV37" s="70"/>
      <c r="HW37" s="77"/>
      <c r="HX37" s="78"/>
      <c r="HY37" s="78"/>
      <c r="HZ37" s="79"/>
      <c r="IA37" s="67"/>
      <c r="IC37" s="115"/>
      <c r="ID37" s="116"/>
      <c r="IE37" s="117"/>
      <c r="IF37" s="77"/>
      <c r="IG37" s="78"/>
      <c r="IH37" s="78"/>
      <c r="II37" s="79"/>
      <c r="IJ37" s="333" t="str">
        <f>IF(IE37="","",'Name List'!$I$4)</f>
        <v/>
      </c>
      <c r="IL37" s="98"/>
      <c r="IM37" s="99"/>
      <c r="IN37" s="100"/>
      <c r="IO37" s="77"/>
      <c r="IP37" s="78"/>
      <c r="IQ37" s="78"/>
      <c r="IR37" s="79"/>
      <c r="IS37" s="67"/>
      <c r="IU37" s="98"/>
      <c r="IV37" s="99"/>
      <c r="IW37" s="100"/>
      <c r="IX37" s="77"/>
      <c r="IY37" s="78"/>
      <c r="IZ37" s="78"/>
      <c r="JA37" s="79"/>
      <c r="JB37" s="67"/>
      <c r="JD37" s="98"/>
      <c r="JE37" s="99"/>
      <c r="JF37" s="100"/>
      <c r="JG37" s="77"/>
      <c r="JH37" s="78"/>
      <c r="JI37" s="78"/>
      <c r="JJ37" s="79"/>
      <c r="JK37" s="67"/>
      <c r="JM37" s="98"/>
      <c r="JN37" s="99"/>
      <c r="JO37" s="275"/>
      <c r="JP37" s="77"/>
      <c r="JQ37" s="78"/>
      <c r="JR37" s="78"/>
      <c r="JS37" s="79"/>
      <c r="JT37" s="67"/>
      <c r="JV37" s="98"/>
      <c r="JW37" s="99"/>
      <c r="JX37" s="100"/>
      <c r="JY37" s="77"/>
      <c r="JZ37" s="78"/>
      <c r="KA37" s="78"/>
      <c r="KB37" s="79"/>
      <c r="KC37" s="67"/>
      <c r="KE37" s="98"/>
      <c r="KF37" s="99"/>
      <c r="KG37" s="100"/>
      <c r="KH37" s="77"/>
      <c r="KI37" s="78"/>
      <c r="KJ37" s="78"/>
      <c r="KK37" s="79"/>
      <c r="KL37" s="67"/>
      <c r="KN37" s="68"/>
      <c r="KO37" s="69"/>
      <c r="KP37" s="70"/>
      <c r="KQ37" s="77"/>
      <c r="KR37" s="78"/>
      <c r="KS37" s="78"/>
      <c r="KT37" s="79"/>
      <c r="KU37" s="67"/>
      <c r="KW37" s="98"/>
      <c r="KX37" s="99"/>
      <c r="KY37" s="100"/>
      <c r="KZ37" s="77"/>
      <c r="LA37" s="78"/>
      <c r="LB37" s="78"/>
      <c r="LC37" s="79"/>
      <c r="LD37" s="67"/>
      <c r="LF37" s="71"/>
      <c r="LG37" s="72"/>
      <c r="LH37" s="73"/>
      <c r="LI37" s="77"/>
      <c r="LJ37" s="78"/>
      <c r="LK37" s="78"/>
      <c r="LL37" s="79"/>
      <c r="LM37" s="67"/>
      <c r="LO37" s="98"/>
      <c r="LP37" s="99"/>
      <c r="LQ37" s="329"/>
      <c r="LR37" s="77"/>
      <c r="LS37" s="78"/>
      <c r="LT37" s="78"/>
      <c r="LU37" s="79"/>
      <c r="LV37" s="67"/>
      <c r="LX37" s="98"/>
      <c r="LY37" s="99"/>
      <c r="LZ37" s="100"/>
      <c r="MA37" s="77"/>
      <c r="MB37" s="78"/>
      <c r="MC37" s="78"/>
      <c r="MD37" s="79"/>
      <c r="ME37" s="67"/>
      <c r="MG37" s="98"/>
      <c r="MH37" s="99"/>
      <c r="MI37" s="100"/>
      <c r="MJ37" s="77"/>
      <c r="MK37" s="78"/>
      <c r="ML37" s="78"/>
      <c r="MM37" s="79"/>
      <c r="MN37" s="67"/>
      <c r="MP37" s="98"/>
      <c r="MQ37" s="99"/>
      <c r="MR37" s="100"/>
      <c r="MS37" s="77"/>
      <c r="MT37" s="78"/>
      <c r="MU37" s="78"/>
      <c r="MV37" s="79"/>
      <c r="MW37" s="67"/>
      <c r="MY37" s="98"/>
      <c r="MZ37" s="99"/>
      <c r="NA37" s="100"/>
      <c r="NB37" s="77"/>
      <c r="NC37" s="78"/>
      <c r="ND37" s="78"/>
      <c r="NE37" s="79"/>
      <c r="NF37" s="67"/>
      <c r="NH37" s="98"/>
      <c r="NI37" s="99"/>
      <c r="NJ37" s="329"/>
      <c r="NK37" s="77"/>
      <c r="NL37" s="78"/>
      <c r="NM37" s="78"/>
      <c r="NN37" s="79"/>
      <c r="NO37" s="67"/>
      <c r="NQ37" s="98"/>
      <c r="NR37" s="99"/>
      <c r="NS37" s="100"/>
      <c r="NT37" s="77"/>
      <c r="NU37" s="78"/>
      <c r="NV37" s="78"/>
      <c r="NW37" s="79"/>
      <c r="NX37" s="67"/>
      <c r="NZ37" s="71"/>
      <c r="OA37" s="72"/>
      <c r="OB37" s="73"/>
      <c r="OC37" s="77"/>
      <c r="OD37" s="78"/>
      <c r="OE37" s="78"/>
      <c r="OF37" s="79"/>
      <c r="OG37" s="67"/>
      <c r="OI37" s="98"/>
      <c r="OJ37" s="99"/>
      <c r="OK37" s="329"/>
      <c r="OL37" s="77"/>
      <c r="OM37" s="78"/>
      <c r="ON37" s="78"/>
      <c r="OO37" s="79"/>
      <c r="OP37" s="67"/>
      <c r="OR37" s="71"/>
      <c r="OS37" s="72"/>
      <c r="OT37" s="73"/>
      <c r="OU37" s="77"/>
      <c r="OV37" s="78"/>
      <c r="OW37" s="78"/>
      <c r="OX37" s="79"/>
      <c r="OY37" s="67"/>
      <c r="PA37" s="98"/>
      <c r="PB37" s="99"/>
      <c r="PC37" s="100"/>
      <c r="PD37" s="77"/>
      <c r="PE37" s="78"/>
      <c r="PF37" s="78"/>
      <c r="PG37" s="79"/>
      <c r="PH37" s="67"/>
      <c r="PJ37" s="277"/>
      <c r="PK37" s="278"/>
      <c r="PL37" s="279"/>
      <c r="PM37" s="125"/>
      <c r="PN37" s="126"/>
      <c r="PO37" s="126"/>
      <c r="PP37" s="127"/>
      <c r="PQ37" s="128"/>
      <c r="PS37" s="403"/>
      <c r="PT37" s="404"/>
      <c r="PU37" s="405"/>
      <c r="PV37" s="330"/>
      <c r="PW37" s="331"/>
      <c r="PX37" s="331"/>
      <c r="PY37" s="332"/>
      <c r="PZ37" s="333"/>
      <c r="QB37" s="412"/>
      <c r="QC37" s="413"/>
      <c r="QD37" s="414"/>
      <c r="QE37" s="125"/>
      <c r="QF37" s="126"/>
      <c r="QG37" s="126"/>
      <c r="QH37" s="127"/>
      <c r="QI37" s="128"/>
      <c r="QK37" s="283"/>
      <c r="QL37" s="284"/>
      <c r="QM37" s="285"/>
      <c r="QN37" s="125"/>
      <c r="QO37" s="126"/>
      <c r="QP37" s="126"/>
      <c r="QQ37" s="127"/>
      <c r="QR37" s="128" t="str">
        <f>IF(QM37="","",'Name List'!$I$4)</f>
        <v/>
      </c>
      <c r="QS37" s="91"/>
      <c r="QT37" s="107">
        <f t="shared" si="50"/>
        <v>1</v>
      </c>
      <c r="QU37" s="130">
        <f t="shared" si="51"/>
        <v>15</v>
      </c>
      <c r="QV37" s="130">
        <f t="shared" si="52"/>
        <v>80</v>
      </c>
      <c r="QW37" s="108">
        <f t="shared" si="53"/>
        <v>8</v>
      </c>
      <c r="QY37" s="260">
        <f t="shared" si="54"/>
        <v>9</v>
      </c>
      <c r="RA37" s="141">
        <f t="shared" si="55"/>
        <v>21</v>
      </c>
      <c r="RB37" s="106">
        <f t="shared" si="56"/>
        <v>23</v>
      </c>
      <c r="RC37" s="106">
        <f t="shared" si="57"/>
        <v>42</v>
      </c>
      <c r="RD37" s="106">
        <f t="shared" si="58"/>
        <v>14</v>
      </c>
      <c r="RE37" s="106">
        <f t="shared" si="59"/>
        <v>12</v>
      </c>
      <c r="RF37" s="142">
        <f t="shared" si="60"/>
        <v>28</v>
      </c>
      <c r="RG37" s="106"/>
      <c r="RH37" s="139">
        <f t="shared" si="61"/>
        <v>34</v>
      </c>
      <c r="RI37" s="140">
        <f t="shared" si="62"/>
        <v>32</v>
      </c>
      <c r="RJ37" s="106"/>
      <c r="RK37" s="136">
        <f t="shared" si="63"/>
        <v>34.444444444444443</v>
      </c>
      <c r="RL37" s="106"/>
      <c r="RM37" s="137">
        <f t="shared" si="64"/>
        <v>82</v>
      </c>
      <c r="RN37" s="138">
        <f t="shared" si="65"/>
        <v>82</v>
      </c>
      <c r="RO37" s="106"/>
      <c r="RP37" s="259">
        <f t="shared" si="66"/>
        <v>1</v>
      </c>
    </row>
    <row r="38" spans="1:484" x14ac:dyDescent="0.2">
      <c r="A38" s="89" t="str">
        <f>'Name List'!B38</f>
        <v>Mark Hutchinson</v>
      </c>
      <c r="C38" s="98"/>
      <c r="D38" s="99"/>
      <c r="E38" s="329" t="str">
        <f t="shared" si="0"/>
        <v/>
      </c>
      <c r="F38" s="77"/>
      <c r="G38" s="78"/>
      <c r="H38" s="78"/>
      <c r="I38" s="79"/>
      <c r="J38" s="333" t="str">
        <f>IF(E38="","",'Name List'!$I$4)</f>
        <v/>
      </c>
      <c r="L38" s="98"/>
      <c r="M38" s="99"/>
      <c r="N38" s="100"/>
      <c r="O38" s="77"/>
      <c r="P38" s="78"/>
      <c r="Q38" s="78"/>
      <c r="R38" s="79"/>
      <c r="S38" s="67"/>
      <c r="U38" s="71"/>
      <c r="V38" s="72"/>
      <c r="W38" s="396" t="str">
        <f t="shared" si="2"/>
        <v/>
      </c>
      <c r="X38" s="77"/>
      <c r="Y38" s="78"/>
      <c r="Z38" s="78"/>
      <c r="AA38" s="79"/>
      <c r="AB38" s="333" t="str">
        <f>IF(W38="","",'Name List'!$I$4)</f>
        <v/>
      </c>
      <c r="AD38" s="98"/>
      <c r="AE38" s="99"/>
      <c r="AF38" s="329" t="str">
        <f t="shared" si="3"/>
        <v/>
      </c>
      <c r="AG38" s="77"/>
      <c r="AH38" s="78"/>
      <c r="AI38" s="78"/>
      <c r="AJ38" s="79"/>
      <c r="AK38" s="333" t="str">
        <f>IF(AF38="","",'Name List'!$I$4)</f>
        <v/>
      </c>
      <c r="AM38" s="98"/>
      <c r="AN38" s="99"/>
      <c r="AO38" s="329" t="str">
        <f t="shared" si="4"/>
        <v/>
      </c>
      <c r="AP38" s="77"/>
      <c r="AQ38" s="78"/>
      <c r="AR38" s="78"/>
      <c r="AS38" s="79"/>
      <c r="AT38" s="333" t="str">
        <f>IF(AO38="","",'Name List'!$I$4)</f>
        <v/>
      </c>
      <c r="AV38" s="458"/>
      <c r="AW38" s="401"/>
      <c r="AX38" s="400" t="str">
        <f t="shared" si="5"/>
        <v/>
      </c>
      <c r="AY38" s="77"/>
      <c r="AZ38" s="78"/>
      <c r="BA38" s="78"/>
      <c r="BB38" s="79"/>
      <c r="BC38" s="457" t="str">
        <f>IF(AX38="","",'Name List'!$I$4)</f>
        <v/>
      </c>
      <c r="BE38" s="71"/>
      <c r="BF38" s="72"/>
      <c r="BG38" s="383" t="str">
        <f t="shared" si="6"/>
        <v/>
      </c>
      <c r="BH38" s="77"/>
      <c r="BI38" s="78"/>
      <c r="BJ38" s="78"/>
      <c r="BK38" s="79"/>
      <c r="BL38" s="333" t="str">
        <f>IF(BG38="","",'Name List'!$I$4)</f>
        <v/>
      </c>
      <c r="BN38" s="98"/>
      <c r="BO38" s="99"/>
      <c r="BP38" s="100"/>
      <c r="BQ38" s="77"/>
      <c r="BR38" s="78"/>
      <c r="BS38" s="78"/>
      <c r="BT38" s="79"/>
      <c r="BU38" s="67"/>
      <c r="BW38" s="98"/>
      <c r="BX38" s="99"/>
      <c r="BY38" s="329" t="str">
        <f t="shared" si="8"/>
        <v/>
      </c>
      <c r="BZ38" s="77"/>
      <c r="CA38" s="78"/>
      <c r="CB38" s="78"/>
      <c r="CC38" s="79"/>
      <c r="CD38" s="333" t="str">
        <f>IF(BY38="","",'Name List'!$I$4)</f>
        <v/>
      </c>
      <c r="CF38" s="68"/>
      <c r="CG38" s="69"/>
      <c r="CH38" s="282" t="str">
        <f t="shared" si="49"/>
        <v/>
      </c>
      <c r="CI38" s="77"/>
      <c r="CJ38" s="78"/>
      <c r="CK38" s="78"/>
      <c r="CL38" s="79"/>
      <c r="CM38" s="333" t="str">
        <f>IF(CH38="","",'Name List'!$I$4)</f>
        <v/>
      </c>
      <c r="CO38" s="71"/>
      <c r="CP38" s="72"/>
      <c r="CQ38" s="383" t="str">
        <f t="shared" si="9"/>
        <v/>
      </c>
      <c r="CR38" s="77"/>
      <c r="CS38" s="78"/>
      <c r="CT38" s="78"/>
      <c r="CU38" s="79"/>
      <c r="CV38" s="333" t="str">
        <f>IF(CQ38="","",'Name List'!$I$4)</f>
        <v/>
      </c>
      <c r="CX38" s="98"/>
      <c r="CY38" s="99"/>
      <c r="CZ38" s="329" t="str">
        <f t="shared" si="10"/>
        <v/>
      </c>
      <c r="DA38" s="77"/>
      <c r="DB38" s="78"/>
      <c r="DC38" s="78"/>
      <c r="DD38" s="79"/>
      <c r="DE38" s="333" t="str">
        <f>IF(CZ38="","",'Name List'!$I$4)</f>
        <v/>
      </c>
      <c r="DG38" s="98"/>
      <c r="DH38" s="99"/>
      <c r="DI38" s="329" t="str">
        <f t="shared" si="11"/>
        <v/>
      </c>
      <c r="DJ38" s="77"/>
      <c r="DK38" s="78"/>
      <c r="DL38" s="78"/>
      <c r="DM38" s="79"/>
      <c r="DN38" s="333" t="str">
        <f>IF(DI38="","",'Name List'!$I$4)</f>
        <v/>
      </c>
      <c r="DP38" s="98"/>
      <c r="DQ38" s="99"/>
      <c r="DR38" s="329" t="str">
        <f t="shared" si="12"/>
        <v/>
      </c>
      <c r="DS38" s="77"/>
      <c r="DT38" s="78"/>
      <c r="DU38" s="78"/>
      <c r="DV38" s="79"/>
      <c r="DW38" s="333" t="str">
        <f>IF(DR38="","",'Name List'!$I$4)</f>
        <v/>
      </c>
      <c r="DY38" s="98"/>
      <c r="DZ38" s="99"/>
      <c r="EA38" s="329" t="str">
        <f t="shared" si="13"/>
        <v/>
      </c>
      <c r="EB38" s="77"/>
      <c r="EC38" s="78"/>
      <c r="ED38" s="78"/>
      <c r="EE38" s="79"/>
      <c r="EF38" s="333" t="str">
        <f>IF(EA38="","",'Name List'!$I$4)</f>
        <v/>
      </c>
      <c r="EH38" s="98"/>
      <c r="EI38" s="99"/>
      <c r="EJ38" s="329" t="str">
        <f t="shared" si="14"/>
        <v/>
      </c>
      <c r="EK38" s="77"/>
      <c r="EL38" s="78"/>
      <c r="EM38" s="78"/>
      <c r="EN38" s="79"/>
      <c r="EO38" s="333" t="str">
        <f>IF(EJ38="","",'Name List'!$I$4)</f>
        <v/>
      </c>
      <c r="EQ38" s="115"/>
      <c r="ER38" s="116"/>
      <c r="ES38" s="117"/>
      <c r="ET38" s="77"/>
      <c r="EU38" s="78"/>
      <c r="EV38" s="78"/>
      <c r="EW38" s="79"/>
      <c r="EX38" s="333" t="str">
        <f>IF(ES38="","",'Name List'!$I$4)</f>
        <v/>
      </c>
      <c r="EZ38" s="68"/>
      <c r="FA38" s="69"/>
      <c r="FB38" s="70"/>
      <c r="FC38" s="77"/>
      <c r="FD38" s="78"/>
      <c r="FE38" s="78"/>
      <c r="FF38" s="79"/>
      <c r="FG38" s="67"/>
      <c r="FI38" s="98"/>
      <c r="FJ38" s="99"/>
      <c r="FK38" s="329" t="str">
        <f t="shared" si="16"/>
        <v/>
      </c>
      <c r="FL38" s="77"/>
      <c r="FM38" s="78"/>
      <c r="FN38" s="78"/>
      <c r="FO38" s="79"/>
      <c r="FP38" s="333" t="str">
        <f>IF(FK38="","",'Name List'!$I$4)</f>
        <v/>
      </c>
      <c r="FR38" s="98"/>
      <c r="FS38" s="99"/>
      <c r="FT38" s="329" t="str">
        <f t="shared" si="17"/>
        <v/>
      </c>
      <c r="FU38" s="77"/>
      <c r="FV38" s="78"/>
      <c r="FW38" s="78"/>
      <c r="FX38" s="79"/>
      <c r="FY38" s="333" t="str">
        <f>IF(FT38="","",'Name List'!$I$4)</f>
        <v/>
      </c>
      <c r="GA38" s="98"/>
      <c r="GB38" s="99"/>
      <c r="GC38" s="329" t="str">
        <f t="shared" si="18"/>
        <v/>
      </c>
      <c r="GD38" s="77"/>
      <c r="GE38" s="78"/>
      <c r="GF38" s="78"/>
      <c r="GG38" s="79"/>
      <c r="GH38" s="333" t="str">
        <f>IF(GC38="","",'Name List'!$I$4)</f>
        <v/>
      </c>
      <c r="GJ38" s="98"/>
      <c r="GK38" s="99"/>
      <c r="GL38" s="329" t="str">
        <f t="shared" si="19"/>
        <v/>
      </c>
      <c r="GM38" s="77"/>
      <c r="GN38" s="78"/>
      <c r="GO38" s="78"/>
      <c r="GP38" s="79"/>
      <c r="GQ38" s="333" t="str">
        <f>IF(GL38="","",'Name List'!$I$4)</f>
        <v/>
      </c>
      <c r="GS38" s="68"/>
      <c r="GT38" s="69"/>
      <c r="GU38" s="70"/>
      <c r="GV38" s="77"/>
      <c r="GW38" s="78"/>
      <c r="GX38" s="78"/>
      <c r="GY38" s="79"/>
      <c r="GZ38" s="67"/>
      <c r="HB38" s="98"/>
      <c r="HC38" s="99"/>
      <c r="HD38" s="329" t="str">
        <f t="shared" si="21"/>
        <v/>
      </c>
      <c r="HE38" s="77"/>
      <c r="HF38" s="78"/>
      <c r="HG38" s="78"/>
      <c r="HH38" s="79"/>
      <c r="HI38" s="333" t="str">
        <f>IF(HD38="","",'Name List'!$I$4)</f>
        <v/>
      </c>
      <c r="HK38" s="71"/>
      <c r="HL38" s="72"/>
      <c r="HM38" s="383" t="str">
        <f t="shared" si="22"/>
        <v/>
      </c>
      <c r="HN38" s="77"/>
      <c r="HO38" s="78"/>
      <c r="HP38" s="78"/>
      <c r="HQ38" s="79"/>
      <c r="HR38" s="333" t="str">
        <f>IF(HM38="","",'Name List'!$I$4)</f>
        <v/>
      </c>
      <c r="HT38" s="68"/>
      <c r="HU38" s="69"/>
      <c r="HV38" s="70"/>
      <c r="HW38" s="77"/>
      <c r="HX38" s="78"/>
      <c r="HY38" s="78"/>
      <c r="HZ38" s="79"/>
      <c r="IA38" s="67"/>
      <c r="IC38" s="115"/>
      <c r="ID38" s="116"/>
      <c r="IE38" s="117"/>
      <c r="IF38" s="77"/>
      <c r="IG38" s="78"/>
      <c r="IH38" s="78"/>
      <c r="II38" s="79"/>
      <c r="IJ38" s="333" t="str">
        <f>IF(IE38="","",'Name List'!$I$4)</f>
        <v/>
      </c>
      <c r="IL38" s="98"/>
      <c r="IM38" s="99"/>
      <c r="IN38" s="100"/>
      <c r="IO38" s="77"/>
      <c r="IP38" s="78"/>
      <c r="IQ38" s="78"/>
      <c r="IR38" s="79"/>
      <c r="IS38" s="67"/>
      <c r="IU38" s="98"/>
      <c r="IV38" s="99"/>
      <c r="IW38" s="100"/>
      <c r="IX38" s="77"/>
      <c r="IY38" s="78"/>
      <c r="IZ38" s="78"/>
      <c r="JA38" s="79"/>
      <c r="JB38" s="67"/>
      <c r="JD38" s="98"/>
      <c r="JE38" s="99"/>
      <c r="JF38" s="100"/>
      <c r="JG38" s="77"/>
      <c r="JH38" s="78"/>
      <c r="JI38" s="78"/>
      <c r="JJ38" s="79"/>
      <c r="JK38" s="67"/>
      <c r="JM38" s="98"/>
      <c r="JN38" s="99"/>
      <c r="JO38" s="275"/>
      <c r="JP38" s="77"/>
      <c r="JQ38" s="78"/>
      <c r="JR38" s="78"/>
      <c r="JS38" s="79"/>
      <c r="JT38" s="67"/>
      <c r="JV38" s="98"/>
      <c r="JW38" s="99"/>
      <c r="JX38" s="100"/>
      <c r="JY38" s="77"/>
      <c r="JZ38" s="78"/>
      <c r="KA38" s="78"/>
      <c r="KB38" s="79"/>
      <c r="KC38" s="67"/>
      <c r="KE38" s="98"/>
      <c r="KF38" s="99"/>
      <c r="KG38" s="100"/>
      <c r="KH38" s="77"/>
      <c r="KI38" s="78"/>
      <c r="KJ38" s="78"/>
      <c r="KK38" s="79"/>
      <c r="KL38" s="67"/>
      <c r="KN38" s="68"/>
      <c r="KO38" s="69"/>
      <c r="KP38" s="70"/>
      <c r="KQ38" s="77"/>
      <c r="KR38" s="78"/>
      <c r="KS38" s="78"/>
      <c r="KT38" s="79"/>
      <c r="KU38" s="67"/>
      <c r="KW38" s="98"/>
      <c r="KX38" s="99"/>
      <c r="KY38" s="100"/>
      <c r="KZ38" s="77"/>
      <c r="LA38" s="78"/>
      <c r="LB38" s="78"/>
      <c r="LC38" s="79"/>
      <c r="LD38" s="67"/>
      <c r="LF38" s="71"/>
      <c r="LG38" s="72"/>
      <c r="LH38" s="73"/>
      <c r="LI38" s="77"/>
      <c r="LJ38" s="78"/>
      <c r="LK38" s="78"/>
      <c r="LL38" s="79"/>
      <c r="LM38" s="67"/>
      <c r="LO38" s="98"/>
      <c r="LP38" s="99"/>
      <c r="LQ38" s="329"/>
      <c r="LR38" s="77"/>
      <c r="LS38" s="78"/>
      <c r="LT38" s="78"/>
      <c r="LU38" s="79"/>
      <c r="LV38" s="67"/>
      <c r="LX38" s="98"/>
      <c r="LY38" s="99"/>
      <c r="LZ38" s="100"/>
      <c r="MA38" s="77"/>
      <c r="MB38" s="78"/>
      <c r="MC38" s="78"/>
      <c r="MD38" s="79"/>
      <c r="ME38" s="67"/>
      <c r="MG38" s="98"/>
      <c r="MH38" s="99"/>
      <c r="MI38" s="100"/>
      <c r="MJ38" s="77"/>
      <c r="MK38" s="78"/>
      <c r="ML38" s="78"/>
      <c r="MM38" s="79"/>
      <c r="MN38" s="67"/>
      <c r="MP38" s="98"/>
      <c r="MQ38" s="99"/>
      <c r="MR38" s="100"/>
      <c r="MS38" s="77"/>
      <c r="MT38" s="78"/>
      <c r="MU38" s="78"/>
      <c r="MV38" s="79"/>
      <c r="MW38" s="67"/>
      <c r="MY38" s="98"/>
      <c r="MZ38" s="99"/>
      <c r="NA38" s="100"/>
      <c r="NB38" s="77"/>
      <c r="NC38" s="78"/>
      <c r="ND38" s="78"/>
      <c r="NE38" s="79"/>
      <c r="NF38" s="67"/>
      <c r="NH38" s="98"/>
      <c r="NI38" s="99"/>
      <c r="NJ38" s="329"/>
      <c r="NK38" s="77"/>
      <c r="NL38" s="78"/>
      <c r="NM38" s="78"/>
      <c r="NN38" s="79"/>
      <c r="NO38" s="67"/>
      <c r="NQ38" s="98"/>
      <c r="NR38" s="99"/>
      <c r="NS38" s="100"/>
      <c r="NT38" s="77"/>
      <c r="NU38" s="78"/>
      <c r="NV38" s="78"/>
      <c r="NW38" s="79"/>
      <c r="NX38" s="67"/>
      <c r="NZ38" s="71"/>
      <c r="OA38" s="72"/>
      <c r="OB38" s="73"/>
      <c r="OC38" s="77"/>
      <c r="OD38" s="78"/>
      <c r="OE38" s="78"/>
      <c r="OF38" s="79"/>
      <c r="OG38" s="67"/>
      <c r="OI38" s="98"/>
      <c r="OJ38" s="99"/>
      <c r="OK38" s="329"/>
      <c r="OL38" s="77"/>
      <c r="OM38" s="78"/>
      <c r="ON38" s="78"/>
      <c r="OO38" s="79"/>
      <c r="OP38" s="67"/>
      <c r="OR38" s="71"/>
      <c r="OS38" s="72"/>
      <c r="OT38" s="73"/>
      <c r="OU38" s="77"/>
      <c r="OV38" s="78"/>
      <c r="OW38" s="78"/>
      <c r="OX38" s="79"/>
      <c r="OY38" s="67"/>
      <c r="PA38" s="98"/>
      <c r="PB38" s="99"/>
      <c r="PC38" s="100"/>
      <c r="PD38" s="77"/>
      <c r="PE38" s="78"/>
      <c r="PF38" s="78"/>
      <c r="PG38" s="79"/>
      <c r="PH38" s="67"/>
      <c r="PJ38" s="277"/>
      <c r="PK38" s="278"/>
      <c r="PL38" s="279"/>
      <c r="PM38" s="125"/>
      <c r="PN38" s="126"/>
      <c r="PO38" s="126"/>
      <c r="PP38" s="127"/>
      <c r="PQ38" s="128"/>
      <c r="PS38" s="403"/>
      <c r="PT38" s="404"/>
      <c r="PU38" s="405"/>
      <c r="PV38" s="330"/>
      <c r="PW38" s="331"/>
      <c r="PX38" s="331"/>
      <c r="PY38" s="332"/>
      <c r="PZ38" s="333"/>
      <c r="QB38" s="412"/>
      <c r="QC38" s="413"/>
      <c r="QD38" s="414"/>
      <c r="QE38" s="125"/>
      <c r="QF38" s="126"/>
      <c r="QG38" s="126"/>
      <c r="QH38" s="127"/>
      <c r="QI38" s="128"/>
      <c r="QK38" s="283"/>
      <c r="QL38" s="284"/>
      <c r="QM38" s="285"/>
      <c r="QN38" s="125"/>
      <c r="QO38" s="126"/>
      <c r="QP38" s="126"/>
      <c r="QQ38" s="127"/>
      <c r="QR38" s="128" t="str">
        <f>IF(QM38="","",'Name List'!$I$4)</f>
        <v/>
      </c>
      <c r="QS38" s="91"/>
      <c r="QT38" s="107">
        <f t="shared" si="50"/>
        <v>0</v>
      </c>
      <c r="QU38" s="130">
        <f t="shared" si="51"/>
        <v>0</v>
      </c>
      <c r="QV38" s="130">
        <f t="shared" si="52"/>
        <v>0</v>
      </c>
      <c r="QW38" s="108">
        <f t="shared" si="53"/>
        <v>0</v>
      </c>
      <c r="QY38" s="260">
        <f t="shared" si="54"/>
        <v>0</v>
      </c>
      <c r="RA38" s="141">
        <f t="shared" si="55"/>
        <v>0</v>
      </c>
      <c r="RB38" s="106">
        <f t="shared" si="56"/>
        <v>0</v>
      </c>
      <c r="RC38" s="106">
        <f t="shared" si="57"/>
        <v>0</v>
      </c>
      <c r="RD38" s="106">
        <f t="shared" si="58"/>
        <v>0</v>
      </c>
      <c r="RE38" s="106">
        <f t="shared" si="59"/>
        <v>0</v>
      </c>
      <c r="RF38" s="142">
        <f t="shared" si="60"/>
        <v>0</v>
      </c>
      <c r="RG38" s="106"/>
      <c r="RH38" s="139">
        <f t="shared" si="61"/>
        <v>0</v>
      </c>
      <c r="RI38" s="140">
        <f t="shared" si="62"/>
        <v>0</v>
      </c>
      <c r="RJ38" s="106"/>
      <c r="RK38" s="136">
        <f t="shared" si="63"/>
        <v>0</v>
      </c>
      <c r="RL38" s="106"/>
      <c r="RM38" s="137">
        <f t="shared" si="64"/>
        <v>0</v>
      </c>
      <c r="RN38" s="138">
        <f t="shared" si="65"/>
        <v>0</v>
      </c>
      <c r="RO38" s="106"/>
      <c r="RP38" s="259">
        <f t="shared" si="66"/>
        <v>0</v>
      </c>
    </row>
    <row r="39" spans="1:484" x14ac:dyDescent="0.2">
      <c r="A39" s="89" t="str">
        <f>'Name List'!B39</f>
        <v>Andy Johnson</v>
      </c>
      <c r="C39" s="98"/>
      <c r="D39" s="99"/>
      <c r="E39" s="329" t="str">
        <f t="shared" si="0"/>
        <v/>
      </c>
      <c r="F39" s="77"/>
      <c r="G39" s="78"/>
      <c r="H39" s="78"/>
      <c r="I39" s="79"/>
      <c r="J39" s="333" t="str">
        <f>IF(E39="","",'Name List'!$I$4)</f>
        <v/>
      </c>
      <c r="L39" s="98"/>
      <c r="M39" s="99"/>
      <c r="N39" s="100"/>
      <c r="O39" s="77"/>
      <c r="P39" s="78"/>
      <c r="Q39" s="78"/>
      <c r="R39" s="79"/>
      <c r="S39" s="67"/>
      <c r="U39" s="71">
        <v>14</v>
      </c>
      <c r="V39" s="72">
        <v>13</v>
      </c>
      <c r="W39" s="396">
        <f t="shared" si="2"/>
        <v>27</v>
      </c>
      <c r="X39" s="77">
        <v>0</v>
      </c>
      <c r="Y39" s="78">
        <v>1</v>
      </c>
      <c r="Z39" s="78">
        <v>5</v>
      </c>
      <c r="AA39" s="79">
        <v>2</v>
      </c>
      <c r="AB39" s="333">
        <f>IF(W39="","",'Name List'!$I$4)</f>
        <v>5</v>
      </c>
      <c r="AD39" s="98"/>
      <c r="AE39" s="99"/>
      <c r="AF39" s="329" t="str">
        <f t="shared" si="3"/>
        <v/>
      </c>
      <c r="AG39" s="77"/>
      <c r="AH39" s="78"/>
      <c r="AI39" s="78"/>
      <c r="AJ39" s="79"/>
      <c r="AK39" s="333" t="str">
        <f>IF(AF39="","",'Name List'!$I$4)</f>
        <v/>
      </c>
      <c r="AM39" s="98">
        <v>16</v>
      </c>
      <c r="AN39" s="99">
        <v>19</v>
      </c>
      <c r="AO39" s="329">
        <f t="shared" si="4"/>
        <v>35</v>
      </c>
      <c r="AP39" s="77">
        <v>0</v>
      </c>
      <c r="AQ39" s="78">
        <v>1</v>
      </c>
      <c r="AR39" s="78">
        <v>11</v>
      </c>
      <c r="AS39" s="79">
        <v>0</v>
      </c>
      <c r="AT39" s="333">
        <f>IF(AO39="","",'Name List'!$I$4)</f>
        <v>5</v>
      </c>
      <c r="AV39" s="458"/>
      <c r="AW39" s="401"/>
      <c r="AX39" s="400" t="str">
        <f t="shared" si="5"/>
        <v/>
      </c>
      <c r="AY39" s="77"/>
      <c r="AZ39" s="78"/>
      <c r="BA39" s="78"/>
      <c r="BB39" s="79"/>
      <c r="BC39" s="457" t="str">
        <f>IF(AX39="","",'Name List'!$I$4)</f>
        <v/>
      </c>
      <c r="BE39" s="71">
        <v>15</v>
      </c>
      <c r="BF39" s="72">
        <v>15</v>
      </c>
      <c r="BG39" s="383">
        <f t="shared" si="6"/>
        <v>30</v>
      </c>
      <c r="BH39" s="77">
        <v>0</v>
      </c>
      <c r="BI39" s="78">
        <v>0</v>
      </c>
      <c r="BJ39" s="78">
        <v>8</v>
      </c>
      <c r="BK39" s="79">
        <v>2</v>
      </c>
      <c r="BL39" s="333">
        <f>IF(BG39="","",'Name List'!$I$4)</f>
        <v>5</v>
      </c>
      <c r="BN39" s="98"/>
      <c r="BO39" s="99"/>
      <c r="BP39" s="100"/>
      <c r="BQ39" s="77"/>
      <c r="BR39" s="78"/>
      <c r="BS39" s="78"/>
      <c r="BT39" s="79"/>
      <c r="BU39" s="67"/>
      <c r="BW39" s="98">
        <v>16</v>
      </c>
      <c r="BX39" s="99">
        <v>16</v>
      </c>
      <c r="BY39" s="329">
        <f t="shared" si="8"/>
        <v>32</v>
      </c>
      <c r="BZ39" s="77">
        <v>0</v>
      </c>
      <c r="CA39" s="78">
        <v>1</v>
      </c>
      <c r="CB39" s="78">
        <v>9</v>
      </c>
      <c r="CC39" s="79">
        <v>2</v>
      </c>
      <c r="CD39" s="333">
        <f>IF(BY39="","",'Name List'!$I$4)</f>
        <v>5</v>
      </c>
      <c r="CF39" s="68">
        <v>18</v>
      </c>
      <c r="CG39" s="69">
        <v>17</v>
      </c>
      <c r="CH39" s="282">
        <f t="shared" si="49"/>
        <v>35</v>
      </c>
      <c r="CI39" s="77">
        <v>0</v>
      </c>
      <c r="CJ39" s="78">
        <v>1</v>
      </c>
      <c r="CK39" s="78">
        <v>10</v>
      </c>
      <c r="CL39" s="79">
        <v>0</v>
      </c>
      <c r="CM39" s="333">
        <f>IF(CH39="","",'Name List'!$I$4)</f>
        <v>5</v>
      </c>
      <c r="CO39" s="71"/>
      <c r="CP39" s="72"/>
      <c r="CQ39" s="383" t="str">
        <f t="shared" si="9"/>
        <v/>
      </c>
      <c r="CR39" s="77"/>
      <c r="CS39" s="78"/>
      <c r="CT39" s="78"/>
      <c r="CU39" s="79"/>
      <c r="CV39" s="333" t="str">
        <f>IF(CQ39="","",'Name List'!$I$4)</f>
        <v/>
      </c>
      <c r="CX39" s="98"/>
      <c r="CY39" s="99"/>
      <c r="CZ39" s="329" t="str">
        <f t="shared" si="10"/>
        <v/>
      </c>
      <c r="DA39" s="77"/>
      <c r="DB39" s="78"/>
      <c r="DC39" s="78"/>
      <c r="DD39" s="79"/>
      <c r="DE39" s="333" t="str">
        <f>IF(CZ39="","",'Name List'!$I$4)</f>
        <v/>
      </c>
      <c r="DG39" s="98">
        <v>21</v>
      </c>
      <c r="DH39" s="99">
        <v>17</v>
      </c>
      <c r="DI39" s="329">
        <f t="shared" si="11"/>
        <v>38</v>
      </c>
      <c r="DJ39" s="77">
        <v>0</v>
      </c>
      <c r="DK39" s="78">
        <v>4</v>
      </c>
      <c r="DL39" s="78">
        <v>7</v>
      </c>
      <c r="DM39" s="79">
        <v>0</v>
      </c>
      <c r="DN39" s="333">
        <f>IF(DI39="","",'Name List'!$I$4)</f>
        <v>5</v>
      </c>
      <c r="DP39" s="98">
        <v>14</v>
      </c>
      <c r="DQ39" s="99">
        <v>12</v>
      </c>
      <c r="DR39" s="329">
        <f t="shared" si="12"/>
        <v>26</v>
      </c>
      <c r="DS39" s="77">
        <v>0</v>
      </c>
      <c r="DT39" s="78">
        <v>0</v>
      </c>
      <c r="DU39" s="78">
        <v>9</v>
      </c>
      <c r="DV39" s="79">
        <v>2</v>
      </c>
      <c r="DW39" s="333">
        <f>IF(DR39="","",'Name List'!$I$4)</f>
        <v>5</v>
      </c>
      <c r="DY39" s="98"/>
      <c r="DZ39" s="99"/>
      <c r="EA39" s="329" t="str">
        <f t="shared" si="13"/>
        <v/>
      </c>
      <c r="EB39" s="77"/>
      <c r="EC39" s="78"/>
      <c r="ED39" s="78"/>
      <c r="EE39" s="79"/>
      <c r="EF39" s="333" t="str">
        <f>IF(EA39="","",'Name List'!$I$4)</f>
        <v/>
      </c>
      <c r="EH39" s="98">
        <v>16</v>
      </c>
      <c r="EI39" s="99">
        <v>18</v>
      </c>
      <c r="EJ39" s="329">
        <f t="shared" si="14"/>
        <v>34</v>
      </c>
      <c r="EK39" s="77">
        <v>0</v>
      </c>
      <c r="EL39" s="78">
        <v>3</v>
      </c>
      <c r="EM39" s="78">
        <v>7</v>
      </c>
      <c r="EN39" s="79">
        <v>1</v>
      </c>
      <c r="EO39" s="333">
        <f>IF(EJ39="","",'Name List'!$I$4)</f>
        <v>5</v>
      </c>
      <c r="EQ39" s="115"/>
      <c r="ER39" s="116"/>
      <c r="ES39" s="117">
        <v>93</v>
      </c>
      <c r="ET39" s="77">
        <v>0</v>
      </c>
      <c r="EU39" s="78">
        <v>0</v>
      </c>
      <c r="EV39" s="78">
        <v>0</v>
      </c>
      <c r="EW39" s="79"/>
      <c r="EX39" s="333">
        <f>IF(ES39="","",'Name List'!$I$4)</f>
        <v>5</v>
      </c>
      <c r="EZ39" s="68"/>
      <c r="FA39" s="69"/>
      <c r="FB39" s="70"/>
      <c r="FC39" s="77"/>
      <c r="FD39" s="78"/>
      <c r="FE39" s="78"/>
      <c r="FF39" s="79"/>
      <c r="FG39" s="67"/>
      <c r="FI39" s="98"/>
      <c r="FJ39" s="99"/>
      <c r="FK39" s="329" t="str">
        <f t="shared" si="16"/>
        <v/>
      </c>
      <c r="FL39" s="77"/>
      <c r="FM39" s="78"/>
      <c r="FN39" s="78"/>
      <c r="FO39" s="79"/>
      <c r="FP39" s="333" t="str">
        <f>IF(FK39="","",'Name List'!$I$4)</f>
        <v/>
      </c>
      <c r="FR39" s="98">
        <v>17</v>
      </c>
      <c r="FS39" s="99">
        <v>14</v>
      </c>
      <c r="FT39" s="329">
        <f t="shared" si="17"/>
        <v>31</v>
      </c>
      <c r="FU39" s="77">
        <v>0</v>
      </c>
      <c r="FV39" s="78">
        <v>2</v>
      </c>
      <c r="FW39" s="78">
        <v>6</v>
      </c>
      <c r="FX39" s="79">
        <v>2</v>
      </c>
      <c r="FY39" s="333">
        <f>IF(FT39="","",'Name List'!$I$4)</f>
        <v>5</v>
      </c>
      <c r="GA39" s="98"/>
      <c r="GB39" s="99"/>
      <c r="GC39" s="329" t="str">
        <f t="shared" si="18"/>
        <v/>
      </c>
      <c r="GD39" s="77"/>
      <c r="GE39" s="78"/>
      <c r="GF39" s="78"/>
      <c r="GG39" s="79"/>
      <c r="GH39" s="333" t="str">
        <f>IF(GC39="","",'Name List'!$I$4)</f>
        <v/>
      </c>
      <c r="GJ39" s="98">
        <v>15</v>
      </c>
      <c r="GK39" s="99">
        <v>12</v>
      </c>
      <c r="GL39" s="329">
        <f t="shared" si="19"/>
        <v>27</v>
      </c>
      <c r="GM39" s="77">
        <v>0</v>
      </c>
      <c r="GN39" s="78">
        <v>1</v>
      </c>
      <c r="GO39" s="78">
        <v>7</v>
      </c>
      <c r="GP39" s="79">
        <v>1</v>
      </c>
      <c r="GQ39" s="333">
        <f>IF(GL39="","",'Name List'!$I$4)</f>
        <v>5</v>
      </c>
      <c r="GS39" s="68"/>
      <c r="GT39" s="69"/>
      <c r="GU39" s="70"/>
      <c r="GV39" s="77"/>
      <c r="GW39" s="78"/>
      <c r="GX39" s="78"/>
      <c r="GY39" s="79"/>
      <c r="GZ39" s="67"/>
      <c r="HB39" s="98">
        <v>17</v>
      </c>
      <c r="HC39" s="99">
        <v>20</v>
      </c>
      <c r="HD39" s="329">
        <f t="shared" si="21"/>
        <v>37</v>
      </c>
      <c r="HE39" s="77">
        <v>0</v>
      </c>
      <c r="HF39" s="78">
        <v>2</v>
      </c>
      <c r="HG39" s="78">
        <v>10</v>
      </c>
      <c r="HH39" s="79">
        <v>1</v>
      </c>
      <c r="HI39" s="333">
        <f>IF(HD39="","",'Name List'!$I$4)</f>
        <v>5</v>
      </c>
      <c r="HK39" s="71">
        <v>19</v>
      </c>
      <c r="HL39" s="72">
        <v>17</v>
      </c>
      <c r="HM39" s="383">
        <f t="shared" si="22"/>
        <v>36</v>
      </c>
      <c r="HN39" s="77">
        <v>0</v>
      </c>
      <c r="HO39" s="78">
        <v>1</v>
      </c>
      <c r="HP39" s="78">
        <v>11</v>
      </c>
      <c r="HQ39" s="79">
        <v>1</v>
      </c>
      <c r="HR39" s="333">
        <f>IF(HM39="","",'Name List'!$I$4)</f>
        <v>5</v>
      </c>
      <c r="HT39" s="68"/>
      <c r="HU39" s="69"/>
      <c r="HV39" s="70"/>
      <c r="HW39" s="77"/>
      <c r="HX39" s="78"/>
      <c r="HY39" s="78"/>
      <c r="HZ39" s="79"/>
      <c r="IA39" s="67"/>
      <c r="IC39" s="115"/>
      <c r="ID39" s="116"/>
      <c r="IE39" s="117"/>
      <c r="IF39" s="77"/>
      <c r="IG39" s="78"/>
      <c r="IH39" s="78"/>
      <c r="II39" s="79"/>
      <c r="IJ39" s="333" t="str">
        <f>IF(IE39="","",'Name List'!$I$4)</f>
        <v/>
      </c>
      <c r="IL39" s="98"/>
      <c r="IM39" s="99"/>
      <c r="IN39" s="100"/>
      <c r="IO39" s="77"/>
      <c r="IP39" s="78"/>
      <c r="IQ39" s="78"/>
      <c r="IR39" s="79"/>
      <c r="IS39" s="67"/>
      <c r="IU39" s="98"/>
      <c r="IV39" s="99"/>
      <c r="IW39" s="100"/>
      <c r="IX39" s="77"/>
      <c r="IY39" s="78"/>
      <c r="IZ39" s="78"/>
      <c r="JA39" s="79"/>
      <c r="JB39" s="67"/>
      <c r="JD39" s="98"/>
      <c r="JE39" s="99"/>
      <c r="JF39" s="100"/>
      <c r="JG39" s="77"/>
      <c r="JH39" s="78"/>
      <c r="JI39" s="78"/>
      <c r="JJ39" s="79"/>
      <c r="JK39" s="67"/>
      <c r="JM39" s="98"/>
      <c r="JN39" s="99"/>
      <c r="JO39" s="275"/>
      <c r="JP39" s="77"/>
      <c r="JQ39" s="78"/>
      <c r="JR39" s="78"/>
      <c r="JS39" s="79"/>
      <c r="JT39" s="67"/>
      <c r="JV39" s="98"/>
      <c r="JW39" s="99"/>
      <c r="JX39" s="100"/>
      <c r="JY39" s="77"/>
      <c r="JZ39" s="78"/>
      <c r="KA39" s="78"/>
      <c r="KB39" s="79"/>
      <c r="KC39" s="67"/>
      <c r="KE39" s="98"/>
      <c r="KF39" s="99"/>
      <c r="KG39" s="100"/>
      <c r="KH39" s="77"/>
      <c r="KI39" s="78"/>
      <c r="KJ39" s="78"/>
      <c r="KK39" s="79"/>
      <c r="KL39" s="67"/>
      <c r="KN39" s="68"/>
      <c r="KO39" s="69"/>
      <c r="KP39" s="70"/>
      <c r="KQ39" s="77"/>
      <c r="KR39" s="78"/>
      <c r="KS39" s="78"/>
      <c r="KT39" s="79"/>
      <c r="KU39" s="67"/>
      <c r="KW39" s="98"/>
      <c r="KX39" s="99"/>
      <c r="KY39" s="100"/>
      <c r="KZ39" s="77"/>
      <c r="LA39" s="78"/>
      <c r="LB39" s="78"/>
      <c r="LC39" s="79"/>
      <c r="LD39" s="67"/>
      <c r="LF39" s="71"/>
      <c r="LG39" s="72"/>
      <c r="LH39" s="73"/>
      <c r="LI39" s="77"/>
      <c r="LJ39" s="78"/>
      <c r="LK39" s="78"/>
      <c r="LL39" s="79"/>
      <c r="LM39" s="67"/>
      <c r="LO39" s="98"/>
      <c r="LP39" s="99"/>
      <c r="LQ39" s="329"/>
      <c r="LR39" s="77"/>
      <c r="LS39" s="78"/>
      <c r="LT39" s="78"/>
      <c r="LU39" s="79"/>
      <c r="LV39" s="67"/>
      <c r="LX39" s="98"/>
      <c r="LY39" s="99"/>
      <c r="LZ39" s="100"/>
      <c r="MA39" s="77"/>
      <c r="MB39" s="78"/>
      <c r="MC39" s="78"/>
      <c r="MD39" s="79"/>
      <c r="ME39" s="67"/>
      <c r="MG39" s="98"/>
      <c r="MH39" s="99"/>
      <c r="MI39" s="100"/>
      <c r="MJ39" s="77"/>
      <c r="MK39" s="78"/>
      <c r="ML39" s="78"/>
      <c r="MM39" s="79"/>
      <c r="MN39" s="67"/>
      <c r="MP39" s="98"/>
      <c r="MQ39" s="99"/>
      <c r="MR39" s="100"/>
      <c r="MS39" s="77"/>
      <c r="MT39" s="78"/>
      <c r="MU39" s="78"/>
      <c r="MV39" s="79"/>
      <c r="MW39" s="67"/>
      <c r="MY39" s="98"/>
      <c r="MZ39" s="99"/>
      <c r="NA39" s="100"/>
      <c r="NB39" s="77"/>
      <c r="NC39" s="78"/>
      <c r="ND39" s="78"/>
      <c r="NE39" s="79"/>
      <c r="NF39" s="67"/>
      <c r="NH39" s="98"/>
      <c r="NI39" s="99"/>
      <c r="NJ39" s="329"/>
      <c r="NK39" s="77"/>
      <c r="NL39" s="78"/>
      <c r="NM39" s="78"/>
      <c r="NN39" s="79"/>
      <c r="NO39" s="67"/>
      <c r="NQ39" s="98"/>
      <c r="NR39" s="99"/>
      <c r="NS39" s="100"/>
      <c r="NT39" s="77"/>
      <c r="NU39" s="78"/>
      <c r="NV39" s="78"/>
      <c r="NW39" s="79"/>
      <c r="NX39" s="67"/>
      <c r="NZ39" s="71"/>
      <c r="OA39" s="72"/>
      <c r="OB39" s="73"/>
      <c r="OC39" s="77"/>
      <c r="OD39" s="78"/>
      <c r="OE39" s="78"/>
      <c r="OF39" s="79"/>
      <c r="OG39" s="67"/>
      <c r="OI39" s="98"/>
      <c r="OJ39" s="99"/>
      <c r="OK39" s="329"/>
      <c r="OL39" s="77"/>
      <c r="OM39" s="78"/>
      <c r="ON39" s="78"/>
      <c r="OO39" s="79"/>
      <c r="OP39" s="67"/>
      <c r="OR39" s="71"/>
      <c r="OS39" s="72"/>
      <c r="OT39" s="73"/>
      <c r="OU39" s="77"/>
      <c r="OV39" s="78"/>
      <c r="OW39" s="78"/>
      <c r="OX39" s="79"/>
      <c r="OY39" s="67"/>
      <c r="PA39" s="98"/>
      <c r="PB39" s="99"/>
      <c r="PC39" s="100"/>
      <c r="PD39" s="77"/>
      <c r="PE39" s="78"/>
      <c r="PF39" s="78"/>
      <c r="PG39" s="79"/>
      <c r="PH39" s="67"/>
      <c r="PJ39" s="277"/>
      <c r="PK39" s="278"/>
      <c r="PL39" s="279"/>
      <c r="PM39" s="125"/>
      <c r="PN39" s="126"/>
      <c r="PO39" s="126"/>
      <c r="PP39" s="127"/>
      <c r="PQ39" s="128"/>
      <c r="PS39" s="403"/>
      <c r="PT39" s="404"/>
      <c r="PU39" s="405"/>
      <c r="PV39" s="330"/>
      <c r="PW39" s="331"/>
      <c r="PX39" s="331"/>
      <c r="PY39" s="332"/>
      <c r="PZ39" s="333"/>
      <c r="QB39" s="412"/>
      <c r="QC39" s="413"/>
      <c r="QD39" s="414"/>
      <c r="QE39" s="125"/>
      <c r="QF39" s="126"/>
      <c r="QG39" s="126"/>
      <c r="QH39" s="127"/>
      <c r="QI39" s="128"/>
      <c r="QK39" s="283"/>
      <c r="QL39" s="284"/>
      <c r="QM39" s="285"/>
      <c r="QN39" s="125"/>
      <c r="QO39" s="126"/>
      <c r="QP39" s="126"/>
      <c r="QQ39" s="127"/>
      <c r="QR39" s="128" t="str">
        <f>IF(QM39="","",'Name List'!$I$4)</f>
        <v/>
      </c>
      <c r="QS39" s="91"/>
      <c r="QT39" s="107">
        <f t="shared" si="50"/>
        <v>0</v>
      </c>
      <c r="QU39" s="130">
        <f t="shared" si="51"/>
        <v>17</v>
      </c>
      <c r="QV39" s="130">
        <f t="shared" si="52"/>
        <v>100</v>
      </c>
      <c r="QW39" s="108">
        <f t="shared" si="53"/>
        <v>14</v>
      </c>
      <c r="QY39" s="260">
        <f t="shared" si="54"/>
        <v>12</v>
      </c>
      <c r="RA39" s="141">
        <f t="shared" si="55"/>
        <v>21</v>
      </c>
      <c r="RB39" s="106">
        <f t="shared" si="56"/>
        <v>19</v>
      </c>
      <c r="RC39" s="106">
        <f t="shared" si="57"/>
        <v>38</v>
      </c>
      <c r="RD39" s="106">
        <f t="shared" si="58"/>
        <v>14</v>
      </c>
      <c r="RE39" s="106">
        <f t="shared" si="59"/>
        <v>12</v>
      </c>
      <c r="RF39" s="142">
        <f t="shared" si="60"/>
        <v>26</v>
      </c>
      <c r="RG39" s="106"/>
      <c r="RH39" s="139">
        <f t="shared" si="61"/>
        <v>37</v>
      </c>
      <c r="RI39" s="140">
        <f t="shared" si="62"/>
        <v>27</v>
      </c>
      <c r="RJ39" s="106"/>
      <c r="RK39" s="136">
        <f t="shared" si="63"/>
        <v>29.75</v>
      </c>
      <c r="RL39" s="106"/>
      <c r="RM39" s="137">
        <f t="shared" si="64"/>
        <v>93</v>
      </c>
      <c r="RN39" s="138">
        <f t="shared" si="65"/>
        <v>93</v>
      </c>
      <c r="RO39" s="106"/>
      <c r="RP39" s="259">
        <f t="shared" si="66"/>
        <v>1</v>
      </c>
    </row>
    <row r="40" spans="1:484" x14ac:dyDescent="0.2">
      <c r="A40" s="89" t="str">
        <f>'Name List'!B40</f>
        <v>Oli Lloyd</v>
      </c>
      <c r="C40" s="98"/>
      <c r="D40" s="99"/>
      <c r="E40" s="329" t="str">
        <f t="shared" si="0"/>
        <v/>
      </c>
      <c r="F40" s="77"/>
      <c r="G40" s="78"/>
      <c r="H40" s="78"/>
      <c r="I40" s="79"/>
      <c r="J40" s="333" t="str">
        <f>IF(E40="","",'Name List'!$I$4)</f>
        <v/>
      </c>
      <c r="L40" s="98"/>
      <c r="M40" s="99"/>
      <c r="N40" s="100"/>
      <c r="O40" s="77"/>
      <c r="P40" s="78"/>
      <c r="Q40" s="78"/>
      <c r="R40" s="79"/>
      <c r="S40" s="67"/>
      <c r="U40" s="71"/>
      <c r="V40" s="72"/>
      <c r="W40" s="396" t="str">
        <f t="shared" si="2"/>
        <v/>
      </c>
      <c r="X40" s="77"/>
      <c r="Y40" s="78"/>
      <c r="Z40" s="78"/>
      <c r="AA40" s="79"/>
      <c r="AB40" s="333" t="str">
        <f>IF(W40="","",'Name List'!$I$4)</f>
        <v/>
      </c>
      <c r="AD40" s="98"/>
      <c r="AE40" s="99"/>
      <c r="AF40" s="329" t="str">
        <f t="shared" si="3"/>
        <v/>
      </c>
      <c r="AG40" s="77"/>
      <c r="AH40" s="78"/>
      <c r="AI40" s="78"/>
      <c r="AJ40" s="79"/>
      <c r="AK40" s="333" t="str">
        <f>IF(AF40="","",'Name List'!$I$4)</f>
        <v/>
      </c>
      <c r="AM40" s="98"/>
      <c r="AN40" s="99"/>
      <c r="AO40" s="329" t="str">
        <f t="shared" si="4"/>
        <v/>
      </c>
      <c r="AP40" s="77"/>
      <c r="AQ40" s="78"/>
      <c r="AR40" s="78"/>
      <c r="AS40" s="79"/>
      <c r="AT40" s="333" t="str">
        <f>IF(AO40="","",'Name List'!$I$4)</f>
        <v/>
      </c>
      <c r="AV40" s="458"/>
      <c r="AW40" s="401"/>
      <c r="AX40" s="400" t="str">
        <f t="shared" si="5"/>
        <v/>
      </c>
      <c r="AY40" s="77"/>
      <c r="AZ40" s="78"/>
      <c r="BA40" s="78"/>
      <c r="BB40" s="79"/>
      <c r="BC40" s="457" t="str">
        <f>IF(AX40="","",'Name List'!$I$4)</f>
        <v/>
      </c>
      <c r="BE40" s="71"/>
      <c r="BF40" s="72"/>
      <c r="BG40" s="383" t="str">
        <f t="shared" si="6"/>
        <v/>
      </c>
      <c r="BH40" s="77"/>
      <c r="BI40" s="78"/>
      <c r="BJ40" s="78"/>
      <c r="BK40" s="79"/>
      <c r="BL40" s="333" t="str">
        <f>IF(BG40="","",'Name List'!$I$4)</f>
        <v/>
      </c>
      <c r="BN40" s="98"/>
      <c r="BO40" s="99"/>
      <c r="BP40" s="100"/>
      <c r="BQ40" s="77"/>
      <c r="BR40" s="78"/>
      <c r="BS40" s="78"/>
      <c r="BT40" s="79"/>
      <c r="BU40" s="67"/>
      <c r="BW40" s="98"/>
      <c r="BX40" s="99"/>
      <c r="BY40" s="329" t="str">
        <f t="shared" si="8"/>
        <v/>
      </c>
      <c r="BZ40" s="77"/>
      <c r="CA40" s="78"/>
      <c r="CB40" s="78"/>
      <c r="CC40" s="79"/>
      <c r="CD40" s="333" t="str">
        <f>IF(BY40="","",'Name List'!$I$4)</f>
        <v/>
      </c>
      <c r="CF40" s="68"/>
      <c r="CG40" s="69"/>
      <c r="CH40" s="282" t="str">
        <f t="shared" si="49"/>
        <v/>
      </c>
      <c r="CI40" s="77"/>
      <c r="CJ40" s="78"/>
      <c r="CK40" s="78"/>
      <c r="CL40" s="79"/>
      <c r="CM40" s="333" t="str">
        <f>IF(CH40="","",'Name List'!$I$4)</f>
        <v/>
      </c>
      <c r="CO40" s="71">
        <v>15</v>
      </c>
      <c r="CP40" s="72">
        <v>17</v>
      </c>
      <c r="CQ40" s="383">
        <f t="shared" si="9"/>
        <v>32</v>
      </c>
      <c r="CR40" s="77">
        <v>0</v>
      </c>
      <c r="CS40" s="78">
        <v>0</v>
      </c>
      <c r="CT40" s="78">
        <v>9</v>
      </c>
      <c r="CU40" s="79">
        <v>2</v>
      </c>
      <c r="CV40" s="333">
        <f>IF(CQ40="","",'Name List'!$I$4)</f>
        <v>5</v>
      </c>
      <c r="CX40" s="98">
        <v>14</v>
      </c>
      <c r="CY40" s="99">
        <v>14</v>
      </c>
      <c r="CZ40" s="329">
        <f t="shared" si="10"/>
        <v>28</v>
      </c>
      <c r="DA40" s="77">
        <v>0</v>
      </c>
      <c r="DB40" s="78">
        <v>1</v>
      </c>
      <c r="DC40" s="78">
        <v>8</v>
      </c>
      <c r="DD40" s="79">
        <v>2</v>
      </c>
      <c r="DE40" s="333">
        <f>IF(CZ40="","",'Name List'!$I$4)</f>
        <v>5</v>
      </c>
      <c r="DG40" s="98"/>
      <c r="DH40" s="99"/>
      <c r="DI40" s="329" t="str">
        <f t="shared" si="11"/>
        <v/>
      </c>
      <c r="DJ40" s="77"/>
      <c r="DK40" s="78"/>
      <c r="DL40" s="78"/>
      <c r="DM40" s="79"/>
      <c r="DN40" s="333" t="str">
        <f>IF(DI40="","",'Name List'!$I$4)</f>
        <v/>
      </c>
      <c r="DP40" s="98"/>
      <c r="DQ40" s="99"/>
      <c r="DR40" s="329" t="str">
        <f t="shared" si="12"/>
        <v/>
      </c>
      <c r="DS40" s="77"/>
      <c r="DT40" s="78"/>
      <c r="DU40" s="78"/>
      <c r="DV40" s="79"/>
      <c r="DW40" s="333" t="str">
        <f>IF(DR40="","",'Name List'!$I$4)</f>
        <v/>
      </c>
      <c r="DY40" s="98"/>
      <c r="DZ40" s="99"/>
      <c r="EA40" s="329" t="str">
        <f t="shared" si="13"/>
        <v/>
      </c>
      <c r="EB40" s="77"/>
      <c r="EC40" s="78"/>
      <c r="ED40" s="78"/>
      <c r="EE40" s="79"/>
      <c r="EF40" s="333" t="str">
        <f>IF(EA40="","",'Name List'!$I$4)</f>
        <v/>
      </c>
      <c r="EH40" s="98"/>
      <c r="EI40" s="99"/>
      <c r="EJ40" s="329" t="str">
        <f t="shared" si="14"/>
        <v/>
      </c>
      <c r="EK40" s="77"/>
      <c r="EL40" s="78"/>
      <c r="EM40" s="78"/>
      <c r="EN40" s="79"/>
      <c r="EO40" s="333" t="str">
        <f>IF(EJ40="","",'Name List'!$I$4)</f>
        <v/>
      </c>
      <c r="EQ40" s="115"/>
      <c r="ER40" s="116"/>
      <c r="ES40" s="117"/>
      <c r="ET40" s="77"/>
      <c r="EU40" s="78"/>
      <c r="EV40" s="78"/>
      <c r="EW40" s="79"/>
      <c r="EX40" s="333" t="str">
        <f>IF(ES40="","",'Name List'!$I$4)</f>
        <v/>
      </c>
      <c r="EZ40" s="68"/>
      <c r="FA40" s="69"/>
      <c r="FB40" s="70"/>
      <c r="FC40" s="77"/>
      <c r="FD40" s="78"/>
      <c r="FE40" s="78"/>
      <c r="FF40" s="79"/>
      <c r="FG40" s="67"/>
      <c r="FI40" s="98"/>
      <c r="FJ40" s="99"/>
      <c r="FK40" s="329" t="str">
        <f t="shared" si="16"/>
        <v/>
      </c>
      <c r="FL40" s="77"/>
      <c r="FM40" s="78"/>
      <c r="FN40" s="78"/>
      <c r="FO40" s="79"/>
      <c r="FP40" s="333" t="str">
        <f>IF(FK40="","",'Name List'!$I$4)</f>
        <v/>
      </c>
      <c r="FR40" s="98"/>
      <c r="FS40" s="99"/>
      <c r="FT40" s="329" t="str">
        <f t="shared" si="17"/>
        <v/>
      </c>
      <c r="FU40" s="77"/>
      <c r="FV40" s="78"/>
      <c r="FW40" s="78"/>
      <c r="FX40" s="79"/>
      <c r="FY40" s="333" t="str">
        <f>IF(FT40="","",'Name List'!$I$4)</f>
        <v/>
      </c>
      <c r="GA40" s="98"/>
      <c r="GB40" s="99"/>
      <c r="GC40" s="329" t="str">
        <f t="shared" si="18"/>
        <v/>
      </c>
      <c r="GD40" s="77"/>
      <c r="GE40" s="78"/>
      <c r="GF40" s="78"/>
      <c r="GG40" s="79"/>
      <c r="GH40" s="333" t="str">
        <f>IF(GC40="","",'Name List'!$I$4)</f>
        <v/>
      </c>
      <c r="GJ40" s="98"/>
      <c r="GK40" s="99"/>
      <c r="GL40" s="329" t="str">
        <f t="shared" si="19"/>
        <v/>
      </c>
      <c r="GM40" s="77"/>
      <c r="GN40" s="78"/>
      <c r="GO40" s="78"/>
      <c r="GP40" s="79"/>
      <c r="GQ40" s="333" t="str">
        <f>IF(GL40="","",'Name List'!$I$4)</f>
        <v/>
      </c>
      <c r="GS40" s="68"/>
      <c r="GT40" s="69"/>
      <c r="GU40" s="70"/>
      <c r="GV40" s="77"/>
      <c r="GW40" s="78"/>
      <c r="GX40" s="78"/>
      <c r="GY40" s="79"/>
      <c r="GZ40" s="67"/>
      <c r="HB40" s="98"/>
      <c r="HC40" s="99"/>
      <c r="HD40" s="329" t="str">
        <f t="shared" si="21"/>
        <v/>
      </c>
      <c r="HE40" s="77"/>
      <c r="HF40" s="78"/>
      <c r="HG40" s="78"/>
      <c r="HH40" s="79"/>
      <c r="HI40" s="333" t="str">
        <f>IF(HD40="","",'Name List'!$I$4)</f>
        <v/>
      </c>
      <c r="HK40" s="71"/>
      <c r="HL40" s="72"/>
      <c r="HM40" s="383" t="str">
        <f t="shared" si="22"/>
        <v/>
      </c>
      <c r="HN40" s="77"/>
      <c r="HO40" s="78"/>
      <c r="HP40" s="78"/>
      <c r="HQ40" s="79"/>
      <c r="HR40" s="333" t="str">
        <f>IF(HM40="","",'Name List'!$I$4)</f>
        <v/>
      </c>
      <c r="HT40" s="68"/>
      <c r="HU40" s="69"/>
      <c r="HV40" s="70"/>
      <c r="HW40" s="77"/>
      <c r="HX40" s="78"/>
      <c r="HY40" s="78"/>
      <c r="HZ40" s="79"/>
      <c r="IA40" s="67"/>
      <c r="IC40" s="115"/>
      <c r="ID40" s="116"/>
      <c r="IE40" s="117"/>
      <c r="IF40" s="77"/>
      <c r="IG40" s="78"/>
      <c r="IH40" s="78"/>
      <c r="II40" s="79"/>
      <c r="IJ40" s="333" t="str">
        <f>IF(IE40="","",'Name List'!$I$4)</f>
        <v/>
      </c>
      <c r="IL40" s="98"/>
      <c r="IM40" s="99"/>
      <c r="IN40" s="100"/>
      <c r="IO40" s="77"/>
      <c r="IP40" s="78"/>
      <c r="IQ40" s="78"/>
      <c r="IR40" s="79"/>
      <c r="IS40" s="67"/>
      <c r="IU40" s="98"/>
      <c r="IV40" s="99"/>
      <c r="IW40" s="100"/>
      <c r="IX40" s="77"/>
      <c r="IY40" s="78"/>
      <c r="IZ40" s="78"/>
      <c r="JA40" s="79"/>
      <c r="JB40" s="67"/>
      <c r="JD40" s="98"/>
      <c r="JE40" s="99"/>
      <c r="JF40" s="100"/>
      <c r="JG40" s="77"/>
      <c r="JH40" s="78"/>
      <c r="JI40" s="78"/>
      <c r="JJ40" s="79"/>
      <c r="JK40" s="67"/>
      <c r="JM40" s="98"/>
      <c r="JN40" s="99"/>
      <c r="JO40" s="275"/>
      <c r="JP40" s="77"/>
      <c r="JQ40" s="78"/>
      <c r="JR40" s="78"/>
      <c r="JS40" s="79"/>
      <c r="JT40" s="67"/>
      <c r="JV40" s="98"/>
      <c r="JW40" s="99"/>
      <c r="JX40" s="100"/>
      <c r="JY40" s="77"/>
      <c r="JZ40" s="78"/>
      <c r="KA40" s="78"/>
      <c r="KB40" s="79"/>
      <c r="KC40" s="67"/>
      <c r="KE40" s="98"/>
      <c r="KF40" s="99"/>
      <c r="KG40" s="100"/>
      <c r="KH40" s="77"/>
      <c r="KI40" s="78"/>
      <c r="KJ40" s="78"/>
      <c r="KK40" s="79"/>
      <c r="KL40" s="67"/>
      <c r="KN40" s="68"/>
      <c r="KO40" s="69"/>
      <c r="KP40" s="70"/>
      <c r="KQ40" s="77"/>
      <c r="KR40" s="78"/>
      <c r="KS40" s="78"/>
      <c r="KT40" s="79"/>
      <c r="KU40" s="67"/>
      <c r="KW40" s="98"/>
      <c r="KX40" s="99"/>
      <c r="KY40" s="100"/>
      <c r="KZ40" s="77"/>
      <c r="LA40" s="78"/>
      <c r="LB40" s="78"/>
      <c r="LC40" s="79"/>
      <c r="LD40" s="67"/>
      <c r="LF40" s="71"/>
      <c r="LG40" s="72"/>
      <c r="LH40" s="73"/>
      <c r="LI40" s="77"/>
      <c r="LJ40" s="78"/>
      <c r="LK40" s="78"/>
      <c r="LL40" s="79"/>
      <c r="LM40" s="67"/>
      <c r="LO40" s="98"/>
      <c r="LP40" s="99"/>
      <c r="LQ40" s="329"/>
      <c r="LR40" s="77"/>
      <c r="LS40" s="78"/>
      <c r="LT40" s="78"/>
      <c r="LU40" s="79"/>
      <c r="LV40" s="67"/>
      <c r="LX40" s="98"/>
      <c r="LY40" s="99"/>
      <c r="LZ40" s="100"/>
      <c r="MA40" s="77"/>
      <c r="MB40" s="78"/>
      <c r="MC40" s="78"/>
      <c r="MD40" s="79"/>
      <c r="ME40" s="67"/>
      <c r="MG40" s="98"/>
      <c r="MH40" s="99"/>
      <c r="MI40" s="100"/>
      <c r="MJ40" s="77"/>
      <c r="MK40" s="78"/>
      <c r="ML40" s="78"/>
      <c r="MM40" s="79"/>
      <c r="MN40" s="67"/>
      <c r="MP40" s="98"/>
      <c r="MQ40" s="99"/>
      <c r="MR40" s="100"/>
      <c r="MS40" s="77"/>
      <c r="MT40" s="78"/>
      <c r="MU40" s="78"/>
      <c r="MV40" s="79"/>
      <c r="MW40" s="67"/>
      <c r="MY40" s="98"/>
      <c r="MZ40" s="99"/>
      <c r="NA40" s="100"/>
      <c r="NB40" s="77"/>
      <c r="NC40" s="78"/>
      <c r="ND40" s="78"/>
      <c r="NE40" s="79"/>
      <c r="NF40" s="67"/>
      <c r="NH40" s="98"/>
      <c r="NI40" s="99"/>
      <c r="NJ40" s="329"/>
      <c r="NK40" s="77"/>
      <c r="NL40" s="78"/>
      <c r="NM40" s="78"/>
      <c r="NN40" s="79"/>
      <c r="NO40" s="67"/>
      <c r="NQ40" s="98"/>
      <c r="NR40" s="99"/>
      <c r="NS40" s="100"/>
      <c r="NT40" s="77"/>
      <c r="NU40" s="78"/>
      <c r="NV40" s="78"/>
      <c r="NW40" s="79"/>
      <c r="NX40" s="67"/>
      <c r="NZ40" s="71"/>
      <c r="OA40" s="72"/>
      <c r="OB40" s="73"/>
      <c r="OC40" s="77"/>
      <c r="OD40" s="78"/>
      <c r="OE40" s="78"/>
      <c r="OF40" s="79"/>
      <c r="OG40" s="67"/>
      <c r="OI40" s="98"/>
      <c r="OJ40" s="99"/>
      <c r="OK40" s="329"/>
      <c r="OL40" s="77"/>
      <c r="OM40" s="78"/>
      <c r="ON40" s="78"/>
      <c r="OO40" s="79"/>
      <c r="OP40" s="67"/>
      <c r="OR40" s="71"/>
      <c r="OS40" s="72"/>
      <c r="OT40" s="73"/>
      <c r="OU40" s="77"/>
      <c r="OV40" s="78"/>
      <c r="OW40" s="78"/>
      <c r="OX40" s="79"/>
      <c r="OY40" s="67"/>
      <c r="PA40" s="98"/>
      <c r="PB40" s="99"/>
      <c r="PC40" s="100"/>
      <c r="PD40" s="77"/>
      <c r="PE40" s="78"/>
      <c r="PF40" s="78"/>
      <c r="PG40" s="79"/>
      <c r="PH40" s="67"/>
      <c r="PJ40" s="277"/>
      <c r="PK40" s="278"/>
      <c r="PL40" s="279"/>
      <c r="PM40" s="125"/>
      <c r="PN40" s="126"/>
      <c r="PO40" s="126"/>
      <c r="PP40" s="127"/>
      <c r="PQ40" s="128"/>
      <c r="PS40" s="403"/>
      <c r="PT40" s="404"/>
      <c r="PU40" s="405"/>
      <c r="PV40" s="330"/>
      <c r="PW40" s="331"/>
      <c r="PX40" s="331"/>
      <c r="PY40" s="332"/>
      <c r="PZ40" s="333"/>
      <c r="QB40" s="412"/>
      <c r="QC40" s="413"/>
      <c r="QD40" s="414"/>
      <c r="QE40" s="125"/>
      <c r="QF40" s="126"/>
      <c r="QG40" s="126"/>
      <c r="QH40" s="127"/>
      <c r="QI40" s="128"/>
      <c r="QK40" s="283"/>
      <c r="QL40" s="284"/>
      <c r="QM40" s="285"/>
      <c r="QN40" s="125"/>
      <c r="QO40" s="126"/>
      <c r="QP40" s="126"/>
      <c r="QQ40" s="127"/>
      <c r="QR40" s="128" t="str">
        <f>IF(QM40="","",'Name List'!$I$4)</f>
        <v/>
      </c>
      <c r="QS40" s="91"/>
      <c r="QT40" s="107">
        <f t="shared" si="50"/>
        <v>0</v>
      </c>
      <c r="QU40" s="130">
        <f t="shared" si="51"/>
        <v>1</v>
      </c>
      <c r="QV40" s="130">
        <f t="shared" si="52"/>
        <v>17</v>
      </c>
      <c r="QW40" s="108">
        <f t="shared" si="53"/>
        <v>4</v>
      </c>
      <c r="QY40" s="260">
        <f t="shared" si="54"/>
        <v>2</v>
      </c>
      <c r="RA40" s="141">
        <f t="shared" si="55"/>
        <v>14</v>
      </c>
      <c r="RB40" s="106">
        <f t="shared" si="56"/>
        <v>14</v>
      </c>
      <c r="RC40" s="106">
        <f t="shared" si="57"/>
        <v>28</v>
      </c>
      <c r="RD40" s="106">
        <f t="shared" si="58"/>
        <v>14</v>
      </c>
      <c r="RE40" s="106">
        <f t="shared" si="59"/>
        <v>14</v>
      </c>
      <c r="RF40" s="142">
        <f t="shared" si="60"/>
        <v>28</v>
      </c>
      <c r="RG40" s="106"/>
      <c r="RH40" s="139">
        <f t="shared" si="61"/>
        <v>32</v>
      </c>
      <c r="RI40" s="140">
        <f t="shared" si="62"/>
        <v>32</v>
      </c>
      <c r="RJ40" s="106"/>
      <c r="RK40" s="136">
        <f t="shared" si="63"/>
        <v>30</v>
      </c>
      <c r="RL40" s="106"/>
      <c r="RM40" s="137">
        <f t="shared" si="64"/>
        <v>0</v>
      </c>
      <c r="RN40" s="138">
        <f t="shared" si="65"/>
        <v>0</v>
      </c>
      <c r="RO40" s="106"/>
      <c r="RP40" s="259">
        <f t="shared" si="66"/>
        <v>0</v>
      </c>
    </row>
    <row r="41" spans="1:484" x14ac:dyDescent="0.2">
      <c r="A41" s="89" t="str">
        <f>'Name List'!B41</f>
        <v>Andy Lucey</v>
      </c>
      <c r="C41" s="98"/>
      <c r="D41" s="99"/>
      <c r="E41" s="329" t="str">
        <f t="shared" si="0"/>
        <v/>
      </c>
      <c r="F41" s="77"/>
      <c r="G41" s="78"/>
      <c r="H41" s="78"/>
      <c r="I41" s="79"/>
      <c r="J41" s="333" t="str">
        <f>IF(E41="","",'Name List'!$I$4)</f>
        <v/>
      </c>
      <c r="L41" s="98"/>
      <c r="M41" s="99"/>
      <c r="N41" s="100"/>
      <c r="O41" s="77"/>
      <c r="P41" s="78"/>
      <c r="Q41" s="78"/>
      <c r="R41" s="79"/>
      <c r="S41" s="67"/>
      <c r="U41" s="71"/>
      <c r="V41" s="72"/>
      <c r="W41" s="396" t="str">
        <f t="shared" si="2"/>
        <v/>
      </c>
      <c r="X41" s="77"/>
      <c r="Y41" s="78"/>
      <c r="Z41" s="78"/>
      <c r="AA41" s="79"/>
      <c r="AB41" s="333" t="str">
        <f>IF(W41="","",'Name List'!$I$4)</f>
        <v/>
      </c>
      <c r="AD41" s="98"/>
      <c r="AE41" s="99"/>
      <c r="AF41" s="329" t="str">
        <f t="shared" si="3"/>
        <v/>
      </c>
      <c r="AG41" s="77"/>
      <c r="AH41" s="78"/>
      <c r="AI41" s="78"/>
      <c r="AJ41" s="79"/>
      <c r="AK41" s="333" t="str">
        <f>IF(AF41="","",'Name List'!$I$4)</f>
        <v/>
      </c>
      <c r="AM41" s="98"/>
      <c r="AN41" s="99"/>
      <c r="AO41" s="329" t="str">
        <f t="shared" si="4"/>
        <v/>
      </c>
      <c r="AP41" s="77"/>
      <c r="AQ41" s="78"/>
      <c r="AR41" s="78"/>
      <c r="AS41" s="79"/>
      <c r="AT41" s="333" t="str">
        <f>IF(AO41="","",'Name List'!$I$4)</f>
        <v/>
      </c>
      <c r="AV41" s="458"/>
      <c r="AW41" s="401"/>
      <c r="AX41" s="400" t="str">
        <f t="shared" si="5"/>
        <v/>
      </c>
      <c r="AY41" s="77"/>
      <c r="AZ41" s="78"/>
      <c r="BA41" s="78"/>
      <c r="BB41" s="79"/>
      <c r="BC41" s="457" t="str">
        <f>IF(AX41="","",'Name List'!$I$4)</f>
        <v/>
      </c>
      <c r="BE41" s="71"/>
      <c r="BF41" s="72"/>
      <c r="BG41" s="383" t="str">
        <f t="shared" si="6"/>
        <v/>
      </c>
      <c r="BH41" s="77"/>
      <c r="BI41" s="78"/>
      <c r="BJ41" s="78"/>
      <c r="BK41" s="79"/>
      <c r="BL41" s="333" t="str">
        <f>IF(BG41="","",'Name List'!$I$4)</f>
        <v/>
      </c>
      <c r="BN41" s="98"/>
      <c r="BO41" s="99"/>
      <c r="BP41" s="100"/>
      <c r="BQ41" s="77"/>
      <c r="BR41" s="78"/>
      <c r="BS41" s="78"/>
      <c r="BT41" s="79"/>
      <c r="BU41" s="67"/>
      <c r="BW41" s="98"/>
      <c r="BX41" s="99"/>
      <c r="BY41" s="329" t="str">
        <f t="shared" si="8"/>
        <v/>
      </c>
      <c r="BZ41" s="77"/>
      <c r="CA41" s="78"/>
      <c r="CB41" s="78"/>
      <c r="CC41" s="79"/>
      <c r="CD41" s="333" t="str">
        <f>IF(BY41="","",'Name List'!$I$4)</f>
        <v/>
      </c>
      <c r="CF41" s="68"/>
      <c r="CG41" s="69"/>
      <c r="CH41" s="282" t="str">
        <f t="shared" si="49"/>
        <v/>
      </c>
      <c r="CI41" s="77"/>
      <c r="CJ41" s="78"/>
      <c r="CK41" s="78"/>
      <c r="CL41" s="79"/>
      <c r="CM41" s="333" t="str">
        <f>IF(CH41="","",'Name List'!$I$4)</f>
        <v/>
      </c>
      <c r="CO41" s="71"/>
      <c r="CP41" s="72"/>
      <c r="CQ41" s="383" t="str">
        <f t="shared" si="9"/>
        <v/>
      </c>
      <c r="CR41" s="77"/>
      <c r="CS41" s="78"/>
      <c r="CT41" s="78"/>
      <c r="CU41" s="79"/>
      <c r="CV41" s="333" t="str">
        <f>IF(CQ41="","",'Name List'!$I$4)</f>
        <v/>
      </c>
      <c r="CX41" s="98"/>
      <c r="CY41" s="99"/>
      <c r="CZ41" s="329" t="str">
        <f t="shared" si="10"/>
        <v/>
      </c>
      <c r="DA41" s="77"/>
      <c r="DB41" s="78"/>
      <c r="DC41" s="78"/>
      <c r="DD41" s="79"/>
      <c r="DE41" s="333" t="str">
        <f>IF(CZ41="","",'Name List'!$I$4)</f>
        <v/>
      </c>
      <c r="DG41" s="98"/>
      <c r="DH41" s="99"/>
      <c r="DI41" s="329" t="str">
        <f t="shared" si="11"/>
        <v/>
      </c>
      <c r="DJ41" s="77"/>
      <c r="DK41" s="78"/>
      <c r="DL41" s="78"/>
      <c r="DM41" s="79"/>
      <c r="DN41" s="333" t="str">
        <f>IF(DI41="","",'Name List'!$I$4)</f>
        <v/>
      </c>
      <c r="DP41" s="98"/>
      <c r="DQ41" s="99"/>
      <c r="DR41" s="329" t="str">
        <f t="shared" si="12"/>
        <v/>
      </c>
      <c r="DS41" s="77"/>
      <c r="DT41" s="78"/>
      <c r="DU41" s="78"/>
      <c r="DV41" s="79"/>
      <c r="DW41" s="333" t="str">
        <f>IF(DR41="","",'Name List'!$I$4)</f>
        <v/>
      </c>
      <c r="DY41" s="98"/>
      <c r="DZ41" s="99"/>
      <c r="EA41" s="329" t="str">
        <f t="shared" si="13"/>
        <v/>
      </c>
      <c r="EB41" s="77"/>
      <c r="EC41" s="78"/>
      <c r="ED41" s="78"/>
      <c r="EE41" s="79"/>
      <c r="EF41" s="333" t="str">
        <f>IF(EA41="","",'Name List'!$I$4)</f>
        <v/>
      </c>
      <c r="EH41" s="98"/>
      <c r="EI41" s="99"/>
      <c r="EJ41" s="329" t="str">
        <f t="shared" si="14"/>
        <v/>
      </c>
      <c r="EK41" s="77"/>
      <c r="EL41" s="78"/>
      <c r="EM41" s="78"/>
      <c r="EN41" s="79"/>
      <c r="EO41" s="333" t="str">
        <f>IF(EJ41="","",'Name List'!$I$4)</f>
        <v/>
      </c>
      <c r="EQ41" s="115"/>
      <c r="ER41" s="116"/>
      <c r="ES41" s="117"/>
      <c r="ET41" s="77"/>
      <c r="EU41" s="78"/>
      <c r="EV41" s="78"/>
      <c r="EW41" s="79"/>
      <c r="EX41" s="333" t="str">
        <f>IF(ES41="","",'Name List'!$I$4)</f>
        <v/>
      </c>
      <c r="EZ41" s="68"/>
      <c r="FA41" s="69"/>
      <c r="FB41" s="70"/>
      <c r="FC41" s="77"/>
      <c r="FD41" s="78"/>
      <c r="FE41" s="78"/>
      <c r="FF41" s="79"/>
      <c r="FG41" s="67"/>
      <c r="FI41" s="98"/>
      <c r="FJ41" s="99"/>
      <c r="FK41" s="329" t="str">
        <f t="shared" si="16"/>
        <v/>
      </c>
      <c r="FL41" s="77"/>
      <c r="FM41" s="78"/>
      <c r="FN41" s="78"/>
      <c r="FO41" s="79"/>
      <c r="FP41" s="333" t="str">
        <f>IF(FK41="","",'Name List'!$I$4)</f>
        <v/>
      </c>
      <c r="FR41" s="98"/>
      <c r="FS41" s="99"/>
      <c r="FT41" s="329" t="str">
        <f t="shared" si="17"/>
        <v/>
      </c>
      <c r="FU41" s="77"/>
      <c r="FV41" s="78"/>
      <c r="FW41" s="78"/>
      <c r="FX41" s="79"/>
      <c r="FY41" s="333" t="str">
        <f>IF(FT41="","",'Name List'!$I$4)</f>
        <v/>
      </c>
      <c r="GA41" s="98"/>
      <c r="GB41" s="99"/>
      <c r="GC41" s="329" t="str">
        <f t="shared" si="18"/>
        <v/>
      </c>
      <c r="GD41" s="77"/>
      <c r="GE41" s="78"/>
      <c r="GF41" s="78"/>
      <c r="GG41" s="79"/>
      <c r="GH41" s="333" t="str">
        <f>IF(GC41="","",'Name List'!$I$4)</f>
        <v/>
      </c>
      <c r="GJ41" s="98"/>
      <c r="GK41" s="99"/>
      <c r="GL41" s="329" t="str">
        <f t="shared" si="19"/>
        <v/>
      </c>
      <c r="GM41" s="77"/>
      <c r="GN41" s="78"/>
      <c r="GO41" s="78"/>
      <c r="GP41" s="79"/>
      <c r="GQ41" s="333" t="str">
        <f>IF(GL41="","",'Name List'!$I$4)</f>
        <v/>
      </c>
      <c r="GS41" s="68"/>
      <c r="GT41" s="69"/>
      <c r="GU41" s="70"/>
      <c r="GV41" s="77"/>
      <c r="GW41" s="78"/>
      <c r="GX41" s="78"/>
      <c r="GY41" s="79"/>
      <c r="GZ41" s="67"/>
      <c r="HB41" s="98"/>
      <c r="HC41" s="99"/>
      <c r="HD41" s="329" t="str">
        <f t="shared" si="21"/>
        <v/>
      </c>
      <c r="HE41" s="77"/>
      <c r="HF41" s="78"/>
      <c r="HG41" s="78"/>
      <c r="HH41" s="79"/>
      <c r="HI41" s="333" t="str">
        <f>IF(HD41="","",'Name List'!$I$4)</f>
        <v/>
      </c>
      <c r="HK41" s="71"/>
      <c r="HL41" s="72"/>
      <c r="HM41" s="383" t="str">
        <f t="shared" si="22"/>
        <v/>
      </c>
      <c r="HN41" s="77"/>
      <c r="HO41" s="78"/>
      <c r="HP41" s="78"/>
      <c r="HQ41" s="79"/>
      <c r="HR41" s="333" t="str">
        <f>IF(HM41="","",'Name List'!$I$4)</f>
        <v/>
      </c>
      <c r="HT41" s="68"/>
      <c r="HU41" s="69"/>
      <c r="HV41" s="70"/>
      <c r="HW41" s="77"/>
      <c r="HX41" s="78"/>
      <c r="HY41" s="78"/>
      <c r="HZ41" s="79"/>
      <c r="IA41" s="67"/>
      <c r="IC41" s="115"/>
      <c r="ID41" s="116"/>
      <c r="IE41" s="117"/>
      <c r="IF41" s="77"/>
      <c r="IG41" s="78"/>
      <c r="IH41" s="78"/>
      <c r="II41" s="79"/>
      <c r="IJ41" s="333" t="str">
        <f>IF(IE41="","",'Name List'!$I$4)</f>
        <v/>
      </c>
      <c r="IL41" s="98"/>
      <c r="IM41" s="99"/>
      <c r="IN41" s="100"/>
      <c r="IO41" s="77"/>
      <c r="IP41" s="78"/>
      <c r="IQ41" s="78"/>
      <c r="IR41" s="79"/>
      <c r="IS41" s="67"/>
      <c r="IU41" s="98"/>
      <c r="IV41" s="99"/>
      <c r="IW41" s="100"/>
      <c r="IX41" s="77"/>
      <c r="IY41" s="78"/>
      <c r="IZ41" s="78"/>
      <c r="JA41" s="79"/>
      <c r="JB41" s="67"/>
      <c r="JD41" s="98"/>
      <c r="JE41" s="99"/>
      <c r="JF41" s="100"/>
      <c r="JG41" s="77"/>
      <c r="JH41" s="78"/>
      <c r="JI41" s="78"/>
      <c r="JJ41" s="79"/>
      <c r="JK41" s="67"/>
      <c r="JM41" s="98"/>
      <c r="JN41" s="99"/>
      <c r="JO41" s="275"/>
      <c r="JP41" s="77"/>
      <c r="JQ41" s="78"/>
      <c r="JR41" s="78"/>
      <c r="JS41" s="79"/>
      <c r="JT41" s="67"/>
      <c r="JV41" s="98"/>
      <c r="JW41" s="99"/>
      <c r="JX41" s="100"/>
      <c r="JY41" s="77"/>
      <c r="JZ41" s="78"/>
      <c r="KA41" s="78"/>
      <c r="KB41" s="79"/>
      <c r="KC41" s="67"/>
      <c r="KE41" s="98"/>
      <c r="KF41" s="99"/>
      <c r="KG41" s="100"/>
      <c r="KH41" s="77"/>
      <c r="KI41" s="78"/>
      <c r="KJ41" s="78"/>
      <c r="KK41" s="79"/>
      <c r="KL41" s="67"/>
      <c r="KN41" s="68"/>
      <c r="KO41" s="69"/>
      <c r="KP41" s="70"/>
      <c r="KQ41" s="77"/>
      <c r="KR41" s="78"/>
      <c r="KS41" s="78"/>
      <c r="KT41" s="79"/>
      <c r="KU41" s="67"/>
      <c r="KW41" s="98"/>
      <c r="KX41" s="99"/>
      <c r="KY41" s="100"/>
      <c r="KZ41" s="77"/>
      <c r="LA41" s="78"/>
      <c r="LB41" s="78"/>
      <c r="LC41" s="79"/>
      <c r="LD41" s="67"/>
      <c r="LF41" s="71"/>
      <c r="LG41" s="72"/>
      <c r="LH41" s="73"/>
      <c r="LI41" s="77"/>
      <c r="LJ41" s="78"/>
      <c r="LK41" s="78"/>
      <c r="LL41" s="79"/>
      <c r="LM41" s="67"/>
      <c r="LO41" s="98"/>
      <c r="LP41" s="99"/>
      <c r="LQ41" s="329"/>
      <c r="LR41" s="77"/>
      <c r="LS41" s="78"/>
      <c r="LT41" s="78"/>
      <c r="LU41" s="79"/>
      <c r="LV41" s="67"/>
      <c r="LX41" s="98"/>
      <c r="LY41" s="99"/>
      <c r="LZ41" s="100"/>
      <c r="MA41" s="77"/>
      <c r="MB41" s="78"/>
      <c r="MC41" s="78"/>
      <c r="MD41" s="79"/>
      <c r="ME41" s="67"/>
      <c r="MG41" s="98"/>
      <c r="MH41" s="99"/>
      <c r="MI41" s="100"/>
      <c r="MJ41" s="77"/>
      <c r="MK41" s="78"/>
      <c r="ML41" s="78"/>
      <c r="MM41" s="79"/>
      <c r="MN41" s="67"/>
      <c r="MP41" s="98"/>
      <c r="MQ41" s="99"/>
      <c r="MR41" s="100"/>
      <c r="MS41" s="77"/>
      <c r="MT41" s="78"/>
      <c r="MU41" s="78"/>
      <c r="MV41" s="79"/>
      <c r="MW41" s="67"/>
      <c r="MY41" s="98"/>
      <c r="MZ41" s="99"/>
      <c r="NA41" s="100"/>
      <c r="NB41" s="77"/>
      <c r="NC41" s="78"/>
      <c r="ND41" s="78"/>
      <c r="NE41" s="79"/>
      <c r="NF41" s="67"/>
      <c r="NH41" s="98"/>
      <c r="NI41" s="99"/>
      <c r="NJ41" s="329"/>
      <c r="NK41" s="77"/>
      <c r="NL41" s="78"/>
      <c r="NM41" s="78"/>
      <c r="NN41" s="79"/>
      <c r="NO41" s="67"/>
      <c r="NQ41" s="98"/>
      <c r="NR41" s="99"/>
      <c r="NS41" s="100"/>
      <c r="NT41" s="77"/>
      <c r="NU41" s="78"/>
      <c r="NV41" s="78"/>
      <c r="NW41" s="79"/>
      <c r="NX41" s="67"/>
      <c r="NZ41" s="71"/>
      <c r="OA41" s="72"/>
      <c r="OB41" s="73"/>
      <c r="OC41" s="77"/>
      <c r="OD41" s="78"/>
      <c r="OE41" s="78"/>
      <c r="OF41" s="79"/>
      <c r="OG41" s="67"/>
      <c r="OI41" s="98"/>
      <c r="OJ41" s="99"/>
      <c r="OK41" s="329"/>
      <c r="OL41" s="77"/>
      <c r="OM41" s="78"/>
      <c r="ON41" s="78"/>
      <c r="OO41" s="79"/>
      <c r="OP41" s="67"/>
      <c r="OR41" s="71"/>
      <c r="OS41" s="72"/>
      <c r="OT41" s="73"/>
      <c r="OU41" s="77"/>
      <c r="OV41" s="78"/>
      <c r="OW41" s="78"/>
      <c r="OX41" s="79"/>
      <c r="OY41" s="67"/>
      <c r="PA41" s="98"/>
      <c r="PB41" s="99"/>
      <c r="PC41" s="100"/>
      <c r="PD41" s="77"/>
      <c r="PE41" s="78"/>
      <c r="PF41" s="78"/>
      <c r="PG41" s="79"/>
      <c r="PH41" s="67"/>
      <c r="PJ41" s="277"/>
      <c r="PK41" s="278"/>
      <c r="PL41" s="279"/>
      <c r="PM41" s="125"/>
      <c r="PN41" s="126"/>
      <c r="PO41" s="126"/>
      <c r="PP41" s="127"/>
      <c r="PQ41" s="128"/>
      <c r="PS41" s="403"/>
      <c r="PT41" s="404"/>
      <c r="PU41" s="405"/>
      <c r="PV41" s="330"/>
      <c r="PW41" s="331"/>
      <c r="PX41" s="331"/>
      <c r="PY41" s="332"/>
      <c r="PZ41" s="333"/>
      <c r="QB41" s="412"/>
      <c r="QC41" s="413"/>
      <c r="QD41" s="414"/>
      <c r="QE41" s="125"/>
      <c r="QF41" s="126"/>
      <c r="QG41" s="126"/>
      <c r="QH41" s="127"/>
      <c r="QI41" s="128"/>
      <c r="QK41" s="283"/>
      <c r="QL41" s="284"/>
      <c r="QM41" s="285"/>
      <c r="QN41" s="125"/>
      <c r="QO41" s="126"/>
      <c r="QP41" s="126"/>
      <c r="QQ41" s="127"/>
      <c r="QR41" s="128" t="str">
        <f>IF(QM41="","",'Name List'!$I$4)</f>
        <v/>
      </c>
      <c r="QS41" s="91"/>
      <c r="QT41" s="107">
        <f t="shared" si="50"/>
        <v>0</v>
      </c>
      <c r="QU41" s="130">
        <f t="shared" si="51"/>
        <v>0</v>
      </c>
      <c r="QV41" s="130">
        <f t="shared" si="52"/>
        <v>0</v>
      </c>
      <c r="QW41" s="108">
        <f t="shared" si="53"/>
        <v>0</v>
      </c>
      <c r="QY41" s="260">
        <f t="shared" si="54"/>
        <v>0</v>
      </c>
      <c r="RA41" s="141">
        <f t="shared" si="55"/>
        <v>0</v>
      </c>
      <c r="RB41" s="106">
        <f t="shared" si="56"/>
        <v>0</v>
      </c>
      <c r="RC41" s="106">
        <f t="shared" si="57"/>
        <v>0</v>
      </c>
      <c r="RD41" s="106">
        <f t="shared" si="58"/>
        <v>0</v>
      </c>
      <c r="RE41" s="106">
        <f t="shared" si="59"/>
        <v>0</v>
      </c>
      <c r="RF41" s="142">
        <f t="shared" si="60"/>
        <v>0</v>
      </c>
      <c r="RG41" s="106"/>
      <c r="RH41" s="139">
        <f t="shared" si="61"/>
        <v>0</v>
      </c>
      <c r="RI41" s="140">
        <f t="shared" si="62"/>
        <v>0</v>
      </c>
      <c r="RJ41" s="106"/>
      <c r="RK41" s="136">
        <f t="shared" si="63"/>
        <v>0</v>
      </c>
      <c r="RL41" s="106"/>
      <c r="RM41" s="137">
        <f t="shared" si="64"/>
        <v>0</v>
      </c>
      <c r="RN41" s="138">
        <f t="shared" si="65"/>
        <v>0</v>
      </c>
      <c r="RO41" s="106"/>
      <c r="RP41" s="259">
        <f t="shared" si="66"/>
        <v>0</v>
      </c>
    </row>
    <row r="42" spans="1:484" x14ac:dyDescent="0.2">
      <c r="A42" s="89" t="str">
        <f>'Name List'!B42</f>
        <v>Paul Martin</v>
      </c>
      <c r="C42" s="98"/>
      <c r="D42" s="99"/>
      <c r="E42" s="329" t="str">
        <f t="shared" si="0"/>
        <v/>
      </c>
      <c r="F42" s="77"/>
      <c r="G42" s="78"/>
      <c r="H42" s="78"/>
      <c r="I42" s="79"/>
      <c r="J42" s="333" t="str">
        <f>IF(E42="","",'Name List'!$I$4)</f>
        <v/>
      </c>
      <c r="L42" s="98"/>
      <c r="M42" s="99"/>
      <c r="N42" s="100"/>
      <c r="O42" s="77"/>
      <c r="P42" s="78"/>
      <c r="Q42" s="78"/>
      <c r="R42" s="79"/>
      <c r="S42" s="67"/>
      <c r="U42" s="71"/>
      <c r="V42" s="72"/>
      <c r="W42" s="396" t="str">
        <f t="shared" si="2"/>
        <v/>
      </c>
      <c r="X42" s="77"/>
      <c r="Y42" s="78"/>
      <c r="Z42" s="78"/>
      <c r="AA42" s="79"/>
      <c r="AB42" s="333" t="str">
        <f>IF(W42="","",'Name List'!$I$4)</f>
        <v/>
      </c>
      <c r="AD42" s="98"/>
      <c r="AE42" s="99"/>
      <c r="AF42" s="329" t="str">
        <f t="shared" si="3"/>
        <v/>
      </c>
      <c r="AG42" s="77"/>
      <c r="AH42" s="78"/>
      <c r="AI42" s="78"/>
      <c r="AJ42" s="79"/>
      <c r="AK42" s="333" t="str">
        <f>IF(AF42="","",'Name List'!$I$4)</f>
        <v/>
      </c>
      <c r="AM42" s="98"/>
      <c r="AN42" s="99"/>
      <c r="AO42" s="329" t="str">
        <f t="shared" si="4"/>
        <v/>
      </c>
      <c r="AP42" s="77"/>
      <c r="AQ42" s="78"/>
      <c r="AR42" s="78"/>
      <c r="AS42" s="79"/>
      <c r="AT42" s="333" t="str">
        <f>IF(AO42="","",'Name List'!$I$4)</f>
        <v/>
      </c>
      <c r="AV42" s="458">
        <v>16</v>
      </c>
      <c r="AW42" s="401">
        <v>15</v>
      </c>
      <c r="AX42" s="400">
        <f t="shared" si="5"/>
        <v>31</v>
      </c>
      <c r="AY42" s="77">
        <v>0</v>
      </c>
      <c r="AZ42" s="78">
        <v>1</v>
      </c>
      <c r="BA42" s="78">
        <v>11</v>
      </c>
      <c r="BB42" s="79">
        <v>2</v>
      </c>
      <c r="BC42" s="457">
        <f>IF(AX42="","",'Name List'!$I$4)</f>
        <v>5</v>
      </c>
      <c r="BE42" s="71"/>
      <c r="BF42" s="72"/>
      <c r="BG42" s="383" t="str">
        <f t="shared" si="6"/>
        <v/>
      </c>
      <c r="BH42" s="77"/>
      <c r="BI42" s="78"/>
      <c r="BJ42" s="78"/>
      <c r="BK42" s="79"/>
      <c r="BL42" s="333" t="str">
        <f>IF(BG42="","",'Name List'!$I$4)</f>
        <v/>
      </c>
      <c r="BN42" s="98"/>
      <c r="BO42" s="99"/>
      <c r="BP42" s="100"/>
      <c r="BQ42" s="77"/>
      <c r="BR42" s="78"/>
      <c r="BS42" s="78"/>
      <c r="BT42" s="79"/>
      <c r="BU42" s="67"/>
      <c r="BW42" s="98"/>
      <c r="BX42" s="99"/>
      <c r="BY42" s="329" t="str">
        <f t="shared" si="8"/>
        <v/>
      </c>
      <c r="BZ42" s="77"/>
      <c r="CA42" s="78"/>
      <c r="CB42" s="78"/>
      <c r="CC42" s="79"/>
      <c r="CD42" s="333" t="str">
        <f>IF(BY42="","",'Name List'!$I$4)</f>
        <v/>
      </c>
      <c r="CF42" s="68"/>
      <c r="CG42" s="69"/>
      <c r="CH42" s="282" t="str">
        <f t="shared" si="49"/>
        <v/>
      </c>
      <c r="CI42" s="77"/>
      <c r="CJ42" s="78"/>
      <c r="CK42" s="78"/>
      <c r="CL42" s="79"/>
      <c r="CM42" s="333" t="str">
        <f>IF(CH42="","",'Name List'!$I$4)</f>
        <v/>
      </c>
      <c r="CO42" s="71"/>
      <c r="CP42" s="72"/>
      <c r="CQ42" s="383" t="str">
        <f t="shared" si="9"/>
        <v/>
      </c>
      <c r="CR42" s="77"/>
      <c r="CS42" s="78"/>
      <c r="CT42" s="78"/>
      <c r="CU42" s="79"/>
      <c r="CV42" s="333" t="str">
        <f>IF(CQ42="","",'Name List'!$I$4)</f>
        <v/>
      </c>
      <c r="CX42" s="98"/>
      <c r="CY42" s="99"/>
      <c r="CZ42" s="329" t="str">
        <f t="shared" si="10"/>
        <v/>
      </c>
      <c r="DA42" s="77"/>
      <c r="DB42" s="78"/>
      <c r="DC42" s="78"/>
      <c r="DD42" s="79"/>
      <c r="DE42" s="333" t="str">
        <f>IF(CZ42="","",'Name List'!$I$4)</f>
        <v/>
      </c>
      <c r="DG42" s="98">
        <v>16</v>
      </c>
      <c r="DH42" s="99">
        <v>20</v>
      </c>
      <c r="DI42" s="329">
        <f t="shared" si="11"/>
        <v>36</v>
      </c>
      <c r="DJ42" s="77">
        <v>0</v>
      </c>
      <c r="DK42" s="78">
        <v>2</v>
      </c>
      <c r="DL42" s="78">
        <v>12</v>
      </c>
      <c r="DM42" s="79">
        <v>0</v>
      </c>
      <c r="DN42" s="333">
        <f>IF(DI42="","",'Name List'!$I$4)</f>
        <v>5</v>
      </c>
      <c r="DP42" s="98"/>
      <c r="DQ42" s="99"/>
      <c r="DR42" s="329" t="str">
        <f t="shared" si="12"/>
        <v/>
      </c>
      <c r="DS42" s="77"/>
      <c r="DT42" s="78"/>
      <c r="DU42" s="78"/>
      <c r="DV42" s="79"/>
      <c r="DW42" s="333" t="str">
        <f>IF(DR42="","",'Name List'!$I$4)</f>
        <v/>
      </c>
      <c r="DY42" s="98"/>
      <c r="DZ42" s="99"/>
      <c r="EA42" s="329" t="str">
        <f t="shared" si="13"/>
        <v/>
      </c>
      <c r="EB42" s="77"/>
      <c r="EC42" s="78"/>
      <c r="ED42" s="78"/>
      <c r="EE42" s="79"/>
      <c r="EF42" s="333" t="str">
        <f>IF(EA42="","",'Name List'!$I$4)</f>
        <v/>
      </c>
      <c r="EH42" s="98"/>
      <c r="EI42" s="99"/>
      <c r="EJ42" s="329" t="str">
        <f t="shared" si="14"/>
        <v/>
      </c>
      <c r="EK42" s="77"/>
      <c r="EL42" s="78"/>
      <c r="EM42" s="78"/>
      <c r="EN42" s="79"/>
      <c r="EO42" s="333" t="str">
        <f>IF(EJ42="","",'Name List'!$I$4)</f>
        <v/>
      </c>
      <c r="EQ42" s="115"/>
      <c r="ER42" s="116"/>
      <c r="ES42" s="117">
        <v>84</v>
      </c>
      <c r="ET42" s="77">
        <v>0</v>
      </c>
      <c r="EU42" s="78">
        <v>1</v>
      </c>
      <c r="EV42" s="78">
        <v>6</v>
      </c>
      <c r="EW42" s="79"/>
      <c r="EX42" s="333">
        <f>IF(ES42="","",'Name List'!$I$4)</f>
        <v>5</v>
      </c>
      <c r="EZ42" s="68"/>
      <c r="FA42" s="69"/>
      <c r="FB42" s="70"/>
      <c r="FC42" s="77"/>
      <c r="FD42" s="78"/>
      <c r="FE42" s="78"/>
      <c r="FF42" s="79"/>
      <c r="FG42" s="67"/>
      <c r="FI42" s="98"/>
      <c r="FJ42" s="99"/>
      <c r="FK42" s="329" t="str">
        <f t="shared" si="16"/>
        <v/>
      </c>
      <c r="FL42" s="77"/>
      <c r="FM42" s="78"/>
      <c r="FN42" s="78"/>
      <c r="FO42" s="79"/>
      <c r="FP42" s="333" t="str">
        <f>IF(FK42="","",'Name List'!$I$4)</f>
        <v/>
      </c>
      <c r="FR42" s="98"/>
      <c r="FS42" s="99"/>
      <c r="FT42" s="329" t="str">
        <f t="shared" si="17"/>
        <v/>
      </c>
      <c r="FU42" s="77"/>
      <c r="FV42" s="78"/>
      <c r="FW42" s="78"/>
      <c r="FX42" s="79"/>
      <c r="FY42" s="333" t="str">
        <f>IF(FT42="","",'Name List'!$I$4)</f>
        <v/>
      </c>
      <c r="GA42" s="98"/>
      <c r="GB42" s="99"/>
      <c r="GC42" s="329" t="str">
        <f t="shared" si="18"/>
        <v/>
      </c>
      <c r="GD42" s="77"/>
      <c r="GE42" s="78"/>
      <c r="GF42" s="78"/>
      <c r="GG42" s="79"/>
      <c r="GH42" s="333" t="str">
        <f>IF(GC42="","",'Name List'!$I$4)</f>
        <v/>
      </c>
      <c r="GJ42" s="98"/>
      <c r="GK42" s="99"/>
      <c r="GL42" s="329" t="str">
        <f t="shared" si="19"/>
        <v/>
      </c>
      <c r="GM42" s="77"/>
      <c r="GN42" s="78"/>
      <c r="GO42" s="78"/>
      <c r="GP42" s="79"/>
      <c r="GQ42" s="333" t="str">
        <f>IF(GL42="","",'Name List'!$I$4)</f>
        <v/>
      </c>
      <c r="GS42" s="68"/>
      <c r="GT42" s="69"/>
      <c r="GU42" s="70"/>
      <c r="GV42" s="77"/>
      <c r="GW42" s="78"/>
      <c r="GX42" s="78"/>
      <c r="GY42" s="79"/>
      <c r="GZ42" s="67"/>
      <c r="HB42" s="98"/>
      <c r="HC42" s="99"/>
      <c r="HD42" s="329" t="str">
        <f t="shared" si="21"/>
        <v/>
      </c>
      <c r="HE42" s="77"/>
      <c r="HF42" s="78"/>
      <c r="HG42" s="78"/>
      <c r="HH42" s="79"/>
      <c r="HI42" s="333" t="str">
        <f>IF(HD42="","",'Name List'!$I$4)</f>
        <v/>
      </c>
      <c r="HK42" s="71"/>
      <c r="HL42" s="72"/>
      <c r="HM42" s="383" t="str">
        <f t="shared" si="22"/>
        <v/>
      </c>
      <c r="HN42" s="77"/>
      <c r="HO42" s="78"/>
      <c r="HP42" s="78"/>
      <c r="HQ42" s="79"/>
      <c r="HR42" s="333" t="str">
        <f>IF(HM42="","",'Name List'!$I$4)</f>
        <v/>
      </c>
      <c r="HT42" s="68"/>
      <c r="HU42" s="69"/>
      <c r="HV42" s="70"/>
      <c r="HW42" s="77"/>
      <c r="HX42" s="78"/>
      <c r="HY42" s="78"/>
      <c r="HZ42" s="79"/>
      <c r="IA42" s="67"/>
      <c r="IC42" s="115"/>
      <c r="ID42" s="116"/>
      <c r="IE42" s="117"/>
      <c r="IF42" s="77"/>
      <c r="IG42" s="78"/>
      <c r="IH42" s="78"/>
      <c r="II42" s="79"/>
      <c r="IJ42" s="333" t="str">
        <f>IF(IE42="","",'Name List'!$I$4)</f>
        <v/>
      </c>
      <c r="IL42" s="98"/>
      <c r="IM42" s="99"/>
      <c r="IN42" s="100"/>
      <c r="IO42" s="77"/>
      <c r="IP42" s="78"/>
      <c r="IQ42" s="78"/>
      <c r="IR42" s="79"/>
      <c r="IS42" s="67"/>
      <c r="IU42" s="98"/>
      <c r="IV42" s="99"/>
      <c r="IW42" s="100"/>
      <c r="IX42" s="77"/>
      <c r="IY42" s="78"/>
      <c r="IZ42" s="78"/>
      <c r="JA42" s="79"/>
      <c r="JB42" s="67"/>
      <c r="JD42" s="98"/>
      <c r="JE42" s="99"/>
      <c r="JF42" s="100"/>
      <c r="JG42" s="77"/>
      <c r="JH42" s="78"/>
      <c r="JI42" s="78"/>
      <c r="JJ42" s="79"/>
      <c r="JK42" s="67"/>
      <c r="JM42" s="98"/>
      <c r="JN42" s="99"/>
      <c r="JO42" s="275"/>
      <c r="JP42" s="77"/>
      <c r="JQ42" s="78"/>
      <c r="JR42" s="78"/>
      <c r="JS42" s="79"/>
      <c r="JT42" s="67"/>
      <c r="JV42" s="98"/>
      <c r="JW42" s="99"/>
      <c r="JX42" s="100"/>
      <c r="JY42" s="77"/>
      <c r="JZ42" s="78"/>
      <c r="KA42" s="78"/>
      <c r="KB42" s="79"/>
      <c r="KC42" s="67"/>
      <c r="KE42" s="98"/>
      <c r="KF42" s="99"/>
      <c r="KG42" s="100"/>
      <c r="KH42" s="77"/>
      <c r="KI42" s="78"/>
      <c r="KJ42" s="78"/>
      <c r="KK42" s="79"/>
      <c r="KL42" s="67"/>
      <c r="KN42" s="68"/>
      <c r="KO42" s="69"/>
      <c r="KP42" s="70"/>
      <c r="KQ42" s="77"/>
      <c r="KR42" s="78"/>
      <c r="KS42" s="78"/>
      <c r="KT42" s="79"/>
      <c r="KU42" s="67"/>
      <c r="KW42" s="98"/>
      <c r="KX42" s="99"/>
      <c r="KY42" s="100"/>
      <c r="KZ42" s="77"/>
      <c r="LA42" s="78"/>
      <c r="LB42" s="78"/>
      <c r="LC42" s="79"/>
      <c r="LD42" s="67"/>
      <c r="LF42" s="71"/>
      <c r="LG42" s="72"/>
      <c r="LH42" s="73"/>
      <c r="LI42" s="77"/>
      <c r="LJ42" s="78"/>
      <c r="LK42" s="78"/>
      <c r="LL42" s="79"/>
      <c r="LM42" s="67"/>
      <c r="LO42" s="98"/>
      <c r="LP42" s="99"/>
      <c r="LQ42" s="329"/>
      <c r="LR42" s="77"/>
      <c r="LS42" s="78"/>
      <c r="LT42" s="78"/>
      <c r="LU42" s="79"/>
      <c r="LV42" s="67"/>
      <c r="LX42" s="98"/>
      <c r="LY42" s="99"/>
      <c r="LZ42" s="100"/>
      <c r="MA42" s="77"/>
      <c r="MB42" s="78"/>
      <c r="MC42" s="78"/>
      <c r="MD42" s="79"/>
      <c r="ME42" s="67"/>
      <c r="MG42" s="98"/>
      <c r="MH42" s="99"/>
      <c r="MI42" s="100"/>
      <c r="MJ42" s="77"/>
      <c r="MK42" s="78"/>
      <c r="ML42" s="78"/>
      <c r="MM42" s="79"/>
      <c r="MN42" s="67"/>
      <c r="MP42" s="98"/>
      <c r="MQ42" s="99"/>
      <c r="MR42" s="100"/>
      <c r="MS42" s="77"/>
      <c r="MT42" s="78"/>
      <c r="MU42" s="78"/>
      <c r="MV42" s="79"/>
      <c r="MW42" s="67"/>
      <c r="MY42" s="98"/>
      <c r="MZ42" s="99"/>
      <c r="NA42" s="100"/>
      <c r="NB42" s="77"/>
      <c r="NC42" s="78"/>
      <c r="ND42" s="78"/>
      <c r="NE42" s="79"/>
      <c r="NF42" s="67"/>
      <c r="NH42" s="98"/>
      <c r="NI42" s="99"/>
      <c r="NJ42" s="329"/>
      <c r="NK42" s="77"/>
      <c r="NL42" s="78"/>
      <c r="NM42" s="78"/>
      <c r="NN42" s="79"/>
      <c r="NO42" s="67"/>
      <c r="NQ42" s="98"/>
      <c r="NR42" s="99"/>
      <c r="NS42" s="100"/>
      <c r="NT42" s="77"/>
      <c r="NU42" s="78"/>
      <c r="NV42" s="78"/>
      <c r="NW42" s="79"/>
      <c r="NX42" s="67"/>
      <c r="NZ42" s="71"/>
      <c r="OA42" s="72"/>
      <c r="OB42" s="73"/>
      <c r="OC42" s="77"/>
      <c r="OD42" s="78"/>
      <c r="OE42" s="78"/>
      <c r="OF42" s="79"/>
      <c r="OG42" s="67"/>
      <c r="OI42" s="98"/>
      <c r="OJ42" s="99"/>
      <c r="OK42" s="329"/>
      <c r="OL42" s="77"/>
      <c r="OM42" s="78"/>
      <c r="ON42" s="78"/>
      <c r="OO42" s="79"/>
      <c r="OP42" s="67"/>
      <c r="OR42" s="71"/>
      <c r="OS42" s="72"/>
      <c r="OT42" s="73"/>
      <c r="OU42" s="77"/>
      <c r="OV42" s="78"/>
      <c r="OW42" s="78"/>
      <c r="OX42" s="79"/>
      <c r="OY42" s="67"/>
      <c r="PA42" s="98"/>
      <c r="PB42" s="99"/>
      <c r="PC42" s="100"/>
      <c r="PD42" s="77"/>
      <c r="PE42" s="78"/>
      <c r="PF42" s="78"/>
      <c r="PG42" s="79"/>
      <c r="PH42" s="67"/>
      <c r="PJ42" s="277"/>
      <c r="PK42" s="278"/>
      <c r="PL42" s="279"/>
      <c r="PM42" s="125"/>
      <c r="PN42" s="126"/>
      <c r="PO42" s="126"/>
      <c r="PP42" s="127"/>
      <c r="PQ42" s="128"/>
      <c r="PS42" s="403"/>
      <c r="PT42" s="404"/>
      <c r="PU42" s="405"/>
      <c r="PV42" s="330"/>
      <c r="PW42" s="331"/>
      <c r="PX42" s="331"/>
      <c r="PY42" s="332"/>
      <c r="PZ42" s="333"/>
      <c r="QB42" s="412"/>
      <c r="QC42" s="413"/>
      <c r="QD42" s="414"/>
      <c r="QE42" s="125"/>
      <c r="QF42" s="126"/>
      <c r="QG42" s="126"/>
      <c r="QH42" s="127"/>
      <c r="QI42" s="128"/>
      <c r="QK42" s="283"/>
      <c r="QL42" s="284"/>
      <c r="QM42" s="285"/>
      <c r="QN42" s="125"/>
      <c r="QO42" s="126"/>
      <c r="QP42" s="126"/>
      <c r="QQ42" s="127"/>
      <c r="QR42" s="128" t="str">
        <f>IF(QM42="","",'Name List'!$I$4)</f>
        <v/>
      </c>
      <c r="QS42" s="91"/>
      <c r="QT42" s="107">
        <f t="shared" si="50"/>
        <v>0</v>
      </c>
      <c r="QU42" s="130">
        <f t="shared" si="51"/>
        <v>4</v>
      </c>
      <c r="QV42" s="130">
        <f t="shared" si="52"/>
        <v>29</v>
      </c>
      <c r="QW42" s="108">
        <f t="shared" si="53"/>
        <v>2</v>
      </c>
      <c r="QY42" s="260">
        <f t="shared" si="54"/>
        <v>2</v>
      </c>
      <c r="RA42" s="141">
        <f t="shared" si="55"/>
        <v>16</v>
      </c>
      <c r="RB42" s="106">
        <f t="shared" si="56"/>
        <v>20</v>
      </c>
      <c r="RC42" s="106">
        <f t="shared" si="57"/>
        <v>36</v>
      </c>
      <c r="RD42" s="106">
        <f t="shared" si="58"/>
        <v>16</v>
      </c>
      <c r="RE42" s="106">
        <f t="shared" si="59"/>
        <v>15</v>
      </c>
      <c r="RF42" s="142">
        <f t="shared" si="60"/>
        <v>31</v>
      </c>
      <c r="RG42" s="106"/>
      <c r="RH42" s="139">
        <f t="shared" si="61"/>
        <v>0</v>
      </c>
      <c r="RI42" s="140">
        <f t="shared" si="62"/>
        <v>0</v>
      </c>
      <c r="RJ42" s="106"/>
      <c r="RK42" s="136">
        <f t="shared" si="63"/>
        <v>33.5</v>
      </c>
      <c r="RL42" s="106"/>
      <c r="RM42" s="137">
        <f t="shared" si="64"/>
        <v>84</v>
      </c>
      <c r="RN42" s="138">
        <f t="shared" si="65"/>
        <v>84</v>
      </c>
      <c r="RO42" s="106"/>
      <c r="RP42" s="259">
        <f t="shared" si="66"/>
        <v>1</v>
      </c>
    </row>
    <row r="43" spans="1:484" x14ac:dyDescent="0.2">
      <c r="A43" s="89" t="str">
        <f>'Name List'!B43</f>
        <v>Edward Money</v>
      </c>
      <c r="C43" s="98"/>
      <c r="D43" s="99"/>
      <c r="E43" s="329" t="str">
        <f t="shared" si="0"/>
        <v/>
      </c>
      <c r="F43" s="77"/>
      <c r="G43" s="78"/>
      <c r="H43" s="78"/>
      <c r="I43" s="79"/>
      <c r="J43" s="333" t="str">
        <f>IF(E43="","",'Name List'!$I$4)</f>
        <v/>
      </c>
      <c r="L43" s="98"/>
      <c r="M43" s="99"/>
      <c r="N43" s="100"/>
      <c r="O43" s="77"/>
      <c r="P43" s="78"/>
      <c r="Q43" s="78"/>
      <c r="R43" s="79"/>
      <c r="S43" s="67"/>
      <c r="U43" s="71"/>
      <c r="V43" s="72"/>
      <c r="W43" s="396" t="str">
        <f t="shared" si="2"/>
        <v/>
      </c>
      <c r="X43" s="77"/>
      <c r="Y43" s="78"/>
      <c r="Z43" s="78"/>
      <c r="AA43" s="79"/>
      <c r="AB43" s="333" t="str">
        <f>IF(W43="","",'Name List'!$I$4)</f>
        <v/>
      </c>
      <c r="AD43" s="98">
        <v>15</v>
      </c>
      <c r="AE43" s="99">
        <v>12</v>
      </c>
      <c r="AF43" s="329">
        <f t="shared" si="3"/>
        <v>27</v>
      </c>
      <c r="AG43" s="77">
        <v>0</v>
      </c>
      <c r="AH43" s="78">
        <v>1</v>
      </c>
      <c r="AI43" s="78">
        <v>6</v>
      </c>
      <c r="AJ43" s="79">
        <v>1</v>
      </c>
      <c r="AK43" s="333">
        <f>IF(AF43="","",'Name List'!$I$4)</f>
        <v>5</v>
      </c>
      <c r="AM43" s="98"/>
      <c r="AN43" s="99"/>
      <c r="AO43" s="329" t="str">
        <f t="shared" si="4"/>
        <v/>
      </c>
      <c r="AP43" s="77"/>
      <c r="AQ43" s="78"/>
      <c r="AR43" s="78"/>
      <c r="AS43" s="79"/>
      <c r="AT43" s="333" t="str">
        <f>IF(AO43="","",'Name List'!$I$4)</f>
        <v/>
      </c>
      <c r="AV43" s="458"/>
      <c r="AW43" s="401"/>
      <c r="AX43" s="400" t="str">
        <f t="shared" si="5"/>
        <v/>
      </c>
      <c r="AY43" s="77"/>
      <c r="AZ43" s="78"/>
      <c r="BA43" s="78"/>
      <c r="BB43" s="79"/>
      <c r="BC43" s="457" t="str">
        <f>IF(AX43="","",'Name List'!$I$4)</f>
        <v/>
      </c>
      <c r="BE43" s="71"/>
      <c r="BF43" s="72"/>
      <c r="BG43" s="383" t="str">
        <f t="shared" si="6"/>
        <v/>
      </c>
      <c r="BH43" s="77"/>
      <c r="BI43" s="78"/>
      <c r="BJ43" s="78"/>
      <c r="BK43" s="79"/>
      <c r="BL43" s="333" t="str">
        <f>IF(BG43="","",'Name List'!$I$4)</f>
        <v/>
      </c>
      <c r="BN43" s="98"/>
      <c r="BO43" s="99"/>
      <c r="BP43" s="100"/>
      <c r="BQ43" s="77"/>
      <c r="BR43" s="78"/>
      <c r="BS43" s="78"/>
      <c r="BT43" s="79"/>
      <c r="BU43" s="67"/>
      <c r="BW43" s="98"/>
      <c r="BX43" s="99"/>
      <c r="BY43" s="329" t="str">
        <f t="shared" si="8"/>
        <v/>
      </c>
      <c r="BZ43" s="77"/>
      <c r="CA43" s="78"/>
      <c r="CB43" s="78"/>
      <c r="CC43" s="79"/>
      <c r="CD43" s="333" t="str">
        <f>IF(BY43="","",'Name List'!$I$4)</f>
        <v/>
      </c>
      <c r="CF43" s="68"/>
      <c r="CG43" s="69"/>
      <c r="CH43" s="282" t="str">
        <f t="shared" si="49"/>
        <v/>
      </c>
      <c r="CI43" s="77"/>
      <c r="CJ43" s="78"/>
      <c r="CK43" s="78"/>
      <c r="CL43" s="79"/>
      <c r="CM43" s="333" t="str">
        <f>IF(CH43="","",'Name List'!$I$4)</f>
        <v/>
      </c>
      <c r="CO43" s="71"/>
      <c r="CP43" s="72"/>
      <c r="CQ43" s="383" t="str">
        <f t="shared" si="9"/>
        <v/>
      </c>
      <c r="CR43" s="77"/>
      <c r="CS43" s="78"/>
      <c r="CT43" s="78"/>
      <c r="CU43" s="79"/>
      <c r="CV43" s="333" t="str">
        <f>IF(CQ43="","",'Name List'!$I$4)</f>
        <v/>
      </c>
      <c r="CX43" s="98"/>
      <c r="CY43" s="99"/>
      <c r="CZ43" s="329" t="str">
        <f t="shared" si="10"/>
        <v/>
      </c>
      <c r="DA43" s="77"/>
      <c r="DB43" s="78"/>
      <c r="DC43" s="78"/>
      <c r="DD43" s="79"/>
      <c r="DE43" s="333" t="str">
        <f>IF(CZ43="","",'Name List'!$I$4)</f>
        <v/>
      </c>
      <c r="DG43" s="98"/>
      <c r="DH43" s="99"/>
      <c r="DI43" s="329" t="str">
        <f t="shared" si="11"/>
        <v/>
      </c>
      <c r="DJ43" s="77"/>
      <c r="DK43" s="78"/>
      <c r="DL43" s="78"/>
      <c r="DM43" s="79"/>
      <c r="DN43" s="333" t="str">
        <f>IF(DI43="","",'Name List'!$I$4)</f>
        <v/>
      </c>
      <c r="DP43" s="98">
        <v>18</v>
      </c>
      <c r="DQ43" s="99">
        <v>11</v>
      </c>
      <c r="DR43" s="329">
        <f t="shared" si="12"/>
        <v>29</v>
      </c>
      <c r="DS43" s="77">
        <v>0</v>
      </c>
      <c r="DT43" s="78">
        <v>1</v>
      </c>
      <c r="DU43" s="78">
        <v>6</v>
      </c>
      <c r="DV43" s="79">
        <v>2</v>
      </c>
      <c r="DW43" s="333">
        <f>IF(DR43="","",'Name List'!$I$4)</f>
        <v>5</v>
      </c>
      <c r="DY43" s="98"/>
      <c r="DZ43" s="99"/>
      <c r="EA43" s="329" t="str">
        <f t="shared" si="13"/>
        <v/>
      </c>
      <c r="EB43" s="77"/>
      <c r="EC43" s="78"/>
      <c r="ED43" s="78"/>
      <c r="EE43" s="79"/>
      <c r="EF43" s="333" t="str">
        <f>IF(EA43="","",'Name List'!$I$4)</f>
        <v/>
      </c>
      <c r="EH43" s="98"/>
      <c r="EI43" s="99"/>
      <c r="EJ43" s="329" t="str">
        <f t="shared" si="14"/>
        <v/>
      </c>
      <c r="EK43" s="77"/>
      <c r="EL43" s="78"/>
      <c r="EM43" s="78"/>
      <c r="EN43" s="79"/>
      <c r="EO43" s="333" t="str">
        <f>IF(EJ43="","",'Name List'!$I$4)</f>
        <v/>
      </c>
      <c r="EQ43" s="115"/>
      <c r="ER43" s="116"/>
      <c r="ES43" s="117"/>
      <c r="ET43" s="77"/>
      <c r="EU43" s="78"/>
      <c r="EV43" s="78"/>
      <c r="EW43" s="79"/>
      <c r="EX43" s="333" t="str">
        <f>IF(ES43="","",'Name List'!$I$4)</f>
        <v/>
      </c>
      <c r="EZ43" s="68"/>
      <c r="FA43" s="69"/>
      <c r="FB43" s="70"/>
      <c r="FC43" s="77"/>
      <c r="FD43" s="78"/>
      <c r="FE43" s="78"/>
      <c r="FF43" s="79"/>
      <c r="FG43" s="67"/>
      <c r="FI43" s="98"/>
      <c r="FJ43" s="99"/>
      <c r="FK43" s="329" t="str">
        <f t="shared" si="16"/>
        <v/>
      </c>
      <c r="FL43" s="77"/>
      <c r="FM43" s="78"/>
      <c r="FN43" s="78"/>
      <c r="FO43" s="79"/>
      <c r="FP43" s="333" t="str">
        <f>IF(FK43="","",'Name List'!$I$4)</f>
        <v/>
      </c>
      <c r="FR43" s="98"/>
      <c r="FS43" s="99"/>
      <c r="FT43" s="329" t="str">
        <f t="shared" si="17"/>
        <v/>
      </c>
      <c r="FU43" s="77"/>
      <c r="FV43" s="78"/>
      <c r="FW43" s="78"/>
      <c r="FX43" s="79"/>
      <c r="FY43" s="333" t="str">
        <f>IF(FT43="","",'Name List'!$I$4)</f>
        <v/>
      </c>
      <c r="GA43" s="98"/>
      <c r="GB43" s="99"/>
      <c r="GC43" s="329" t="str">
        <f t="shared" si="18"/>
        <v/>
      </c>
      <c r="GD43" s="77"/>
      <c r="GE43" s="78"/>
      <c r="GF43" s="78"/>
      <c r="GG43" s="79"/>
      <c r="GH43" s="333" t="str">
        <f>IF(GC43="","",'Name List'!$I$4)</f>
        <v/>
      </c>
      <c r="GJ43" s="98">
        <v>16</v>
      </c>
      <c r="GK43" s="99">
        <v>17</v>
      </c>
      <c r="GL43" s="329">
        <f t="shared" si="19"/>
        <v>33</v>
      </c>
      <c r="GM43" s="77">
        <v>1</v>
      </c>
      <c r="GN43" s="78">
        <v>0</v>
      </c>
      <c r="GO43" s="78">
        <v>9</v>
      </c>
      <c r="GP43" s="79">
        <v>1</v>
      </c>
      <c r="GQ43" s="333">
        <f>IF(GL43="","",'Name List'!$I$4)</f>
        <v>5</v>
      </c>
      <c r="GS43" s="68"/>
      <c r="GT43" s="69"/>
      <c r="GU43" s="70"/>
      <c r="GV43" s="77"/>
      <c r="GW43" s="78"/>
      <c r="GX43" s="78"/>
      <c r="GY43" s="79"/>
      <c r="GZ43" s="67"/>
      <c r="HB43" s="98"/>
      <c r="HC43" s="99"/>
      <c r="HD43" s="329" t="str">
        <f t="shared" si="21"/>
        <v/>
      </c>
      <c r="HE43" s="77"/>
      <c r="HF43" s="78"/>
      <c r="HG43" s="78"/>
      <c r="HH43" s="79"/>
      <c r="HI43" s="333" t="str">
        <f>IF(HD43="","",'Name List'!$I$4)</f>
        <v/>
      </c>
      <c r="HK43" s="71"/>
      <c r="HL43" s="72"/>
      <c r="HM43" s="383" t="str">
        <f t="shared" si="22"/>
        <v/>
      </c>
      <c r="HN43" s="77"/>
      <c r="HO43" s="78"/>
      <c r="HP43" s="78"/>
      <c r="HQ43" s="79"/>
      <c r="HR43" s="333" t="str">
        <f>IF(HM43="","",'Name List'!$I$4)</f>
        <v/>
      </c>
      <c r="HT43" s="68"/>
      <c r="HU43" s="69"/>
      <c r="HV43" s="70"/>
      <c r="HW43" s="77"/>
      <c r="HX43" s="78"/>
      <c r="HY43" s="78"/>
      <c r="HZ43" s="79"/>
      <c r="IA43" s="67"/>
      <c r="IC43" s="115"/>
      <c r="ID43" s="116"/>
      <c r="IE43" s="117"/>
      <c r="IF43" s="77"/>
      <c r="IG43" s="78"/>
      <c r="IH43" s="78"/>
      <c r="II43" s="79"/>
      <c r="IJ43" s="333" t="str">
        <f>IF(IE43="","",'Name List'!$I$4)</f>
        <v/>
      </c>
      <c r="IL43" s="98"/>
      <c r="IM43" s="99"/>
      <c r="IN43" s="100"/>
      <c r="IO43" s="77"/>
      <c r="IP43" s="78"/>
      <c r="IQ43" s="78"/>
      <c r="IR43" s="79"/>
      <c r="IS43" s="67"/>
      <c r="IU43" s="98"/>
      <c r="IV43" s="99"/>
      <c r="IW43" s="100"/>
      <c r="IX43" s="77"/>
      <c r="IY43" s="78"/>
      <c r="IZ43" s="78"/>
      <c r="JA43" s="79"/>
      <c r="JB43" s="67"/>
      <c r="JD43" s="98"/>
      <c r="JE43" s="99"/>
      <c r="JF43" s="100"/>
      <c r="JG43" s="77"/>
      <c r="JH43" s="78"/>
      <c r="JI43" s="78"/>
      <c r="JJ43" s="79"/>
      <c r="JK43" s="67"/>
      <c r="JM43" s="98"/>
      <c r="JN43" s="99"/>
      <c r="JO43" s="275"/>
      <c r="JP43" s="77"/>
      <c r="JQ43" s="78"/>
      <c r="JR43" s="78"/>
      <c r="JS43" s="79"/>
      <c r="JT43" s="67"/>
      <c r="JV43" s="98"/>
      <c r="JW43" s="99"/>
      <c r="JX43" s="100"/>
      <c r="JY43" s="77"/>
      <c r="JZ43" s="78"/>
      <c r="KA43" s="78"/>
      <c r="KB43" s="79"/>
      <c r="KC43" s="67"/>
      <c r="KE43" s="98"/>
      <c r="KF43" s="99"/>
      <c r="KG43" s="100"/>
      <c r="KH43" s="77"/>
      <c r="KI43" s="78"/>
      <c r="KJ43" s="78"/>
      <c r="KK43" s="79"/>
      <c r="KL43" s="67"/>
      <c r="KN43" s="68"/>
      <c r="KO43" s="69"/>
      <c r="KP43" s="70"/>
      <c r="KQ43" s="77"/>
      <c r="KR43" s="78"/>
      <c r="KS43" s="78"/>
      <c r="KT43" s="79"/>
      <c r="KU43" s="67"/>
      <c r="KW43" s="98"/>
      <c r="KX43" s="99"/>
      <c r="KY43" s="100"/>
      <c r="KZ43" s="77"/>
      <c r="LA43" s="78"/>
      <c r="LB43" s="78"/>
      <c r="LC43" s="79"/>
      <c r="LD43" s="67"/>
      <c r="LF43" s="71"/>
      <c r="LG43" s="72"/>
      <c r="LH43" s="73"/>
      <c r="LI43" s="77"/>
      <c r="LJ43" s="78"/>
      <c r="LK43" s="78"/>
      <c r="LL43" s="79"/>
      <c r="LM43" s="67"/>
      <c r="LO43" s="98"/>
      <c r="LP43" s="99"/>
      <c r="LQ43" s="329"/>
      <c r="LR43" s="77"/>
      <c r="LS43" s="78"/>
      <c r="LT43" s="78"/>
      <c r="LU43" s="79"/>
      <c r="LV43" s="67"/>
      <c r="LX43" s="98"/>
      <c r="LY43" s="99"/>
      <c r="LZ43" s="100"/>
      <c r="MA43" s="77"/>
      <c r="MB43" s="78"/>
      <c r="MC43" s="78"/>
      <c r="MD43" s="79"/>
      <c r="ME43" s="67"/>
      <c r="MG43" s="98"/>
      <c r="MH43" s="99"/>
      <c r="MI43" s="100"/>
      <c r="MJ43" s="77"/>
      <c r="MK43" s="78"/>
      <c r="ML43" s="78"/>
      <c r="MM43" s="79"/>
      <c r="MN43" s="67"/>
      <c r="MP43" s="98"/>
      <c r="MQ43" s="99"/>
      <c r="MR43" s="100"/>
      <c r="MS43" s="77"/>
      <c r="MT43" s="78"/>
      <c r="MU43" s="78"/>
      <c r="MV43" s="79"/>
      <c r="MW43" s="67"/>
      <c r="MY43" s="98"/>
      <c r="MZ43" s="99"/>
      <c r="NA43" s="100"/>
      <c r="NB43" s="77"/>
      <c r="NC43" s="78"/>
      <c r="ND43" s="78"/>
      <c r="NE43" s="79"/>
      <c r="NF43" s="67"/>
      <c r="NH43" s="98"/>
      <c r="NI43" s="99"/>
      <c r="NJ43" s="329"/>
      <c r="NK43" s="77"/>
      <c r="NL43" s="78"/>
      <c r="NM43" s="78"/>
      <c r="NN43" s="79"/>
      <c r="NO43" s="67"/>
      <c r="NQ43" s="98"/>
      <c r="NR43" s="99"/>
      <c r="NS43" s="100"/>
      <c r="NT43" s="77"/>
      <c r="NU43" s="78"/>
      <c r="NV43" s="78"/>
      <c r="NW43" s="79"/>
      <c r="NX43" s="67"/>
      <c r="NZ43" s="71"/>
      <c r="OA43" s="72"/>
      <c r="OB43" s="73"/>
      <c r="OC43" s="77"/>
      <c r="OD43" s="78"/>
      <c r="OE43" s="78"/>
      <c r="OF43" s="79"/>
      <c r="OG43" s="67"/>
      <c r="OI43" s="98"/>
      <c r="OJ43" s="99"/>
      <c r="OK43" s="329"/>
      <c r="OL43" s="77"/>
      <c r="OM43" s="78"/>
      <c r="ON43" s="78"/>
      <c r="OO43" s="79"/>
      <c r="OP43" s="67"/>
      <c r="OR43" s="71"/>
      <c r="OS43" s="72"/>
      <c r="OT43" s="73"/>
      <c r="OU43" s="77"/>
      <c r="OV43" s="78"/>
      <c r="OW43" s="78"/>
      <c r="OX43" s="79"/>
      <c r="OY43" s="67"/>
      <c r="PA43" s="98"/>
      <c r="PB43" s="99"/>
      <c r="PC43" s="100"/>
      <c r="PD43" s="77"/>
      <c r="PE43" s="78"/>
      <c r="PF43" s="78"/>
      <c r="PG43" s="79"/>
      <c r="PH43" s="67"/>
      <c r="PJ43" s="277"/>
      <c r="PK43" s="278"/>
      <c r="PL43" s="279"/>
      <c r="PM43" s="125"/>
      <c r="PN43" s="126"/>
      <c r="PO43" s="126"/>
      <c r="PP43" s="127"/>
      <c r="PQ43" s="128"/>
      <c r="PS43" s="403"/>
      <c r="PT43" s="404"/>
      <c r="PU43" s="405"/>
      <c r="PV43" s="330"/>
      <c r="PW43" s="331"/>
      <c r="PX43" s="331"/>
      <c r="PY43" s="332"/>
      <c r="PZ43" s="333"/>
      <c r="QB43" s="412"/>
      <c r="QC43" s="413"/>
      <c r="QD43" s="414"/>
      <c r="QE43" s="125"/>
      <c r="QF43" s="126"/>
      <c r="QG43" s="126"/>
      <c r="QH43" s="127"/>
      <c r="QI43" s="128"/>
      <c r="QK43" s="283"/>
      <c r="QL43" s="284"/>
      <c r="QM43" s="285"/>
      <c r="QN43" s="125"/>
      <c r="QO43" s="126"/>
      <c r="QP43" s="126"/>
      <c r="QQ43" s="127"/>
      <c r="QR43" s="128" t="str">
        <f>IF(QM43="","",'Name List'!$I$4)</f>
        <v/>
      </c>
      <c r="QS43" s="91"/>
      <c r="QT43" s="107">
        <f t="shared" si="50"/>
        <v>1</v>
      </c>
      <c r="QU43" s="130">
        <f t="shared" si="51"/>
        <v>2</v>
      </c>
      <c r="QV43" s="130">
        <f t="shared" si="52"/>
        <v>21</v>
      </c>
      <c r="QW43" s="108">
        <f t="shared" si="53"/>
        <v>4</v>
      </c>
      <c r="QY43" s="260">
        <f t="shared" si="54"/>
        <v>3</v>
      </c>
      <c r="RA43" s="141">
        <f t="shared" si="55"/>
        <v>18</v>
      </c>
      <c r="RB43" s="106">
        <f t="shared" si="56"/>
        <v>17</v>
      </c>
      <c r="RC43" s="106">
        <f t="shared" si="57"/>
        <v>33</v>
      </c>
      <c r="RD43" s="106">
        <f t="shared" si="58"/>
        <v>15</v>
      </c>
      <c r="RE43" s="106">
        <f t="shared" si="59"/>
        <v>11</v>
      </c>
      <c r="RF43" s="142">
        <f t="shared" si="60"/>
        <v>27</v>
      </c>
      <c r="RG43" s="106"/>
      <c r="RH43" s="139">
        <f t="shared" si="61"/>
        <v>0</v>
      </c>
      <c r="RI43" s="140">
        <f t="shared" si="62"/>
        <v>0</v>
      </c>
      <c r="RJ43" s="106"/>
      <c r="RK43" s="136">
        <f t="shared" si="63"/>
        <v>29.666666666666668</v>
      </c>
      <c r="RL43" s="106"/>
      <c r="RM43" s="137">
        <f t="shared" si="64"/>
        <v>0</v>
      </c>
      <c r="RN43" s="138">
        <f t="shared" si="65"/>
        <v>0</v>
      </c>
      <c r="RO43" s="106"/>
      <c r="RP43" s="259">
        <f t="shared" si="66"/>
        <v>0</v>
      </c>
    </row>
    <row r="44" spans="1:484" x14ac:dyDescent="0.2">
      <c r="A44" s="89" t="str">
        <f>'Name List'!B44</f>
        <v>Dickie Moxham</v>
      </c>
      <c r="C44" s="98"/>
      <c r="D44" s="99"/>
      <c r="E44" s="329" t="str">
        <f t="shared" si="0"/>
        <v/>
      </c>
      <c r="F44" s="77"/>
      <c r="G44" s="78"/>
      <c r="H44" s="78"/>
      <c r="I44" s="79"/>
      <c r="J44" s="333" t="str">
        <f>IF(E44="","",'Name List'!$I$4)</f>
        <v/>
      </c>
      <c r="L44" s="98"/>
      <c r="M44" s="99"/>
      <c r="N44" s="100"/>
      <c r="O44" s="77"/>
      <c r="P44" s="78"/>
      <c r="Q44" s="78"/>
      <c r="R44" s="79"/>
      <c r="S44" s="67"/>
      <c r="U44" s="71"/>
      <c r="V44" s="72"/>
      <c r="W44" s="396" t="str">
        <f t="shared" si="2"/>
        <v/>
      </c>
      <c r="X44" s="77"/>
      <c r="Y44" s="78"/>
      <c r="Z44" s="78"/>
      <c r="AA44" s="79"/>
      <c r="AB44" s="333" t="str">
        <f>IF(W44="","",'Name List'!$I$4)</f>
        <v/>
      </c>
      <c r="AD44" s="98"/>
      <c r="AE44" s="99"/>
      <c r="AF44" s="329" t="str">
        <f t="shared" si="3"/>
        <v/>
      </c>
      <c r="AG44" s="77"/>
      <c r="AH44" s="78"/>
      <c r="AI44" s="78"/>
      <c r="AJ44" s="79"/>
      <c r="AK44" s="333" t="str">
        <f>IF(AF44="","",'Name List'!$I$4)</f>
        <v/>
      </c>
      <c r="AM44" s="98"/>
      <c r="AN44" s="99"/>
      <c r="AO44" s="329" t="str">
        <f t="shared" si="4"/>
        <v/>
      </c>
      <c r="AP44" s="77"/>
      <c r="AQ44" s="78"/>
      <c r="AR44" s="78"/>
      <c r="AS44" s="79"/>
      <c r="AT44" s="333" t="str">
        <f>IF(AO44="","",'Name List'!$I$4)</f>
        <v/>
      </c>
      <c r="AV44" s="458">
        <v>16</v>
      </c>
      <c r="AW44" s="401">
        <v>15</v>
      </c>
      <c r="AX44" s="400">
        <f t="shared" si="5"/>
        <v>31</v>
      </c>
      <c r="AY44" s="77">
        <v>0</v>
      </c>
      <c r="AZ44" s="78">
        <v>2</v>
      </c>
      <c r="BA44" s="78">
        <v>9</v>
      </c>
      <c r="BB44" s="79">
        <v>2</v>
      </c>
      <c r="BC44" s="457">
        <f>IF(AX44="","",'Name List'!$I$4)</f>
        <v>5</v>
      </c>
      <c r="BE44" s="71"/>
      <c r="BF44" s="72"/>
      <c r="BG44" s="383" t="str">
        <f t="shared" si="6"/>
        <v/>
      </c>
      <c r="BH44" s="77"/>
      <c r="BI44" s="78"/>
      <c r="BJ44" s="78"/>
      <c r="BK44" s="79"/>
      <c r="BL44" s="333" t="str">
        <f>IF(BG44="","",'Name List'!$I$4)</f>
        <v/>
      </c>
      <c r="BN44" s="98"/>
      <c r="BO44" s="99"/>
      <c r="BP44" s="100"/>
      <c r="BQ44" s="77"/>
      <c r="BR44" s="78"/>
      <c r="BS44" s="78"/>
      <c r="BT44" s="79"/>
      <c r="BU44" s="67"/>
      <c r="BW44" s="98">
        <v>17</v>
      </c>
      <c r="BX44" s="99">
        <v>18</v>
      </c>
      <c r="BY44" s="329">
        <f t="shared" si="8"/>
        <v>35</v>
      </c>
      <c r="BZ44" s="77">
        <v>0</v>
      </c>
      <c r="CA44" s="78">
        <v>4</v>
      </c>
      <c r="CB44" s="78">
        <v>11</v>
      </c>
      <c r="CC44" s="79">
        <v>0</v>
      </c>
      <c r="CD44" s="333">
        <f>IF(BY44="","",'Name List'!$I$4)</f>
        <v>5</v>
      </c>
      <c r="CF44" s="68"/>
      <c r="CG44" s="69"/>
      <c r="CH44" s="282" t="str">
        <f t="shared" si="49"/>
        <v/>
      </c>
      <c r="CI44" s="77"/>
      <c r="CJ44" s="78"/>
      <c r="CK44" s="78"/>
      <c r="CL44" s="79"/>
      <c r="CM44" s="333" t="str">
        <f>IF(CH44="","",'Name List'!$I$4)</f>
        <v/>
      </c>
      <c r="CO44" s="71">
        <v>14</v>
      </c>
      <c r="CP44" s="72">
        <v>14</v>
      </c>
      <c r="CQ44" s="383">
        <f t="shared" si="9"/>
        <v>28</v>
      </c>
      <c r="CR44" s="77">
        <v>0</v>
      </c>
      <c r="CS44" s="78">
        <v>0</v>
      </c>
      <c r="CT44" s="78">
        <v>13</v>
      </c>
      <c r="CU44" s="79">
        <v>0</v>
      </c>
      <c r="CV44" s="333">
        <f>IF(CQ44="","",'Name List'!$I$4)</f>
        <v>5</v>
      </c>
      <c r="CX44" s="98"/>
      <c r="CY44" s="99"/>
      <c r="CZ44" s="329" t="str">
        <f t="shared" si="10"/>
        <v/>
      </c>
      <c r="DA44" s="77"/>
      <c r="DB44" s="78"/>
      <c r="DC44" s="78"/>
      <c r="DD44" s="79"/>
      <c r="DE44" s="333" t="str">
        <f>IF(CZ44="","",'Name List'!$I$4)</f>
        <v/>
      </c>
      <c r="DG44" s="98"/>
      <c r="DH44" s="99"/>
      <c r="DI44" s="329" t="str">
        <f t="shared" si="11"/>
        <v/>
      </c>
      <c r="DJ44" s="77"/>
      <c r="DK44" s="78"/>
      <c r="DL44" s="78"/>
      <c r="DM44" s="79"/>
      <c r="DN44" s="333" t="str">
        <f>IF(DI44="","",'Name List'!$I$4)</f>
        <v/>
      </c>
      <c r="DP44" s="98"/>
      <c r="DQ44" s="99"/>
      <c r="DR44" s="329" t="str">
        <f t="shared" si="12"/>
        <v/>
      </c>
      <c r="DS44" s="77"/>
      <c r="DT44" s="78"/>
      <c r="DU44" s="78"/>
      <c r="DV44" s="79"/>
      <c r="DW44" s="333" t="str">
        <f>IF(DR44="","",'Name List'!$I$4)</f>
        <v/>
      </c>
      <c r="DY44" s="98"/>
      <c r="DZ44" s="99"/>
      <c r="EA44" s="329" t="str">
        <f t="shared" si="13"/>
        <v/>
      </c>
      <c r="EB44" s="77"/>
      <c r="EC44" s="78"/>
      <c r="ED44" s="78"/>
      <c r="EE44" s="79"/>
      <c r="EF44" s="333" t="str">
        <f>IF(EA44="","",'Name List'!$I$4)</f>
        <v/>
      </c>
      <c r="EH44" s="98"/>
      <c r="EI44" s="99"/>
      <c r="EJ44" s="329" t="str">
        <f t="shared" si="14"/>
        <v/>
      </c>
      <c r="EK44" s="77"/>
      <c r="EL44" s="78"/>
      <c r="EM44" s="78"/>
      <c r="EN44" s="79"/>
      <c r="EO44" s="333" t="str">
        <f>IF(EJ44="","",'Name List'!$I$4)</f>
        <v/>
      </c>
      <c r="EQ44" s="115"/>
      <c r="ER44" s="116"/>
      <c r="ES44" s="117"/>
      <c r="ET44" s="77"/>
      <c r="EU44" s="78"/>
      <c r="EV44" s="78"/>
      <c r="EW44" s="79"/>
      <c r="EX44" s="333" t="str">
        <f>IF(ES44="","",'Name List'!$I$4)</f>
        <v/>
      </c>
      <c r="EZ44" s="68"/>
      <c r="FA44" s="69"/>
      <c r="FB44" s="70"/>
      <c r="FC44" s="77"/>
      <c r="FD44" s="78"/>
      <c r="FE44" s="78"/>
      <c r="FF44" s="79"/>
      <c r="FG44" s="67"/>
      <c r="FI44" s="98"/>
      <c r="FJ44" s="99"/>
      <c r="FK44" s="329" t="str">
        <f t="shared" si="16"/>
        <v/>
      </c>
      <c r="FL44" s="77"/>
      <c r="FM44" s="78"/>
      <c r="FN44" s="78"/>
      <c r="FO44" s="79"/>
      <c r="FP44" s="333" t="str">
        <f>IF(FK44="","",'Name List'!$I$4)</f>
        <v/>
      </c>
      <c r="FR44" s="98"/>
      <c r="FS44" s="99"/>
      <c r="FT44" s="329" t="str">
        <f t="shared" si="17"/>
        <v/>
      </c>
      <c r="FU44" s="77"/>
      <c r="FV44" s="78"/>
      <c r="FW44" s="78"/>
      <c r="FX44" s="79"/>
      <c r="FY44" s="333" t="str">
        <f>IF(FT44="","",'Name List'!$I$4)</f>
        <v/>
      </c>
      <c r="GA44" s="98"/>
      <c r="GB44" s="99"/>
      <c r="GC44" s="329" t="str">
        <f t="shared" si="18"/>
        <v/>
      </c>
      <c r="GD44" s="77"/>
      <c r="GE44" s="78"/>
      <c r="GF44" s="78"/>
      <c r="GG44" s="79"/>
      <c r="GH44" s="333" t="str">
        <f>IF(GC44="","",'Name List'!$I$4)</f>
        <v/>
      </c>
      <c r="GJ44" s="98">
        <v>17</v>
      </c>
      <c r="GK44" s="99">
        <v>15</v>
      </c>
      <c r="GL44" s="329">
        <f t="shared" si="19"/>
        <v>32</v>
      </c>
      <c r="GM44" s="77">
        <v>0</v>
      </c>
      <c r="GN44" s="78">
        <v>5</v>
      </c>
      <c r="GO44" s="78">
        <v>7</v>
      </c>
      <c r="GP44" s="79">
        <v>2</v>
      </c>
      <c r="GQ44" s="333">
        <f>IF(GL44="","",'Name List'!$I$4)</f>
        <v>5</v>
      </c>
      <c r="GS44" s="68"/>
      <c r="GT44" s="69"/>
      <c r="GU44" s="70"/>
      <c r="GV44" s="77"/>
      <c r="GW44" s="78"/>
      <c r="GX44" s="78"/>
      <c r="GY44" s="79"/>
      <c r="GZ44" s="67"/>
      <c r="HB44" s="98"/>
      <c r="HC44" s="99"/>
      <c r="HD44" s="329" t="str">
        <f t="shared" si="21"/>
        <v/>
      </c>
      <c r="HE44" s="77"/>
      <c r="HF44" s="78"/>
      <c r="HG44" s="78"/>
      <c r="HH44" s="79"/>
      <c r="HI44" s="333" t="str">
        <f>IF(HD44="","",'Name List'!$I$4)</f>
        <v/>
      </c>
      <c r="HK44" s="71"/>
      <c r="HL44" s="72"/>
      <c r="HM44" s="383" t="str">
        <f t="shared" si="22"/>
        <v/>
      </c>
      <c r="HN44" s="77"/>
      <c r="HO44" s="78"/>
      <c r="HP44" s="78"/>
      <c r="HQ44" s="79"/>
      <c r="HR44" s="333" t="str">
        <f>IF(HM44="","",'Name List'!$I$4)</f>
        <v/>
      </c>
      <c r="HT44" s="68"/>
      <c r="HU44" s="69"/>
      <c r="HV44" s="70"/>
      <c r="HW44" s="77"/>
      <c r="HX44" s="78"/>
      <c r="HY44" s="78"/>
      <c r="HZ44" s="79"/>
      <c r="IA44" s="67"/>
      <c r="IC44" s="115"/>
      <c r="ID44" s="116"/>
      <c r="IE44" s="117"/>
      <c r="IF44" s="77"/>
      <c r="IG44" s="78"/>
      <c r="IH44" s="78"/>
      <c r="II44" s="79"/>
      <c r="IJ44" s="333" t="str">
        <f>IF(IE44="","",'Name List'!$I$4)</f>
        <v/>
      </c>
      <c r="IL44" s="98"/>
      <c r="IM44" s="99"/>
      <c r="IN44" s="100"/>
      <c r="IO44" s="77"/>
      <c r="IP44" s="78"/>
      <c r="IQ44" s="78"/>
      <c r="IR44" s="79"/>
      <c r="IS44" s="67"/>
      <c r="IU44" s="98"/>
      <c r="IV44" s="99"/>
      <c r="IW44" s="100"/>
      <c r="IX44" s="77"/>
      <c r="IY44" s="78"/>
      <c r="IZ44" s="78"/>
      <c r="JA44" s="79"/>
      <c r="JB44" s="67"/>
      <c r="JD44" s="98"/>
      <c r="JE44" s="99"/>
      <c r="JF44" s="100"/>
      <c r="JG44" s="77"/>
      <c r="JH44" s="78"/>
      <c r="JI44" s="78"/>
      <c r="JJ44" s="79"/>
      <c r="JK44" s="67"/>
      <c r="JM44" s="98"/>
      <c r="JN44" s="99"/>
      <c r="JO44" s="275"/>
      <c r="JP44" s="77"/>
      <c r="JQ44" s="78"/>
      <c r="JR44" s="78"/>
      <c r="JS44" s="79"/>
      <c r="JT44" s="67"/>
      <c r="JV44" s="98"/>
      <c r="JW44" s="99"/>
      <c r="JX44" s="100"/>
      <c r="JY44" s="77"/>
      <c r="JZ44" s="78"/>
      <c r="KA44" s="78"/>
      <c r="KB44" s="79"/>
      <c r="KC44" s="67"/>
      <c r="KE44" s="98"/>
      <c r="KF44" s="99"/>
      <c r="KG44" s="100"/>
      <c r="KH44" s="77"/>
      <c r="KI44" s="78"/>
      <c r="KJ44" s="78"/>
      <c r="KK44" s="79"/>
      <c r="KL44" s="67"/>
      <c r="KN44" s="68"/>
      <c r="KO44" s="69"/>
      <c r="KP44" s="70"/>
      <c r="KQ44" s="77"/>
      <c r="KR44" s="78"/>
      <c r="KS44" s="78"/>
      <c r="KT44" s="79"/>
      <c r="KU44" s="67"/>
      <c r="KW44" s="98"/>
      <c r="KX44" s="99"/>
      <c r="KY44" s="100"/>
      <c r="KZ44" s="77"/>
      <c r="LA44" s="78"/>
      <c r="LB44" s="78"/>
      <c r="LC44" s="79"/>
      <c r="LD44" s="67"/>
      <c r="LF44" s="71"/>
      <c r="LG44" s="72"/>
      <c r="LH44" s="73"/>
      <c r="LI44" s="77"/>
      <c r="LJ44" s="78"/>
      <c r="LK44" s="78"/>
      <c r="LL44" s="79"/>
      <c r="LM44" s="67"/>
      <c r="LO44" s="98"/>
      <c r="LP44" s="99"/>
      <c r="LQ44" s="329"/>
      <c r="LR44" s="77"/>
      <c r="LS44" s="78"/>
      <c r="LT44" s="78"/>
      <c r="LU44" s="79"/>
      <c r="LV44" s="67"/>
      <c r="LX44" s="98"/>
      <c r="LY44" s="99"/>
      <c r="LZ44" s="100"/>
      <c r="MA44" s="77"/>
      <c r="MB44" s="78"/>
      <c r="MC44" s="78"/>
      <c r="MD44" s="79"/>
      <c r="ME44" s="67"/>
      <c r="MG44" s="98"/>
      <c r="MH44" s="99"/>
      <c r="MI44" s="100"/>
      <c r="MJ44" s="77"/>
      <c r="MK44" s="78"/>
      <c r="ML44" s="78"/>
      <c r="MM44" s="79"/>
      <c r="MN44" s="67"/>
      <c r="MP44" s="98"/>
      <c r="MQ44" s="99"/>
      <c r="MR44" s="100"/>
      <c r="MS44" s="77"/>
      <c r="MT44" s="78"/>
      <c r="MU44" s="78"/>
      <c r="MV44" s="79"/>
      <c r="MW44" s="67"/>
      <c r="MY44" s="98"/>
      <c r="MZ44" s="99"/>
      <c r="NA44" s="100"/>
      <c r="NB44" s="77"/>
      <c r="NC44" s="78"/>
      <c r="ND44" s="78"/>
      <c r="NE44" s="79"/>
      <c r="NF44" s="67"/>
      <c r="NH44" s="98"/>
      <c r="NI44" s="99"/>
      <c r="NJ44" s="329"/>
      <c r="NK44" s="77"/>
      <c r="NL44" s="78"/>
      <c r="NM44" s="78"/>
      <c r="NN44" s="79"/>
      <c r="NO44" s="67"/>
      <c r="NQ44" s="98"/>
      <c r="NR44" s="99"/>
      <c r="NS44" s="100"/>
      <c r="NT44" s="77"/>
      <c r="NU44" s="78"/>
      <c r="NV44" s="78"/>
      <c r="NW44" s="79"/>
      <c r="NX44" s="67"/>
      <c r="NZ44" s="71"/>
      <c r="OA44" s="72"/>
      <c r="OB44" s="73"/>
      <c r="OC44" s="77"/>
      <c r="OD44" s="78"/>
      <c r="OE44" s="78"/>
      <c r="OF44" s="79"/>
      <c r="OG44" s="67"/>
      <c r="OI44" s="98"/>
      <c r="OJ44" s="99"/>
      <c r="OK44" s="329"/>
      <c r="OL44" s="77"/>
      <c r="OM44" s="78"/>
      <c r="ON44" s="78"/>
      <c r="OO44" s="79"/>
      <c r="OP44" s="67"/>
      <c r="OR44" s="71"/>
      <c r="OS44" s="72"/>
      <c r="OT44" s="73"/>
      <c r="OU44" s="77"/>
      <c r="OV44" s="78"/>
      <c r="OW44" s="78"/>
      <c r="OX44" s="79"/>
      <c r="OY44" s="67"/>
      <c r="PA44" s="98"/>
      <c r="PB44" s="99"/>
      <c r="PC44" s="100"/>
      <c r="PD44" s="77"/>
      <c r="PE44" s="78"/>
      <c r="PF44" s="78"/>
      <c r="PG44" s="79"/>
      <c r="PH44" s="67"/>
      <c r="PJ44" s="277"/>
      <c r="PK44" s="278"/>
      <c r="PL44" s="279"/>
      <c r="PM44" s="125"/>
      <c r="PN44" s="126"/>
      <c r="PO44" s="126"/>
      <c r="PP44" s="127"/>
      <c r="PQ44" s="128"/>
      <c r="PS44" s="403"/>
      <c r="PT44" s="404"/>
      <c r="PU44" s="405"/>
      <c r="PV44" s="330"/>
      <c r="PW44" s="331"/>
      <c r="PX44" s="331"/>
      <c r="PY44" s="332"/>
      <c r="PZ44" s="333"/>
      <c r="QB44" s="412"/>
      <c r="QC44" s="413"/>
      <c r="QD44" s="414"/>
      <c r="QE44" s="125"/>
      <c r="QF44" s="126"/>
      <c r="QG44" s="126"/>
      <c r="QH44" s="127"/>
      <c r="QI44" s="128"/>
      <c r="QK44" s="283"/>
      <c r="QL44" s="284"/>
      <c r="QM44" s="285"/>
      <c r="QN44" s="125"/>
      <c r="QO44" s="126"/>
      <c r="QP44" s="126"/>
      <c r="QQ44" s="127"/>
      <c r="QR44" s="128" t="str">
        <f>IF(QM44="","",'Name List'!$I$4)</f>
        <v/>
      </c>
      <c r="QS44" s="91"/>
      <c r="QT44" s="107">
        <f t="shared" si="50"/>
        <v>0</v>
      </c>
      <c r="QU44" s="130">
        <f t="shared" si="51"/>
        <v>11</v>
      </c>
      <c r="QV44" s="130">
        <f t="shared" si="52"/>
        <v>40</v>
      </c>
      <c r="QW44" s="108">
        <f t="shared" si="53"/>
        <v>4</v>
      </c>
      <c r="QY44" s="260">
        <f t="shared" si="54"/>
        <v>4</v>
      </c>
      <c r="RA44" s="141">
        <f t="shared" si="55"/>
        <v>17</v>
      </c>
      <c r="RB44" s="106">
        <f t="shared" si="56"/>
        <v>18</v>
      </c>
      <c r="RC44" s="106">
        <f t="shared" si="57"/>
        <v>35</v>
      </c>
      <c r="RD44" s="106">
        <f t="shared" si="58"/>
        <v>16</v>
      </c>
      <c r="RE44" s="106">
        <f t="shared" si="59"/>
        <v>15</v>
      </c>
      <c r="RF44" s="142">
        <f t="shared" si="60"/>
        <v>31</v>
      </c>
      <c r="RG44" s="106"/>
      <c r="RH44" s="139">
        <f t="shared" si="61"/>
        <v>28</v>
      </c>
      <c r="RI44" s="140">
        <f t="shared" si="62"/>
        <v>28</v>
      </c>
      <c r="RJ44" s="106"/>
      <c r="RK44" s="136">
        <f t="shared" si="63"/>
        <v>31.5</v>
      </c>
      <c r="RL44" s="106"/>
      <c r="RM44" s="137">
        <f t="shared" si="64"/>
        <v>0</v>
      </c>
      <c r="RN44" s="138">
        <f t="shared" si="65"/>
        <v>0</v>
      </c>
      <c r="RO44" s="106"/>
      <c r="RP44" s="259">
        <f t="shared" si="66"/>
        <v>0</v>
      </c>
    </row>
    <row r="45" spans="1:484" x14ac:dyDescent="0.2">
      <c r="A45" s="89" t="str">
        <f>'Name List'!B45</f>
        <v>Dave Randall</v>
      </c>
      <c r="C45" s="98"/>
      <c r="D45" s="99"/>
      <c r="E45" s="329" t="str">
        <f t="shared" si="0"/>
        <v/>
      </c>
      <c r="F45" s="77"/>
      <c r="G45" s="78"/>
      <c r="H45" s="78"/>
      <c r="I45" s="79"/>
      <c r="J45" s="333" t="str">
        <f>IF(E45="","",'Name List'!$I$4)</f>
        <v/>
      </c>
      <c r="L45" s="98"/>
      <c r="M45" s="99"/>
      <c r="N45" s="100"/>
      <c r="O45" s="77"/>
      <c r="P45" s="78"/>
      <c r="Q45" s="78"/>
      <c r="R45" s="79"/>
      <c r="S45" s="67"/>
      <c r="U45" s="71">
        <v>13</v>
      </c>
      <c r="V45" s="72">
        <v>12</v>
      </c>
      <c r="W45" s="396">
        <f t="shared" si="2"/>
        <v>25</v>
      </c>
      <c r="X45" s="77">
        <v>0</v>
      </c>
      <c r="Y45" s="78">
        <v>0</v>
      </c>
      <c r="Z45" s="78">
        <v>6</v>
      </c>
      <c r="AA45" s="79">
        <v>5</v>
      </c>
      <c r="AB45" s="333">
        <f>IF(W45="","",'Name List'!$I$4)</f>
        <v>5</v>
      </c>
      <c r="AD45" s="98">
        <v>18</v>
      </c>
      <c r="AE45" s="99">
        <v>18</v>
      </c>
      <c r="AF45" s="329">
        <f t="shared" si="3"/>
        <v>36</v>
      </c>
      <c r="AG45" s="77">
        <v>0</v>
      </c>
      <c r="AH45" s="78">
        <v>2</v>
      </c>
      <c r="AI45" s="78">
        <v>10</v>
      </c>
      <c r="AJ45" s="79">
        <v>2</v>
      </c>
      <c r="AK45" s="333">
        <f>IF(AF45="","",'Name List'!$I$4)</f>
        <v>5</v>
      </c>
      <c r="AM45" s="98">
        <v>18</v>
      </c>
      <c r="AN45" s="99">
        <v>18</v>
      </c>
      <c r="AO45" s="329">
        <f t="shared" si="4"/>
        <v>36</v>
      </c>
      <c r="AP45" s="77">
        <v>0</v>
      </c>
      <c r="AQ45" s="78">
        <v>4</v>
      </c>
      <c r="AR45" s="78">
        <v>6</v>
      </c>
      <c r="AS45" s="79">
        <v>2</v>
      </c>
      <c r="AT45" s="333">
        <f>IF(AO45="","",'Name List'!$I$4)</f>
        <v>5</v>
      </c>
      <c r="AV45" s="458">
        <v>15</v>
      </c>
      <c r="AW45" s="401">
        <v>14</v>
      </c>
      <c r="AX45" s="400">
        <f t="shared" si="5"/>
        <v>29</v>
      </c>
      <c r="AY45" s="77">
        <v>0</v>
      </c>
      <c r="AZ45" s="78">
        <v>1</v>
      </c>
      <c r="BA45" s="78">
        <v>7</v>
      </c>
      <c r="BB45" s="79">
        <v>2</v>
      </c>
      <c r="BC45" s="457">
        <f>IF(AX45="","",'Name List'!$I$4)</f>
        <v>5</v>
      </c>
      <c r="BE45" s="71">
        <v>18</v>
      </c>
      <c r="BF45" s="72">
        <v>17</v>
      </c>
      <c r="BG45" s="383">
        <f t="shared" si="6"/>
        <v>35</v>
      </c>
      <c r="BH45" s="77">
        <v>0</v>
      </c>
      <c r="BI45" s="78">
        <v>0</v>
      </c>
      <c r="BJ45" s="78">
        <v>9</v>
      </c>
      <c r="BK45" s="79">
        <v>0</v>
      </c>
      <c r="BL45" s="333">
        <f>IF(BG45="","",'Name List'!$I$4)</f>
        <v>5</v>
      </c>
      <c r="BN45" s="98"/>
      <c r="BO45" s="99"/>
      <c r="BP45" s="100"/>
      <c r="BQ45" s="77"/>
      <c r="BR45" s="78"/>
      <c r="BS45" s="78"/>
      <c r="BT45" s="79"/>
      <c r="BU45" s="67"/>
      <c r="BW45" s="98">
        <v>18</v>
      </c>
      <c r="BX45" s="99">
        <v>21</v>
      </c>
      <c r="BY45" s="329">
        <f t="shared" si="8"/>
        <v>39</v>
      </c>
      <c r="BZ45" s="77">
        <v>0</v>
      </c>
      <c r="CA45" s="78">
        <v>2</v>
      </c>
      <c r="CB45" s="78">
        <v>12</v>
      </c>
      <c r="CC45" s="79">
        <v>1</v>
      </c>
      <c r="CD45" s="333">
        <f>IF(BY45="","",'Name List'!$I$4)</f>
        <v>5</v>
      </c>
      <c r="CF45" s="68">
        <v>18</v>
      </c>
      <c r="CG45" s="69">
        <v>11</v>
      </c>
      <c r="CH45" s="282">
        <f t="shared" si="49"/>
        <v>29</v>
      </c>
      <c r="CI45" s="77">
        <v>0</v>
      </c>
      <c r="CJ45" s="78">
        <v>0</v>
      </c>
      <c r="CK45" s="78">
        <v>8</v>
      </c>
      <c r="CL45" s="79">
        <v>3</v>
      </c>
      <c r="CM45" s="333">
        <f>IF(CH45="","",'Name List'!$I$4)</f>
        <v>5</v>
      </c>
      <c r="CO45" s="71">
        <v>13</v>
      </c>
      <c r="CP45" s="72">
        <v>14</v>
      </c>
      <c r="CQ45" s="383">
        <f t="shared" si="9"/>
        <v>27</v>
      </c>
      <c r="CR45" s="77">
        <v>0</v>
      </c>
      <c r="CS45" s="78">
        <v>1</v>
      </c>
      <c r="CT45" s="78">
        <v>3</v>
      </c>
      <c r="CU45" s="79">
        <v>4</v>
      </c>
      <c r="CV45" s="333">
        <f>IF(CQ45="","",'Name List'!$I$4)</f>
        <v>5</v>
      </c>
      <c r="CX45" s="98">
        <v>17</v>
      </c>
      <c r="CY45" s="99">
        <v>14</v>
      </c>
      <c r="CZ45" s="329">
        <f t="shared" si="10"/>
        <v>31</v>
      </c>
      <c r="DA45" s="77">
        <v>0</v>
      </c>
      <c r="DB45" s="78">
        <v>0</v>
      </c>
      <c r="DC45" s="78">
        <v>9</v>
      </c>
      <c r="DD45" s="79">
        <v>2</v>
      </c>
      <c r="DE45" s="333">
        <f>IF(CZ45="","",'Name List'!$I$4)</f>
        <v>5</v>
      </c>
      <c r="DG45" s="98"/>
      <c r="DH45" s="99"/>
      <c r="DI45" s="329" t="str">
        <f t="shared" si="11"/>
        <v/>
      </c>
      <c r="DJ45" s="77"/>
      <c r="DK45" s="78"/>
      <c r="DL45" s="78"/>
      <c r="DM45" s="79"/>
      <c r="DN45" s="333" t="str">
        <f>IF(DI45="","",'Name List'!$I$4)</f>
        <v/>
      </c>
      <c r="DP45" s="98">
        <v>14</v>
      </c>
      <c r="DQ45" s="99">
        <v>18</v>
      </c>
      <c r="DR45" s="329">
        <f t="shared" si="12"/>
        <v>32</v>
      </c>
      <c r="DS45" s="77">
        <v>0</v>
      </c>
      <c r="DT45" s="78">
        <v>0</v>
      </c>
      <c r="DU45" s="78">
        <v>9</v>
      </c>
      <c r="DV45" s="79">
        <v>1</v>
      </c>
      <c r="DW45" s="333">
        <f>IF(DR45="","",'Name List'!$I$4)</f>
        <v>5</v>
      </c>
      <c r="DY45" s="98">
        <v>18</v>
      </c>
      <c r="DZ45" s="99">
        <v>15</v>
      </c>
      <c r="EA45" s="329">
        <f t="shared" si="13"/>
        <v>33</v>
      </c>
      <c r="EB45" s="77">
        <v>0</v>
      </c>
      <c r="EC45" s="78">
        <v>2</v>
      </c>
      <c r="ED45" s="78">
        <v>8</v>
      </c>
      <c r="EE45" s="79">
        <v>2</v>
      </c>
      <c r="EF45" s="333">
        <f>IF(EA45="","",'Name List'!$I$4)</f>
        <v>5</v>
      </c>
      <c r="EH45" s="98">
        <v>10</v>
      </c>
      <c r="EI45" s="99">
        <v>15</v>
      </c>
      <c r="EJ45" s="329">
        <f t="shared" si="14"/>
        <v>25</v>
      </c>
      <c r="EK45" s="77">
        <v>0</v>
      </c>
      <c r="EL45" s="78">
        <v>1</v>
      </c>
      <c r="EM45" s="78">
        <v>4</v>
      </c>
      <c r="EN45" s="79">
        <v>4</v>
      </c>
      <c r="EO45" s="333">
        <f>IF(EJ45="","",'Name List'!$I$4)</f>
        <v>5</v>
      </c>
      <c r="EQ45" s="115"/>
      <c r="ER45" s="116"/>
      <c r="ES45" s="117">
        <v>95</v>
      </c>
      <c r="ET45" s="77">
        <v>0</v>
      </c>
      <c r="EU45" s="78">
        <v>0</v>
      </c>
      <c r="EV45" s="78">
        <v>5</v>
      </c>
      <c r="EW45" s="79"/>
      <c r="EX45" s="333">
        <f>IF(ES45="","",'Name List'!$I$4)</f>
        <v>5</v>
      </c>
      <c r="EZ45" s="68"/>
      <c r="FA45" s="69"/>
      <c r="FB45" s="70"/>
      <c r="FC45" s="77"/>
      <c r="FD45" s="78"/>
      <c r="FE45" s="78"/>
      <c r="FF45" s="79"/>
      <c r="FG45" s="67"/>
      <c r="FI45" s="98">
        <v>15</v>
      </c>
      <c r="FJ45" s="99">
        <v>12</v>
      </c>
      <c r="FK45" s="329">
        <f t="shared" si="16"/>
        <v>27</v>
      </c>
      <c r="FL45" s="77">
        <v>0</v>
      </c>
      <c r="FM45" s="78">
        <v>1</v>
      </c>
      <c r="FN45" s="78">
        <v>4</v>
      </c>
      <c r="FO45" s="79">
        <v>1</v>
      </c>
      <c r="FP45" s="333">
        <f>IF(FK45="","",'Name List'!$I$4)</f>
        <v>5</v>
      </c>
      <c r="FR45" s="98">
        <v>15</v>
      </c>
      <c r="FS45" s="99">
        <v>14</v>
      </c>
      <c r="FT45" s="329">
        <f t="shared" si="17"/>
        <v>29</v>
      </c>
      <c r="FU45" s="77">
        <v>0</v>
      </c>
      <c r="FV45" s="78">
        <v>1</v>
      </c>
      <c r="FW45" s="78">
        <v>5</v>
      </c>
      <c r="FX45" s="79">
        <v>1</v>
      </c>
      <c r="FY45" s="333">
        <f>IF(FT45="","",'Name List'!$I$4)</f>
        <v>5</v>
      </c>
      <c r="GA45" s="98"/>
      <c r="GB45" s="99"/>
      <c r="GC45" s="329" t="str">
        <f t="shared" si="18"/>
        <v/>
      </c>
      <c r="GD45" s="77"/>
      <c r="GE45" s="78"/>
      <c r="GF45" s="78"/>
      <c r="GG45" s="79"/>
      <c r="GH45" s="333" t="str">
        <f>IF(GC45="","",'Name List'!$I$4)</f>
        <v/>
      </c>
      <c r="GJ45" s="98">
        <v>18</v>
      </c>
      <c r="GK45" s="99">
        <v>12</v>
      </c>
      <c r="GL45" s="329">
        <f t="shared" si="19"/>
        <v>30</v>
      </c>
      <c r="GM45" s="77">
        <v>0</v>
      </c>
      <c r="GN45" s="78">
        <v>1</v>
      </c>
      <c r="GO45" s="78">
        <v>8</v>
      </c>
      <c r="GP45" s="79">
        <v>3</v>
      </c>
      <c r="GQ45" s="333">
        <f>IF(GL45="","",'Name List'!$I$4)</f>
        <v>5</v>
      </c>
      <c r="GS45" s="68"/>
      <c r="GT45" s="69"/>
      <c r="GU45" s="70"/>
      <c r="GV45" s="77"/>
      <c r="GW45" s="78"/>
      <c r="GX45" s="78"/>
      <c r="GY45" s="79"/>
      <c r="GZ45" s="67"/>
      <c r="HB45" s="98">
        <v>16</v>
      </c>
      <c r="HC45" s="99">
        <v>17</v>
      </c>
      <c r="HD45" s="329">
        <f t="shared" si="21"/>
        <v>33</v>
      </c>
      <c r="HE45" s="77">
        <v>0</v>
      </c>
      <c r="HF45" s="78">
        <v>1</v>
      </c>
      <c r="HG45" s="78">
        <v>9</v>
      </c>
      <c r="HH45" s="79">
        <v>1</v>
      </c>
      <c r="HI45" s="333">
        <f>IF(HD45="","",'Name List'!$I$4)</f>
        <v>5</v>
      </c>
      <c r="HK45" s="71"/>
      <c r="HL45" s="72"/>
      <c r="HM45" s="383" t="str">
        <f t="shared" si="22"/>
        <v/>
      </c>
      <c r="HN45" s="77"/>
      <c r="HO45" s="78"/>
      <c r="HP45" s="78"/>
      <c r="HQ45" s="79"/>
      <c r="HR45" s="333" t="str">
        <f>IF(HM45="","",'Name List'!$I$4)</f>
        <v/>
      </c>
      <c r="HT45" s="68"/>
      <c r="HU45" s="69"/>
      <c r="HV45" s="70"/>
      <c r="HW45" s="77"/>
      <c r="HX45" s="78"/>
      <c r="HY45" s="78"/>
      <c r="HZ45" s="79"/>
      <c r="IA45" s="67"/>
      <c r="IC45" s="115"/>
      <c r="ID45" s="116"/>
      <c r="IE45" s="117"/>
      <c r="IF45" s="77"/>
      <c r="IG45" s="78"/>
      <c r="IH45" s="78"/>
      <c r="II45" s="79"/>
      <c r="IJ45" s="333" t="str">
        <f>IF(IE45="","",'Name List'!$I$4)</f>
        <v/>
      </c>
      <c r="IL45" s="98"/>
      <c r="IM45" s="99"/>
      <c r="IN45" s="100"/>
      <c r="IO45" s="77"/>
      <c r="IP45" s="78"/>
      <c r="IQ45" s="78"/>
      <c r="IR45" s="79"/>
      <c r="IS45" s="67"/>
      <c r="IU45" s="98"/>
      <c r="IV45" s="99"/>
      <c r="IW45" s="100"/>
      <c r="IX45" s="77"/>
      <c r="IY45" s="78"/>
      <c r="IZ45" s="78"/>
      <c r="JA45" s="79"/>
      <c r="JB45" s="67"/>
      <c r="JD45" s="98"/>
      <c r="JE45" s="99"/>
      <c r="JF45" s="100"/>
      <c r="JG45" s="77"/>
      <c r="JH45" s="78"/>
      <c r="JI45" s="78"/>
      <c r="JJ45" s="79"/>
      <c r="JK45" s="67"/>
      <c r="JM45" s="98"/>
      <c r="JN45" s="99"/>
      <c r="JO45" s="275"/>
      <c r="JP45" s="77"/>
      <c r="JQ45" s="78"/>
      <c r="JR45" s="78"/>
      <c r="JS45" s="79"/>
      <c r="JT45" s="67"/>
      <c r="JV45" s="98"/>
      <c r="JW45" s="99"/>
      <c r="JX45" s="100"/>
      <c r="JY45" s="77"/>
      <c r="JZ45" s="78"/>
      <c r="KA45" s="78"/>
      <c r="KB45" s="79"/>
      <c r="KC45" s="67"/>
      <c r="KE45" s="98"/>
      <c r="KF45" s="99"/>
      <c r="KG45" s="100"/>
      <c r="KH45" s="77"/>
      <c r="KI45" s="78"/>
      <c r="KJ45" s="78"/>
      <c r="KK45" s="79"/>
      <c r="KL45" s="67"/>
      <c r="KN45" s="68"/>
      <c r="KO45" s="69"/>
      <c r="KP45" s="70"/>
      <c r="KQ45" s="77"/>
      <c r="KR45" s="78"/>
      <c r="KS45" s="78"/>
      <c r="KT45" s="79"/>
      <c r="KU45" s="67"/>
      <c r="KW45" s="98"/>
      <c r="KX45" s="99"/>
      <c r="KY45" s="100"/>
      <c r="KZ45" s="77"/>
      <c r="LA45" s="78"/>
      <c r="LB45" s="78"/>
      <c r="LC45" s="79"/>
      <c r="LD45" s="67"/>
      <c r="LF45" s="71"/>
      <c r="LG45" s="72"/>
      <c r="LH45" s="73"/>
      <c r="LI45" s="77"/>
      <c r="LJ45" s="78"/>
      <c r="LK45" s="78"/>
      <c r="LL45" s="79"/>
      <c r="LM45" s="67"/>
      <c r="LO45" s="98"/>
      <c r="LP45" s="99"/>
      <c r="LQ45" s="329"/>
      <c r="LR45" s="77"/>
      <c r="LS45" s="78"/>
      <c r="LT45" s="78"/>
      <c r="LU45" s="79"/>
      <c r="LV45" s="67"/>
      <c r="LX45" s="98"/>
      <c r="LY45" s="99"/>
      <c r="LZ45" s="100"/>
      <c r="MA45" s="77"/>
      <c r="MB45" s="78"/>
      <c r="MC45" s="78"/>
      <c r="MD45" s="79"/>
      <c r="ME45" s="67"/>
      <c r="MG45" s="98"/>
      <c r="MH45" s="99"/>
      <c r="MI45" s="100"/>
      <c r="MJ45" s="77"/>
      <c r="MK45" s="78"/>
      <c r="ML45" s="78"/>
      <c r="MM45" s="79"/>
      <c r="MN45" s="67"/>
      <c r="MP45" s="98"/>
      <c r="MQ45" s="99"/>
      <c r="MR45" s="100"/>
      <c r="MS45" s="77"/>
      <c r="MT45" s="78"/>
      <c r="MU45" s="78"/>
      <c r="MV45" s="79"/>
      <c r="MW45" s="67"/>
      <c r="MY45" s="98"/>
      <c r="MZ45" s="99"/>
      <c r="NA45" s="100"/>
      <c r="NB45" s="77"/>
      <c r="NC45" s="78"/>
      <c r="ND45" s="78"/>
      <c r="NE45" s="79"/>
      <c r="NF45" s="67"/>
      <c r="NH45" s="98"/>
      <c r="NI45" s="99"/>
      <c r="NJ45" s="329"/>
      <c r="NK45" s="77"/>
      <c r="NL45" s="78"/>
      <c r="NM45" s="78"/>
      <c r="NN45" s="79"/>
      <c r="NO45" s="67"/>
      <c r="NQ45" s="98"/>
      <c r="NR45" s="99"/>
      <c r="NS45" s="100"/>
      <c r="NT45" s="77"/>
      <c r="NU45" s="78"/>
      <c r="NV45" s="78"/>
      <c r="NW45" s="79"/>
      <c r="NX45" s="67"/>
      <c r="NZ45" s="71"/>
      <c r="OA45" s="72"/>
      <c r="OB45" s="73"/>
      <c r="OC45" s="77"/>
      <c r="OD45" s="78"/>
      <c r="OE45" s="78"/>
      <c r="OF45" s="79"/>
      <c r="OG45" s="67"/>
      <c r="OI45" s="98"/>
      <c r="OJ45" s="99"/>
      <c r="OK45" s="329"/>
      <c r="OL45" s="77"/>
      <c r="OM45" s="78"/>
      <c r="ON45" s="78"/>
      <c r="OO45" s="79"/>
      <c r="OP45" s="67"/>
      <c r="OR45" s="71"/>
      <c r="OS45" s="72"/>
      <c r="OT45" s="73"/>
      <c r="OU45" s="77"/>
      <c r="OV45" s="78"/>
      <c r="OW45" s="78"/>
      <c r="OX45" s="79"/>
      <c r="OY45" s="67"/>
      <c r="PA45" s="98"/>
      <c r="PB45" s="99"/>
      <c r="PC45" s="100"/>
      <c r="PD45" s="77"/>
      <c r="PE45" s="78"/>
      <c r="PF45" s="78"/>
      <c r="PG45" s="79"/>
      <c r="PH45" s="67"/>
      <c r="PJ45" s="277"/>
      <c r="PK45" s="278"/>
      <c r="PL45" s="279"/>
      <c r="PM45" s="125"/>
      <c r="PN45" s="126"/>
      <c r="PO45" s="126"/>
      <c r="PP45" s="127"/>
      <c r="PQ45" s="128"/>
      <c r="PS45" s="403"/>
      <c r="PT45" s="404"/>
      <c r="PU45" s="405"/>
      <c r="PV45" s="330"/>
      <c r="PW45" s="331"/>
      <c r="PX45" s="331"/>
      <c r="PY45" s="332"/>
      <c r="PZ45" s="333"/>
      <c r="QB45" s="412"/>
      <c r="QC45" s="413"/>
      <c r="QD45" s="414"/>
      <c r="QE45" s="125"/>
      <c r="QF45" s="126"/>
      <c r="QG45" s="126"/>
      <c r="QH45" s="127"/>
      <c r="QI45" s="128"/>
      <c r="QK45" s="283"/>
      <c r="QL45" s="284"/>
      <c r="QM45" s="285"/>
      <c r="QN45" s="125"/>
      <c r="QO45" s="126"/>
      <c r="QP45" s="126"/>
      <c r="QQ45" s="127"/>
      <c r="QR45" s="128" t="str">
        <f>IF(QM45="","",'Name List'!$I$4)</f>
        <v/>
      </c>
      <c r="QS45" s="91"/>
      <c r="QT45" s="107">
        <f t="shared" si="50"/>
        <v>0</v>
      </c>
      <c r="QU45" s="130">
        <f t="shared" si="51"/>
        <v>17</v>
      </c>
      <c r="QV45" s="130">
        <f t="shared" si="52"/>
        <v>122</v>
      </c>
      <c r="QW45" s="108">
        <f t="shared" si="53"/>
        <v>34</v>
      </c>
      <c r="QY45" s="260">
        <f t="shared" si="54"/>
        <v>16</v>
      </c>
      <c r="RA45" s="141">
        <f t="shared" si="55"/>
        <v>18</v>
      </c>
      <c r="RB45" s="106">
        <f t="shared" si="56"/>
        <v>21</v>
      </c>
      <c r="RC45" s="106">
        <f t="shared" si="57"/>
        <v>39</v>
      </c>
      <c r="RD45" s="106">
        <f t="shared" si="58"/>
        <v>10</v>
      </c>
      <c r="RE45" s="106">
        <f t="shared" si="59"/>
        <v>11</v>
      </c>
      <c r="RF45" s="142">
        <f t="shared" si="60"/>
        <v>25</v>
      </c>
      <c r="RG45" s="106"/>
      <c r="RH45" s="139">
        <f t="shared" si="61"/>
        <v>35</v>
      </c>
      <c r="RI45" s="140">
        <f t="shared" si="62"/>
        <v>25</v>
      </c>
      <c r="RJ45" s="106"/>
      <c r="RK45" s="136">
        <f t="shared" si="63"/>
        <v>29.1875</v>
      </c>
      <c r="RL45" s="106"/>
      <c r="RM45" s="137">
        <f t="shared" si="64"/>
        <v>95</v>
      </c>
      <c r="RN45" s="138">
        <f t="shared" si="65"/>
        <v>95</v>
      </c>
      <c r="RO45" s="106"/>
      <c r="RP45" s="259">
        <f t="shared" si="66"/>
        <v>1</v>
      </c>
    </row>
    <row r="46" spans="1:484" x14ac:dyDescent="0.2">
      <c r="A46" s="89" t="str">
        <f>'Name List'!B46</f>
        <v>Arron Rutherford</v>
      </c>
      <c r="C46" s="98"/>
      <c r="D46" s="99"/>
      <c r="E46" s="329" t="str">
        <f t="shared" si="0"/>
        <v/>
      </c>
      <c r="F46" s="77"/>
      <c r="G46" s="78"/>
      <c r="H46" s="78"/>
      <c r="I46" s="79"/>
      <c r="J46" s="333" t="str">
        <f>IF(E46="","",'Name List'!$I$4)</f>
        <v/>
      </c>
      <c r="L46" s="98"/>
      <c r="M46" s="99"/>
      <c r="N46" s="100"/>
      <c r="O46" s="77"/>
      <c r="P46" s="78"/>
      <c r="Q46" s="78"/>
      <c r="R46" s="79"/>
      <c r="S46" s="67"/>
      <c r="U46" s="71"/>
      <c r="V46" s="72"/>
      <c r="W46" s="396" t="str">
        <f t="shared" si="2"/>
        <v/>
      </c>
      <c r="X46" s="77"/>
      <c r="Y46" s="78"/>
      <c r="Z46" s="78"/>
      <c r="AA46" s="79"/>
      <c r="AB46" s="333" t="str">
        <f>IF(W46="","",'Name List'!$I$4)</f>
        <v/>
      </c>
      <c r="AD46" s="98"/>
      <c r="AE46" s="99"/>
      <c r="AF46" s="329" t="str">
        <f t="shared" si="3"/>
        <v/>
      </c>
      <c r="AG46" s="77"/>
      <c r="AH46" s="78"/>
      <c r="AI46" s="78"/>
      <c r="AJ46" s="79"/>
      <c r="AK46" s="333" t="str">
        <f>IF(AF46="","",'Name List'!$I$4)</f>
        <v/>
      </c>
      <c r="AM46" s="98">
        <v>14</v>
      </c>
      <c r="AN46" s="99">
        <v>14</v>
      </c>
      <c r="AO46" s="329">
        <f t="shared" si="4"/>
        <v>28</v>
      </c>
      <c r="AP46" s="77">
        <v>0</v>
      </c>
      <c r="AQ46" s="78">
        <v>0</v>
      </c>
      <c r="AR46" s="78">
        <v>6</v>
      </c>
      <c r="AS46" s="79">
        <v>3</v>
      </c>
      <c r="AT46" s="333">
        <f>IF(AO46="","",'Name List'!$I$4)</f>
        <v>5</v>
      </c>
      <c r="AV46" s="458"/>
      <c r="AW46" s="401"/>
      <c r="AX46" s="400" t="str">
        <f t="shared" si="5"/>
        <v/>
      </c>
      <c r="AY46" s="77"/>
      <c r="AZ46" s="78"/>
      <c r="BA46" s="78"/>
      <c r="BB46" s="79"/>
      <c r="BC46" s="457" t="str">
        <f>IF(AX46="","",'Name List'!$I$4)</f>
        <v/>
      </c>
      <c r="BE46" s="71"/>
      <c r="BF46" s="72"/>
      <c r="BG46" s="383" t="str">
        <f t="shared" si="6"/>
        <v/>
      </c>
      <c r="BH46" s="77"/>
      <c r="BI46" s="78"/>
      <c r="BJ46" s="78"/>
      <c r="BK46" s="79"/>
      <c r="BL46" s="333" t="str">
        <f>IF(BG46="","",'Name List'!$I$4)</f>
        <v/>
      </c>
      <c r="BN46" s="98"/>
      <c r="BO46" s="99"/>
      <c r="BP46" s="100"/>
      <c r="BQ46" s="77"/>
      <c r="BR46" s="78"/>
      <c r="BS46" s="78"/>
      <c r="BT46" s="79"/>
      <c r="BU46" s="67"/>
      <c r="BW46" s="98"/>
      <c r="BX46" s="99"/>
      <c r="BY46" s="329" t="str">
        <f t="shared" si="8"/>
        <v/>
      </c>
      <c r="BZ46" s="77"/>
      <c r="CA46" s="78"/>
      <c r="CB46" s="78"/>
      <c r="CC46" s="79"/>
      <c r="CD46" s="333" t="str">
        <f>IF(BY46="","",'Name List'!$I$4)</f>
        <v/>
      </c>
      <c r="CF46" s="68"/>
      <c r="CG46" s="69"/>
      <c r="CH46" s="282" t="str">
        <f t="shared" si="49"/>
        <v/>
      </c>
      <c r="CI46" s="77"/>
      <c r="CJ46" s="78"/>
      <c r="CK46" s="78"/>
      <c r="CL46" s="79"/>
      <c r="CM46" s="333" t="str">
        <f>IF(CH46="","",'Name List'!$I$4)</f>
        <v/>
      </c>
      <c r="CO46" s="71"/>
      <c r="CP46" s="72"/>
      <c r="CQ46" s="383" t="str">
        <f t="shared" si="9"/>
        <v/>
      </c>
      <c r="CR46" s="77"/>
      <c r="CS46" s="78"/>
      <c r="CT46" s="78"/>
      <c r="CU46" s="79"/>
      <c r="CV46" s="333" t="str">
        <f>IF(CQ46="","",'Name List'!$I$4)</f>
        <v/>
      </c>
      <c r="CX46" s="98"/>
      <c r="CY46" s="99"/>
      <c r="CZ46" s="329" t="str">
        <f t="shared" si="10"/>
        <v/>
      </c>
      <c r="DA46" s="77"/>
      <c r="DB46" s="78"/>
      <c r="DC46" s="78"/>
      <c r="DD46" s="79"/>
      <c r="DE46" s="333" t="str">
        <f>IF(CZ46="","",'Name List'!$I$4)</f>
        <v/>
      </c>
      <c r="DG46" s="98">
        <v>12</v>
      </c>
      <c r="DH46" s="99">
        <v>14</v>
      </c>
      <c r="DI46" s="329">
        <f t="shared" si="11"/>
        <v>26</v>
      </c>
      <c r="DJ46" s="77">
        <v>0</v>
      </c>
      <c r="DK46" s="78">
        <v>0</v>
      </c>
      <c r="DL46" s="78">
        <v>3</v>
      </c>
      <c r="DM46" s="79">
        <v>2</v>
      </c>
      <c r="DN46" s="333">
        <f>IF(DI46="","",'Name List'!$I$4)</f>
        <v>5</v>
      </c>
      <c r="DP46" s="98"/>
      <c r="DQ46" s="99"/>
      <c r="DR46" s="329" t="str">
        <f t="shared" si="12"/>
        <v/>
      </c>
      <c r="DS46" s="77"/>
      <c r="DT46" s="78"/>
      <c r="DU46" s="78"/>
      <c r="DV46" s="79"/>
      <c r="DW46" s="333" t="str">
        <f>IF(DR46="","",'Name List'!$I$4)</f>
        <v/>
      </c>
      <c r="DY46" s="98"/>
      <c r="DZ46" s="99"/>
      <c r="EA46" s="329" t="str">
        <f t="shared" si="13"/>
        <v/>
      </c>
      <c r="EB46" s="77"/>
      <c r="EC46" s="78"/>
      <c r="ED46" s="78"/>
      <c r="EE46" s="79"/>
      <c r="EF46" s="333" t="str">
        <f>IF(EA46="","",'Name List'!$I$4)</f>
        <v/>
      </c>
      <c r="EH46" s="98"/>
      <c r="EI46" s="99"/>
      <c r="EJ46" s="329" t="str">
        <f t="shared" si="14"/>
        <v/>
      </c>
      <c r="EK46" s="77"/>
      <c r="EL46" s="78"/>
      <c r="EM46" s="78"/>
      <c r="EN46" s="79"/>
      <c r="EO46" s="333" t="str">
        <f>IF(EJ46="","",'Name List'!$I$4)</f>
        <v/>
      </c>
      <c r="EQ46" s="115"/>
      <c r="ER46" s="116"/>
      <c r="ES46" s="117"/>
      <c r="ET46" s="77"/>
      <c r="EU46" s="78"/>
      <c r="EV46" s="78"/>
      <c r="EW46" s="79"/>
      <c r="EX46" s="333" t="str">
        <f>IF(ES46="","",'Name List'!$I$4)</f>
        <v/>
      </c>
      <c r="EZ46" s="68"/>
      <c r="FA46" s="69"/>
      <c r="FB46" s="70"/>
      <c r="FC46" s="77"/>
      <c r="FD46" s="78"/>
      <c r="FE46" s="78"/>
      <c r="FF46" s="79"/>
      <c r="FG46" s="67"/>
      <c r="FI46" s="98"/>
      <c r="FJ46" s="99"/>
      <c r="FK46" s="329" t="str">
        <f t="shared" si="16"/>
        <v/>
      </c>
      <c r="FL46" s="77"/>
      <c r="FM46" s="78"/>
      <c r="FN46" s="78"/>
      <c r="FO46" s="79"/>
      <c r="FP46" s="333" t="str">
        <f>IF(FK46="","",'Name List'!$I$4)</f>
        <v/>
      </c>
      <c r="FR46" s="98"/>
      <c r="FS46" s="99"/>
      <c r="FT46" s="329" t="str">
        <f t="shared" si="17"/>
        <v/>
      </c>
      <c r="FU46" s="77"/>
      <c r="FV46" s="78"/>
      <c r="FW46" s="78"/>
      <c r="FX46" s="79"/>
      <c r="FY46" s="333" t="str">
        <f>IF(FT46="","",'Name List'!$I$4)</f>
        <v/>
      </c>
      <c r="GA46" s="98"/>
      <c r="GB46" s="99"/>
      <c r="GC46" s="329" t="str">
        <f t="shared" si="18"/>
        <v/>
      </c>
      <c r="GD46" s="77"/>
      <c r="GE46" s="78"/>
      <c r="GF46" s="78"/>
      <c r="GG46" s="79"/>
      <c r="GH46" s="333" t="str">
        <f>IF(GC46="","",'Name List'!$I$4)</f>
        <v/>
      </c>
      <c r="GJ46" s="98"/>
      <c r="GK46" s="99"/>
      <c r="GL46" s="329" t="str">
        <f t="shared" si="19"/>
        <v/>
      </c>
      <c r="GM46" s="77"/>
      <c r="GN46" s="78"/>
      <c r="GO46" s="78"/>
      <c r="GP46" s="79"/>
      <c r="GQ46" s="333" t="str">
        <f>IF(GL46="","",'Name List'!$I$4)</f>
        <v/>
      </c>
      <c r="GS46" s="68"/>
      <c r="GT46" s="69"/>
      <c r="GU46" s="70"/>
      <c r="GV46" s="77"/>
      <c r="GW46" s="78"/>
      <c r="GX46" s="78"/>
      <c r="GY46" s="79"/>
      <c r="GZ46" s="67"/>
      <c r="HB46" s="98"/>
      <c r="HC46" s="99"/>
      <c r="HD46" s="329" t="str">
        <f t="shared" si="21"/>
        <v/>
      </c>
      <c r="HE46" s="77"/>
      <c r="HF46" s="78"/>
      <c r="HG46" s="78"/>
      <c r="HH46" s="79"/>
      <c r="HI46" s="333" t="str">
        <f>IF(HD46="","",'Name List'!$I$4)</f>
        <v/>
      </c>
      <c r="HK46" s="71"/>
      <c r="HL46" s="72"/>
      <c r="HM46" s="383" t="str">
        <f t="shared" si="22"/>
        <v/>
      </c>
      <c r="HN46" s="77"/>
      <c r="HO46" s="78"/>
      <c r="HP46" s="78"/>
      <c r="HQ46" s="79"/>
      <c r="HR46" s="333" t="str">
        <f>IF(HM46="","",'Name List'!$I$4)</f>
        <v/>
      </c>
      <c r="HT46" s="68"/>
      <c r="HU46" s="69"/>
      <c r="HV46" s="70"/>
      <c r="HW46" s="77"/>
      <c r="HX46" s="78"/>
      <c r="HY46" s="78"/>
      <c r="HZ46" s="79"/>
      <c r="IA46" s="67"/>
      <c r="IC46" s="115"/>
      <c r="ID46" s="116"/>
      <c r="IE46" s="117"/>
      <c r="IF46" s="77"/>
      <c r="IG46" s="78"/>
      <c r="IH46" s="78"/>
      <c r="II46" s="79"/>
      <c r="IJ46" s="333" t="str">
        <f>IF(IE46="","",'Name List'!$I$4)</f>
        <v/>
      </c>
      <c r="IL46" s="98"/>
      <c r="IM46" s="99"/>
      <c r="IN46" s="100"/>
      <c r="IO46" s="77"/>
      <c r="IP46" s="78"/>
      <c r="IQ46" s="78"/>
      <c r="IR46" s="79"/>
      <c r="IS46" s="67"/>
      <c r="IU46" s="98"/>
      <c r="IV46" s="99"/>
      <c r="IW46" s="100"/>
      <c r="IX46" s="77"/>
      <c r="IY46" s="78"/>
      <c r="IZ46" s="78"/>
      <c r="JA46" s="79"/>
      <c r="JB46" s="67"/>
      <c r="JD46" s="98"/>
      <c r="JE46" s="99"/>
      <c r="JF46" s="100"/>
      <c r="JG46" s="77"/>
      <c r="JH46" s="78"/>
      <c r="JI46" s="78"/>
      <c r="JJ46" s="79"/>
      <c r="JK46" s="67"/>
      <c r="JM46" s="98"/>
      <c r="JN46" s="99"/>
      <c r="JO46" s="275"/>
      <c r="JP46" s="77"/>
      <c r="JQ46" s="78"/>
      <c r="JR46" s="78"/>
      <c r="JS46" s="79"/>
      <c r="JT46" s="67"/>
      <c r="JV46" s="98"/>
      <c r="JW46" s="99"/>
      <c r="JX46" s="100"/>
      <c r="JY46" s="77"/>
      <c r="JZ46" s="78"/>
      <c r="KA46" s="78"/>
      <c r="KB46" s="79"/>
      <c r="KC46" s="67"/>
      <c r="KE46" s="98"/>
      <c r="KF46" s="99"/>
      <c r="KG46" s="100"/>
      <c r="KH46" s="77"/>
      <c r="KI46" s="78"/>
      <c r="KJ46" s="78"/>
      <c r="KK46" s="79"/>
      <c r="KL46" s="67"/>
      <c r="KN46" s="68"/>
      <c r="KO46" s="69"/>
      <c r="KP46" s="70"/>
      <c r="KQ46" s="77"/>
      <c r="KR46" s="78"/>
      <c r="KS46" s="78"/>
      <c r="KT46" s="79"/>
      <c r="KU46" s="67"/>
      <c r="KW46" s="98"/>
      <c r="KX46" s="99"/>
      <c r="KY46" s="100"/>
      <c r="KZ46" s="77"/>
      <c r="LA46" s="78"/>
      <c r="LB46" s="78"/>
      <c r="LC46" s="79"/>
      <c r="LD46" s="67"/>
      <c r="LF46" s="71"/>
      <c r="LG46" s="72"/>
      <c r="LH46" s="73"/>
      <c r="LI46" s="77"/>
      <c r="LJ46" s="78"/>
      <c r="LK46" s="78"/>
      <c r="LL46" s="79"/>
      <c r="LM46" s="67"/>
      <c r="LO46" s="98"/>
      <c r="LP46" s="99"/>
      <c r="LQ46" s="329"/>
      <c r="LR46" s="77"/>
      <c r="LS46" s="78"/>
      <c r="LT46" s="78"/>
      <c r="LU46" s="79"/>
      <c r="LV46" s="67"/>
      <c r="LX46" s="98"/>
      <c r="LY46" s="99"/>
      <c r="LZ46" s="100"/>
      <c r="MA46" s="77"/>
      <c r="MB46" s="78"/>
      <c r="MC46" s="78"/>
      <c r="MD46" s="79"/>
      <c r="ME46" s="67"/>
      <c r="MG46" s="98"/>
      <c r="MH46" s="99"/>
      <c r="MI46" s="100"/>
      <c r="MJ46" s="77"/>
      <c r="MK46" s="78"/>
      <c r="ML46" s="78"/>
      <c r="MM46" s="79"/>
      <c r="MN46" s="67"/>
      <c r="MP46" s="98"/>
      <c r="MQ46" s="99"/>
      <c r="MR46" s="100"/>
      <c r="MS46" s="77"/>
      <c r="MT46" s="78"/>
      <c r="MU46" s="78"/>
      <c r="MV46" s="79"/>
      <c r="MW46" s="67"/>
      <c r="MY46" s="98"/>
      <c r="MZ46" s="99"/>
      <c r="NA46" s="100"/>
      <c r="NB46" s="77"/>
      <c r="NC46" s="78"/>
      <c r="ND46" s="78"/>
      <c r="NE46" s="79"/>
      <c r="NF46" s="67"/>
      <c r="NH46" s="98"/>
      <c r="NI46" s="99"/>
      <c r="NJ46" s="329"/>
      <c r="NK46" s="77"/>
      <c r="NL46" s="78"/>
      <c r="NM46" s="78"/>
      <c r="NN46" s="79"/>
      <c r="NO46" s="67"/>
      <c r="NQ46" s="98"/>
      <c r="NR46" s="99"/>
      <c r="NS46" s="100"/>
      <c r="NT46" s="77"/>
      <c r="NU46" s="78"/>
      <c r="NV46" s="78"/>
      <c r="NW46" s="79"/>
      <c r="NX46" s="67"/>
      <c r="NZ46" s="71"/>
      <c r="OA46" s="72"/>
      <c r="OB46" s="73"/>
      <c r="OC46" s="77"/>
      <c r="OD46" s="78"/>
      <c r="OE46" s="78"/>
      <c r="OF46" s="79"/>
      <c r="OG46" s="67"/>
      <c r="OI46" s="98"/>
      <c r="OJ46" s="99"/>
      <c r="OK46" s="329"/>
      <c r="OL46" s="77"/>
      <c r="OM46" s="78"/>
      <c r="ON46" s="78"/>
      <c r="OO46" s="79"/>
      <c r="OP46" s="67"/>
      <c r="OR46" s="71"/>
      <c r="OS46" s="72"/>
      <c r="OT46" s="73"/>
      <c r="OU46" s="77"/>
      <c r="OV46" s="78"/>
      <c r="OW46" s="78"/>
      <c r="OX46" s="79"/>
      <c r="OY46" s="67"/>
      <c r="PA46" s="98"/>
      <c r="PB46" s="99"/>
      <c r="PC46" s="100"/>
      <c r="PD46" s="77"/>
      <c r="PE46" s="78"/>
      <c r="PF46" s="78"/>
      <c r="PG46" s="79"/>
      <c r="PH46" s="67"/>
      <c r="PJ46" s="277"/>
      <c r="PK46" s="278"/>
      <c r="PL46" s="279"/>
      <c r="PM46" s="125"/>
      <c r="PN46" s="126"/>
      <c r="PO46" s="126"/>
      <c r="PP46" s="127"/>
      <c r="PQ46" s="128"/>
      <c r="PS46" s="403"/>
      <c r="PT46" s="404"/>
      <c r="PU46" s="405"/>
      <c r="PV46" s="330"/>
      <c r="PW46" s="331"/>
      <c r="PX46" s="331"/>
      <c r="PY46" s="332"/>
      <c r="PZ46" s="333"/>
      <c r="QB46" s="412"/>
      <c r="QC46" s="413"/>
      <c r="QD46" s="414"/>
      <c r="QE46" s="125"/>
      <c r="QF46" s="126"/>
      <c r="QG46" s="126"/>
      <c r="QH46" s="127"/>
      <c r="QI46" s="128"/>
      <c r="QK46" s="283"/>
      <c r="QL46" s="284"/>
      <c r="QM46" s="285"/>
      <c r="QN46" s="125"/>
      <c r="QO46" s="126"/>
      <c r="QP46" s="126"/>
      <c r="QQ46" s="127"/>
      <c r="QR46" s="128" t="str">
        <f>IF(QM46="","",'Name List'!$I$4)</f>
        <v/>
      </c>
      <c r="QS46" s="91"/>
      <c r="QT46" s="107">
        <f t="shared" si="50"/>
        <v>0</v>
      </c>
      <c r="QU46" s="130">
        <f t="shared" si="51"/>
        <v>0</v>
      </c>
      <c r="QV46" s="130">
        <f t="shared" si="52"/>
        <v>9</v>
      </c>
      <c r="QW46" s="108">
        <f t="shared" si="53"/>
        <v>5</v>
      </c>
      <c r="QY46" s="260">
        <f t="shared" si="54"/>
        <v>2</v>
      </c>
      <c r="RA46" s="141">
        <f t="shared" si="55"/>
        <v>14</v>
      </c>
      <c r="RB46" s="106">
        <f t="shared" si="56"/>
        <v>14</v>
      </c>
      <c r="RC46" s="106">
        <f t="shared" si="57"/>
        <v>28</v>
      </c>
      <c r="RD46" s="106">
        <f t="shared" si="58"/>
        <v>12</v>
      </c>
      <c r="RE46" s="106">
        <f t="shared" si="59"/>
        <v>14</v>
      </c>
      <c r="RF46" s="142">
        <f t="shared" si="60"/>
        <v>26</v>
      </c>
      <c r="RG46" s="106"/>
      <c r="RH46" s="139">
        <f t="shared" si="61"/>
        <v>0</v>
      </c>
      <c r="RI46" s="140">
        <f t="shared" si="62"/>
        <v>0</v>
      </c>
      <c r="RJ46" s="106"/>
      <c r="RK46" s="136">
        <f t="shared" si="63"/>
        <v>27</v>
      </c>
      <c r="RL46" s="106"/>
      <c r="RM46" s="137">
        <f t="shared" si="64"/>
        <v>0</v>
      </c>
      <c r="RN46" s="138">
        <f t="shared" si="65"/>
        <v>0</v>
      </c>
      <c r="RO46" s="106"/>
      <c r="RP46" s="259">
        <f t="shared" si="66"/>
        <v>0</v>
      </c>
    </row>
    <row r="47" spans="1:484" x14ac:dyDescent="0.2">
      <c r="A47" s="89" t="str">
        <f>'Name List'!B47</f>
        <v>Terry Shoker</v>
      </c>
      <c r="C47" s="98"/>
      <c r="D47" s="99"/>
      <c r="E47" s="329" t="str">
        <f t="shared" si="0"/>
        <v/>
      </c>
      <c r="F47" s="77"/>
      <c r="G47" s="78"/>
      <c r="H47" s="78"/>
      <c r="I47" s="79"/>
      <c r="J47" s="333" t="str">
        <f>IF(E47="","",'Name List'!$I$4)</f>
        <v/>
      </c>
      <c r="L47" s="98"/>
      <c r="M47" s="99"/>
      <c r="N47" s="100"/>
      <c r="O47" s="77"/>
      <c r="P47" s="78"/>
      <c r="Q47" s="78"/>
      <c r="R47" s="79"/>
      <c r="S47" s="67"/>
      <c r="U47" s="71"/>
      <c r="V47" s="72"/>
      <c r="W47" s="396" t="str">
        <f t="shared" si="2"/>
        <v/>
      </c>
      <c r="X47" s="77"/>
      <c r="Y47" s="78"/>
      <c r="Z47" s="78"/>
      <c r="AA47" s="79"/>
      <c r="AB47" s="333" t="str">
        <f>IF(W47="","",'Name List'!$I$4)</f>
        <v/>
      </c>
      <c r="AD47" s="98"/>
      <c r="AE47" s="99"/>
      <c r="AF47" s="329" t="str">
        <f t="shared" si="3"/>
        <v/>
      </c>
      <c r="AG47" s="77"/>
      <c r="AH47" s="78"/>
      <c r="AI47" s="78"/>
      <c r="AJ47" s="79"/>
      <c r="AK47" s="333" t="str">
        <f>IF(AF47="","",'Name List'!$I$4)</f>
        <v/>
      </c>
      <c r="AM47" s="98"/>
      <c r="AN47" s="99"/>
      <c r="AO47" s="329" t="str">
        <f t="shared" si="4"/>
        <v/>
      </c>
      <c r="AP47" s="77"/>
      <c r="AQ47" s="78"/>
      <c r="AR47" s="78"/>
      <c r="AS47" s="79"/>
      <c r="AT47" s="333" t="str">
        <f>IF(AO47="","",'Name List'!$I$4)</f>
        <v/>
      </c>
      <c r="AV47" s="458"/>
      <c r="AW47" s="401"/>
      <c r="AX47" s="400" t="str">
        <f t="shared" si="5"/>
        <v/>
      </c>
      <c r="AY47" s="77"/>
      <c r="AZ47" s="78"/>
      <c r="BA47" s="78"/>
      <c r="BB47" s="79"/>
      <c r="BC47" s="457" t="str">
        <f>IF(AX47="","",'Name List'!$I$4)</f>
        <v/>
      </c>
      <c r="BE47" s="71"/>
      <c r="BF47" s="72"/>
      <c r="BG47" s="383" t="str">
        <f t="shared" si="6"/>
        <v/>
      </c>
      <c r="BH47" s="77"/>
      <c r="BI47" s="78"/>
      <c r="BJ47" s="78"/>
      <c r="BK47" s="79"/>
      <c r="BL47" s="333" t="str">
        <f>IF(BG47="","",'Name List'!$I$4)</f>
        <v/>
      </c>
      <c r="BN47" s="98"/>
      <c r="BO47" s="99"/>
      <c r="BP47" s="100"/>
      <c r="BQ47" s="77"/>
      <c r="BR47" s="78"/>
      <c r="BS47" s="78"/>
      <c r="BT47" s="79"/>
      <c r="BU47" s="67"/>
      <c r="BW47" s="98"/>
      <c r="BX47" s="99"/>
      <c r="BY47" s="329" t="str">
        <f t="shared" si="8"/>
        <v/>
      </c>
      <c r="BZ47" s="77"/>
      <c r="CA47" s="78"/>
      <c r="CB47" s="78"/>
      <c r="CC47" s="79"/>
      <c r="CD47" s="333" t="str">
        <f>IF(BY47="","",'Name List'!$I$4)</f>
        <v/>
      </c>
      <c r="CF47" s="68"/>
      <c r="CG47" s="69"/>
      <c r="CH47" s="282" t="str">
        <f t="shared" si="49"/>
        <v/>
      </c>
      <c r="CI47" s="77"/>
      <c r="CJ47" s="78"/>
      <c r="CK47" s="78"/>
      <c r="CL47" s="79"/>
      <c r="CM47" s="333" t="str">
        <f>IF(CH47="","",'Name List'!$I$4)</f>
        <v/>
      </c>
      <c r="CO47" s="71"/>
      <c r="CP47" s="72"/>
      <c r="CQ47" s="383" t="str">
        <f t="shared" si="9"/>
        <v/>
      </c>
      <c r="CR47" s="77"/>
      <c r="CS47" s="78"/>
      <c r="CT47" s="78"/>
      <c r="CU47" s="79"/>
      <c r="CV47" s="333" t="str">
        <f>IF(CQ47="","",'Name List'!$I$4)</f>
        <v/>
      </c>
      <c r="CX47" s="98"/>
      <c r="CY47" s="99"/>
      <c r="CZ47" s="329" t="str">
        <f t="shared" si="10"/>
        <v/>
      </c>
      <c r="DA47" s="77"/>
      <c r="DB47" s="78"/>
      <c r="DC47" s="78"/>
      <c r="DD47" s="79"/>
      <c r="DE47" s="333" t="str">
        <f>IF(CZ47="","",'Name List'!$I$4)</f>
        <v/>
      </c>
      <c r="DG47" s="98"/>
      <c r="DH47" s="99"/>
      <c r="DI47" s="329" t="str">
        <f t="shared" si="11"/>
        <v/>
      </c>
      <c r="DJ47" s="77"/>
      <c r="DK47" s="78"/>
      <c r="DL47" s="78"/>
      <c r="DM47" s="79"/>
      <c r="DN47" s="333" t="str">
        <f>IF(DI47="","",'Name List'!$I$4)</f>
        <v/>
      </c>
      <c r="DP47" s="98"/>
      <c r="DQ47" s="99"/>
      <c r="DR47" s="329" t="str">
        <f t="shared" si="12"/>
        <v/>
      </c>
      <c r="DS47" s="77"/>
      <c r="DT47" s="78"/>
      <c r="DU47" s="78"/>
      <c r="DV47" s="79"/>
      <c r="DW47" s="333" t="str">
        <f>IF(DR47="","",'Name List'!$I$4)</f>
        <v/>
      </c>
      <c r="DY47" s="98"/>
      <c r="DZ47" s="99"/>
      <c r="EA47" s="329" t="str">
        <f t="shared" si="13"/>
        <v/>
      </c>
      <c r="EB47" s="77"/>
      <c r="EC47" s="78"/>
      <c r="ED47" s="78"/>
      <c r="EE47" s="79"/>
      <c r="EF47" s="333" t="str">
        <f>IF(EA47="","",'Name List'!$I$4)</f>
        <v/>
      </c>
      <c r="EH47" s="98"/>
      <c r="EI47" s="99"/>
      <c r="EJ47" s="329" t="str">
        <f t="shared" si="14"/>
        <v/>
      </c>
      <c r="EK47" s="77"/>
      <c r="EL47" s="78"/>
      <c r="EM47" s="78"/>
      <c r="EN47" s="79"/>
      <c r="EO47" s="333" t="str">
        <f>IF(EJ47="","",'Name List'!$I$4)</f>
        <v/>
      </c>
      <c r="EQ47" s="115"/>
      <c r="ER47" s="116"/>
      <c r="ES47" s="117"/>
      <c r="ET47" s="77"/>
      <c r="EU47" s="78"/>
      <c r="EV47" s="78"/>
      <c r="EW47" s="79"/>
      <c r="EX47" s="333" t="str">
        <f>IF(ES47="","",'Name List'!$I$4)</f>
        <v/>
      </c>
      <c r="EZ47" s="68"/>
      <c r="FA47" s="69"/>
      <c r="FB47" s="70"/>
      <c r="FC47" s="77"/>
      <c r="FD47" s="78"/>
      <c r="FE47" s="78"/>
      <c r="FF47" s="79"/>
      <c r="FG47" s="67"/>
      <c r="FI47" s="98"/>
      <c r="FJ47" s="99"/>
      <c r="FK47" s="329" t="str">
        <f t="shared" si="16"/>
        <v/>
      </c>
      <c r="FL47" s="77"/>
      <c r="FM47" s="78"/>
      <c r="FN47" s="78"/>
      <c r="FO47" s="79"/>
      <c r="FP47" s="333" t="str">
        <f>IF(FK47="","",'Name List'!$I$4)</f>
        <v/>
      </c>
      <c r="FR47" s="98"/>
      <c r="FS47" s="99"/>
      <c r="FT47" s="329" t="str">
        <f t="shared" si="17"/>
        <v/>
      </c>
      <c r="FU47" s="77"/>
      <c r="FV47" s="78"/>
      <c r="FW47" s="78"/>
      <c r="FX47" s="79"/>
      <c r="FY47" s="333" t="str">
        <f>IF(FT47="","",'Name List'!$I$4)</f>
        <v/>
      </c>
      <c r="GA47" s="98"/>
      <c r="GB47" s="99"/>
      <c r="GC47" s="329" t="str">
        <f t="shared" si="18"/>
        <v/>
      </c>
      <c r="GD47" s="77"/>
      <c r="GE47" s="78"/>
      <c r="GF47" s="78"/>
      <c r="GG47" s="79"/>
      <c r="GH47" s="333" t="str">
        <f>IF(GC47="","",'Name List'!$I$4)</f>
        <v/>
      </c>
      <c r="GJ47" s="98"/>
      <c r="GK47" s="99"/>
      <c r="GL47" s="329" t="str">
        <f t="shared" si="19"/>
        <v/>
      </c>
      <c r="GM47" s="77"/>
      <c r="GN47" s="78"/>
      <c r="GO47" s="78"/>
      <c r="GP47" s="79"/>
      <c r="GQ47" s="333" t="str">
        <f>IF(GL47="","",'Name List'!$I$4)</f>
        <v/>
      </c>
      <c r="GS47" s="68"/>
      <c r="GT47" s="69"/>
      <c r="GU47" s="70"/>
      <c r="GV47" s="77"/>
      <c r="GW47" s="78"/>
      <c r="GX47" s="78"/>
      <c r="GY47" s="79"/>
      <c r="GZ47" s="67"/>
      <c r="HB47" s="98"/>
      <c r="HC47" s="99"/>
      <c r="HD47" s="329" t="str">
        <f t="shared" si="21"/>
        <v/>
      </c>
      <c r="HE47" s="77"/>
      <c r="HF47" s="78"/>
      <c r="HG47" s="78"/>
      <c r="HH47" s="79"/>
      <c r="HI47" s="333" t="str">
        <f>IF(HD47="","",'Name List'!$I$4)</f>
        <v/>
      </c>
      <c r="HK47" s="71"/>
      <c r="HL47" s="72"/>
      <c r="HM47" s="383" t="str">
        <f t="shared" si="22"/>
        <v/>
      </c>
      <c r="HN47" s="77"/>
      <c r="HO47" s="78"/>
      <c r="HP47" s="78"/>
      <c r="HQ47" s="79"/>
      <c r="HR47" s="333" t="str">
        <f>IF(HM47="","",'Name List'!$I$4)</f>
        <v/>
      </c>
      <c r="HT47" s="68"/>
      <c r="HU47" s="69"/>
      <c r="HV47" s="70"/>
      <c r="HW47" s="77"/>
      <c r="HX47" s="78"/>
      <c r="HY47" s="78"/>
      <c r="HZ47" s="79"/>
      <c r="IA47" s="67"/>
      <c r="IC47" s="115"/>
      <c r="ID47" s="116"/>
      <c r="IE47" s="117"/>
      <c r="IF47" s="77"/>
      <c r="IG47" s="78"/>
      <c r="IH47" s="78"/>
      <c r="II47" s="79"/>
      <c r="IJ47" s="333" t="str">
        <f>IF(IE47="","",'Name List'!$I$4)</f>
        <v/>
      </c>
      <c r="IL47" s="98"/>
      <c r="IM47" s="99"/>
      <c r="IN47" s="100"/>
      <c r="IO47" s="77"/>
      <c r="IP47" s="78"/>
      <c r="IQ47" s="78"/>
      <c r="IR47" s="79"/>
      <c r="IS47" s="67"/>
      <c r="IU47" s="98"/>
      <c r="IV47" s="99"/>
      <c r="IW47" s="100"/>
      <c r="IX47" s="77"/>
      <c r="IY47" s="78"/>
      <c r="IZ47" s="78"/>
      <c r="JA47" s="79"/>
      <c r="JB47" s="67"/>
      <c r="JD47" s="98"/>
      <c r="JE47" s="99"/>
      <c r="JF47" s="100"/>
      <c r="JG47" s="77"/>
      <c r="JH47" s="78"/>
      <c r="JI47" s="78"/>
      <c r="JJ47" s="79"/>
      <c r="JK47" s="67"/>
      <c r="JM47" s="98"/>
      <c r="JN47" s="99"/>
      <c r="JO47" s="275"/>
      <c r="JP47" s="77"/>
      <c r="JQ47" s="78"/>
      <c r="JR47" s="78"/>
      <c r="JS47" s="79"/>
      <c r="JT47" s="67"/>
      <c r="JV47" s="98"/>
      <c r="JW47" s="99"/>
      <c r="JX47" s="100"/>
      <c r="JY47" s="77"/>
      <c r="JZ47" s="78"/>
      <c r="KA47" s="78"/>
      <c r="KB47" s="79"/>
      <c r="KC47" s="67"/>
      <c r="KE47" s="98"/>
      <c r="KF47" s="99"/>
      <c r="KG47" s="100"/>
      <c r="KH47" s="77"/>
      <c r="KI47" s="78"/>
      <c r="KJ47" s="78"/>
      <c r="KK47" s="79"/>
      <c r="KL47" s="67"/>
      <c r="KN47" s="68"/>
      <c r="KO47" s="69"/>
      <c r="KP47" s="70"/>
      <c r="KQ47" s="77"/>
      <c r="KR47" s="78"/>
      <c r="KS47" s="78"/>
      <c r="KT47" s="79"/>
      <c r="KU47" s="67"/>
      <c r="KW47" s="98"/>
      <c r="KX47" s="99"/>
      <c r="KY47" s="100"/>
      <c r="KZ47" s="77"/>
      <c r="LA47" s="78"/>
      <c r="LB47" s="78"/>
      <c r="LC47" s="79"/>
      <c r="LD47" s="67"/>
      <c r="LF47" s="71"/>
      <c r="LG47" s="72"/>
      <c r="LH47" s="73"/>
      <c r="LI47" s="77"/>
      <c r="LJ47" s="78"/>
      <c r="LK47" s="78"/>
      <c r="LL47" s="79"/>
      <c r="LM47" s="67"/>
      <c r="LO47" s="98"/>
      <c r="LP47" s="99"/>
      <c r="LQ47" s="329"/>
      <c r="LR47" s="77"/>
      <c r="LS47" s="78"/>
      <c r="LT47" s="78"/>
      <c r="LU47" s="79"/>
      <c r="LV47" s="67"/>
      <c r="LX47" s="98"/>
      <c r="LY47" s="99"/>
      <c r="LZ47" s="100"/>
      <c r="MA47" s="77"/>
      <c r="MB47" s="78"/>
      <c r="MC47" s="78"/>
      <c r="MD47" s="79"/>
      <c r="ME47" s="67"/>
      <c r="MG47" s="98"/>
      <c r="MH47" s="99"/>
      <c r="MI47" s="100"/>
      <c r="MJ47" s="77"/>
      <c r="MK47" s="78"/>
      <c r="ML47" s="78"/>
      <c r="MM47" s="79"/>
      <c r="MN47" s="67"/>
      <c r="MP47" s="98"/>
      <c r="MQ47" s="99"/>
      <c r="MR47" s="100"/>
      <c r="MS47" s="77"/>
      <c r="MT47" s="78"/>
      <c r="MU47" s="78"/>
      <c r="MV47" s="79"/>
      <c r="MW47" s="67"/>
      <c r="MY47" s="98"/>
      <c r="MZ47" s="99"/>
      <c r="NA47" s="100"/>
      <c r="NB47" s="77"/>
      <c r="NC47" s="78"/>
      <c r="ND47" s="78"/>
      <c r="NE47" s="79"/>
      <c r="NF47" s="67"/>
      <c r="NH47" s="98"/>
      <c r="NI47" s="99"/>
      <c r="NJ47" s="329"/>
      <c r="NK47" s="77"/>
      <c r="NL47" s="78"/>
      <c r="NM47" s="78"/>
      <c r="NN47" s="79"/>
      <c r="NO47" s="67"/>
      <c r="NQ47" s="98"/>
      <c r="NR47" s="99"/>
      <c r="NS47" s="100"/>
      <c r="NT47" s="77"/>
      <c r="NU47" s="78"/>
      <c r="NV47" s="78"/>
      <c r="NW47" s="79"/>
      <c r="NX47" s="67"/>
      <c r="NZ47" s="71"/>
      <c r="OA47" s="72"/>
      <c r="OB47" s="73"/>
      <c r="OC47" s="77"/>
      <c r="OD47" s="78"/>
      <c r="OE47" s="78"/>
      <c r="OF47" s="79"/>
      <c r="OG47" s="67"/>
      <c r="OI47" s="98"/>
      <c r="OJ47" s="99"/>
      <c r="OK47" s="329"/>
      <c r="OL47" s="77"/>
      <c r="OM47" s="78"/>
      <c r="ON47" s="78"/>
      <c r="OO47" s="79"/>
      <c r="OP47" s="67"/>
      <c r="OR47" s="71"/>
      <c r="OS47" s="72"/>
      <c r="OT47" s="73"/>
      <c r="OU47" s="77"/>
      <c r="OV47" s="78"/>
      <c r="OW47" s="78"/>
      <c r="OX47" s="79"/>
      <c r="OY47" s="67"/>
      <c r="PA47" s="98"/>
      <c r="PB47" s="99"/>
      <c r="PC47" s="100"/>
      <c r="PD47" s="77"/>
      <c r="PE47" s="78"/>
      <c r="PF47" s="78"/>
      <c r="PG47" s="79"/>
      <c r="PH47" s="67"/>
      <c r="PJ47" s="277"/>
      <c r="PK47" s="278"/>
      <c r="PL47" s="279"/>
      <c r="PM47" s="125"/>
      <c r="PN47" s="126"/>
      <c r="PO47" s="126"/>
      <c r="PP47" s="127"/>
      <c r="PQ47" s="128"/>
      <c r="PS47" s="403"/>
      <c r="PT47" s="404"/>
      <c r="PU47" s="405"/>
      <c r="PV47" s="330"/>
      <c r="PW47" s="331"/>
      <c r="PX47" s="331"/>
      <c r="PY47" s="332"/>
      <c r="PZ47" s="333"/>
      <c r="QB47" s="412"/>
      <c r="QC47" s="413"/>
      <c r="QD47" s="414"/>
      <c r="QE47" s="125"/>
      <c r="QF47" s="126"/>
      <c r="QG47" s="126"/>
      <c r="QH47" s="127"/>
      <c r="QI47" s="128"/>
      <c r="QK47" s="283"/>
      <c r="QL47" s="284"/>
      <c r="QM47" s="285"/>
      <c r="QN47" s="125"/>
      <c r="QO47" s="126"/>
      <c r="QP47" s="126"/>
      <c r="QQ47" s="127"/>
      <c r="QR47" s="128" t="str">
        <f>IF(QM47="","",'Name List'!$I$4)</f>
        <v/>
      </c>
      <c r="QS47" s="91"/>
      <c r="QT47" s="107">
        <f t="shared" si="50"/>
        <v>0</v>
      </c>
      <c r="QU47" s="130">
        <f t="shared" si="51"/>
        <v>0</v>
      </c>
      <c r="QV47" s="130">
        <f t="shared" si="52"/>
        <v>0</v>
      </c>
      <c r="QW47" s="108">
        <f t="shared" si="53"/>
        <v>0</v>
      </c>
      <c r="QY47" s="260">
        <f t="shared" si="54"/>
        <v>0</v>
      </c>
      <c r="RA47" s="141">
        <f t="shared" si="55"/>
        <v>0</v>
      </c>
      <c r="RB47" s="106">
        <f t="shared" si="56"/>
        <v>0</v>
      </c>
      <c r="RC47" s="106">
        <f t="shared" si="57"/>
        <v>0</v>
      </c>
      <c r="RD47" s="106">
        <f t="shared" si="58"/>
        <v>0</v>
      </c>
      <c r="RE47" s="106">
        <f t="shared" si="59"/>
        <v>0</v>
      </c>
      <c r="RF47" s="142">
        <f t="shared" si="60"/>
        <v>0</v>
      </c>
      <c r="RG47" s="106"/>
      <c r="RH47" s="139">
        <f t="shared" si="61"/>
        <v>0</v>
      </c>
      <c r="RI47" s="140">
        <f t="shared" si="62"/>
        <v>0</v>
      </c>
      <c r="RJ47" s="106"/>
      <c r="RK47" s="136">
        <f t="shared" si="63"/>
        <v>0</v>
      </c>
      <c r="RL47" s="106"/>
      <c r="RM47" s="137">
        <f t="shared" si="64"/>
        <v>0</v>
      </c>
      <c r="RN47" s="138">
        <f t="shared" si="65"/>
        <v>0</v>
      </c>
      <c r="RO47" s="106"/>
      <c r="RP47" s="259">
        <f t="shared" si="66"/>
        <v>0</v>
      </c>
    </row>
    <row r="48" spans="1:484" x14ac:dyDescent="0.2">
      <c r="A48" s="89" t="str">
        <f>'Name List'!B48</f>
        <v>Chris Smith</v>
      </c>
      <c r="C48" s="98"/>
      <c r="D48" s="99"/>
      <c r="E48" s="329" t="str">
        <f t="shared" si="0"/>
        <v/>
      </c>
      <c r="F48" s="77"/>
      <c r="G48" s="78"/>
      <c r="H48" s="78"/>
      <c r="I48" s="79"/>
      <c r="J48" s="333" t="str">
        <f>IF(E48="","",'Name List'!$I$4)</f>
        <v/>
      </c>
      <c r="L48" s="98"/>
      <c r="M48" s="99"/>
      <c r="N48" s="100"/>
      <c r="O48" s="77"/>
      <c r="P48" s="78"/>
      <c r="Q48" s="78"/>
      <c r="R48" s="79"/>
      <c r="S48" s="67"/>
      <c r="U48" s="71">
        <v>19</v>
      </c>
      <c r="V48" s="72">
        <v>16</v>
      </c>
      <c r="W48" s="396">
        <f t="shared" si="2"/>
        <v>35</v>
      </c>
      <c r="X48" s="77">
        <v>0</v>
      </c>
      <c r="Y48" s="78">
        <v>2</v>
      </c>
      <c r="Z48" s="78">
        <v>12</v>
      </c>
      <c r="AA48" s="79">
        <v>0</v>
      </c>
      <c r="AB48" s="333">
        <f>IF(W48="","",'Name List'!$I$4)</f>
        <v>5</v>
      </c>
      <c r="AD48" s="98">
        <v>18</v>
      </c>
      <c r="AE48" s="99">
        <v>18</v>
      </c>
      <c r="AF48" s="329">
        <f t="shared" si="3"/>
        <v>36</v>
      </c>
      <c r="AG48" s="77">
        <v>0</v>
      </c>
      <c r="AH48" s="78">
        <v>5</v>
      </c>
      <c r="AI48" s="78">
        <v>8</v>
      </c>
      <c r="AJ48" s="79">
        <v>1</v>
      </c>
      <c r="AK48" s="333">
        <f>IF(AF48="","",'Name List'!$I$4)</f>
        <v>5</v>
      </c>
      <c r="AM48" s="98"/>
      <c r="AN48" s="99"/>
      <c r="AO48" s="329" t="str">
        <f t="shared" si="4"/>
        <v/>
      </c>
      <c r="AP48" s="77"/>
      <c r="AQ48" s="78"/>
      <c r="AR48" s="78"/>
      <c r="AS48" s="79"/>
      <c r="AT48" s="333" t="str">
        <f>IF(AO48="","",'Name List'!$I$4)</f>
        <v/>
      </c>
      <c r="AV48" s="458">
        <v>19</v>
      </c>
      <c r="AW48" s="401">
        <v>15</v>
      </c>
      <c r="AX48" s="400">
        <f t="shared" si="5"/>
        <v>34</v>
      </c>
      <c r="AY48" s="77">
        <v>0</v>
      </c>
      <c r="AZ48" s="78">
        <v>2</v>
      </c>
      <c r="BA48" s="78">
        <v>12</v>
      </c>
      <c r="BB48" s="79">
        <v>1</v>
      </c>
      <c r="BC48" s="457">
        <f>IF(AX48="","",'Name List'!$I$4)</f>
        <v>5</v>
      </c>
      <c r="BE48" s="71">
        <v>19</v>
      </c>
      <c r="BF48" s="72">
        <v>18</v>
      </c>
      <c r="BG48" s="383">
        <f t="shared" si="6"/>
        <v>37</v>
      </c>
      <c r="BH48" s="77">
        <v>0</v>
      </c>
      <c r="BI48" s="78">
        <v>4</v>
      </c>
      <c r="BJ48" s="78">
        <v>9</v>
      </c>
      <c r="BK48" s="79">
        <v>0</v>
      </c>
      <c r="BL48" s="333">
        <f>IF(BG48="","",'Name List'!$I$4)</f>
        <v>5</v>
      </c>
      <c r="BN48" s="98"/>
      <c r="BO48" s="99"/>
      <c r="BP48" s="100"/>
      <c r="BQ48" s="77"/>
      <c r="BR48" s="78"/>
      <c r="BS48" s="78"/>
      <c r="BT48" s="79"/>
      <c r="BU48" s="67"/>
      <c r="BW48" s="98"/>
      <c r="BX48" s="99"/>
      <c r="BY48" s="329" t="str">
        <f t="shared" si="8"/>
        <v/>
      </c>
      <c r="BZ48" s="77"/>
      <c r="CA48" s="78"/>
      <c r="CB48" s="78"/>
      <c r="CC48" s="79"/>
      <c r="CD48" s="333" t="str">
        <f>IF(BY48="","",'Name List'!$I$4)</f>
        <v/>
      </c>
      <c r="CF48" s="68">
        <v>14</v>
      </c>
      <c r="CG48" s="69">
        <v>18</v>
      </c>
      <c r="CH48" s="282">
        <f t="shared" si="49"/>
        <v>32</v>
      </c>
      <c r="CI48" s="77">
        <v>0</v>
      </c>
      <c r="CJ48" s="78">
        <v>3</v>
      </c>
      <c r="CK48" s="78">
        <v>9</v>
      </c>
      <c r="CL48" s="79">
        <v>1</v>
      </c>
      <c r="CM48" s="333">
        <f>IF(CH48="","",'Name List'!$I$4)</f>
        <v>5</v>
      </c>
      <c r="CO48" s="71">
        <v>21</v>
      </c>
      <c r="CP48" s="72">
        <v>16</v>
      </c>
      <c r="CQ48" s="383">
        <f t="shared" si="9"/>
        <v>37</v>
      </c>
      <c r="CR48" s="77">
        <v>1</v>
      </c>
      <c r="CS48" s="78">
        <v>4</v>
      </c>
      <c r="CT48" s="78">
        <v>8</v>
      </c>
      <c r="CU48" s="79">
        <v>2</v>
      </c>
      <c r="CV48" s="333">
        <f>IF(CQ48="","",'Name List'!$I$4)</f>
        <v>5</v>
      </c>
      <c r="CX48" s="98"/>
      <c r="CY48" s="99"/>
      <c r="CZ48" s="329" t="str">
        <f t="shared" si="10"/>
        <v/>
      </c>
      <c r="DA48" s="77"/>
      <c r="DB48" s="78"/>
      <c r="DC48" s="78"/>
      <c r="DD48" s="79"/>
      <c r="DE48" s="333" t="str">
        <f>IF(CZ48="","",'Name List'!$I$4)</f>
        <v/>
      </c>
      <c r="DG48" s="98">
        <v>15</v>
      </c>
      <c r="DH48" s="99">
        <v>14</v>
      </c>
      <c r="DI48" s="329">
        <f t="shared" si="11"/>
        <v>29</v>
      </c>
      <c r="DJ48" s="77">
        <v>0</v>
      </c>
      <c r="DK48" s="78">
        <v>2</v>
      </c>
      <c r="DL48" s="78">
        <v>8</v>
      </c>
      <c r="DM48" s="79">
        <v>1</v>
      </c>
      <c r="DN48" s="333">
        <f>IF(DI48="","",'Name List'!$I$4)</f>
        <v>5</v>
      </c>
      <c r="DP48" s="98">
        <v>17</v>
      </c>
      <c r="DQ48" s="99">
        <v>14</v>
      </c>
      <c r="DR48" s="329">
        <f t="shared" si="12"/>
        <v>31</v>
      </c>
      <c r="DS48" s="77">
        <v>0</v>
      </c>
      <c r="DT48" s="78">
        <v>0</v>
      </c>
      <c r="DU48" s="78">
        <v>14</v>
      </c>
      <c r="DV48" s="79">
        <v>1</v>
      </c>
      <c r="DW48" s="333">
        <f>IF(DR48="","",'Name List'!$I$4)</f>
        <v>5</v>
      </c>
      <c r="DY48" s="98">
        <v>20</v>
      </c>
      <c r="DZ48" s="99">
        <v>15</v>
      </c>
      <c r="EA48" s="329">
        <f t="shared" si="13"/>
        <v>35</v>
      </c>
      <c r="EB48" s="77">
        <v>0</v>
      </c>
      <c r="EC48" s="78">
        <v>3</v>
      </c>
      <c r="ED48" s="78">
        <v>11</v>
      </c>
      <c r="EE48" s="79">
        <v>0</v>
      </c>
      <c r="EF48" s="333">
        <f>IF(EA48="","",'Name List'!$I$4)</f>
        <v>5</v>
      </c>
      <c r="EH48" s="98"/>
      <c r="EI48" s="99"/>
      <c r="EJ48" s="329" t="str">
        <f t="shared" si="14"/>
        <v/>
      </c>
      <c r="EK48" s="77"/>
      <c r="EL48" s="78"/>
      <c r="EM48" s="78"/>
      <c r="EN48" s="79"/>
      <c r="EO48" s="333" t="str">
        <f>IF(EJ48="","",'Name List'!$I$4)</f>
        <v/>
      </c>
      <c r="EQ48" s="115"/>
      <c r="ER48" s="116"/>
      <c r="ES48" s="117">
        <v>79</v>
      </c>
      <c r="ET48" s="77">
        <v>0</v>
      </c>
      <c r="EU48" s="78">
        <v>0</v>
      </c>
      <c r="EV48" s="78">
        <v>11</v>
      </c>
      <c r="EW48" s="79"/>
      <c r="EX48" s="333">
        <f>IF(ES48="","",'Name List'!$I$4)</f>
        <v>5</v>
      </c>
      <c r="EZ48" s="68"/>
      <c r="FA48" s="69"/>
      <c r="FB48" s="70"/>
      <c r="FC48" s="77"/>
      <c r="FD48" s="78"/>
      <c r="FE48" s="78"/>
      <c r="FF48" s="79"/>
      <c r="FG48" s="67"/>
      <c r="FI48" s="98"/>
      <c r="FJ48" s="99"/>
      <c r="FK48" s="329" t="str">
        <f t="shared" si="16"/>
        <v/>
      </c>
      <c r="FL48" s="77"/>
      <c r="FM48" s="78"/>
      <c r="FN48" s="78"/>
      <c r="FO48" s="79"/>
      <c r="FP48" s="333" t="str">
        <f>IF(FK48="","",'Name List'!$I$4)</f>
        <v/>
      </c>
      <c r="FR48" s="98"/>
      <c r="FS48" s="99"/>
      <c r="FT48" s="329" t="str">
        <f t="shared" si="17"/>
        <v/>
      </c>
      <c r="FU48" s="77"/>
      <c r="FV48" s="78"/>
      <c r="FW48" s="78"/>
      <c r="FX48" s="79"/>
      <c r="FY48" s="333" t="str">
        <f>IF(FT48="","",'Name List'!$I$4)</f>
        <v/>
      </c>
      <c r="GA48" s="98"/>
      <c r="GB48" s="99"/>
      <c r="GC48" s="329" t="str">
        <f t="shared" si="18"/>
        <v/>
      </c>
      <c r="GD48" s="77"/>
      <c r="GE48" s="78"/>
      <c r="GF48" s="78"/>
      <c r="GG48" s="79"/>
      <c r="GH48" s="333" t="str">
        <f>IF(GC48="","",'Name List'!$I$4)</f>
        <v/>
      </c>
      <c r="GJ48" s="98"/>
      <c r="GK48" s="99"/>
      <c r="GL48" s="329" t="str">
        <f t="shared" si="19"/>
        <v/>
      </c>
      <c r="GM48" s="77"/>
      <c r="GN48" s="78"/>
      <c r="GO48" s="78"/>
      <c r="GP48" s="79"/>
      <c r="GQ48" s="333" t="str">
        <f>IF(GL48="","",'Name List'!$I$4)</f>
        <v/>
      </c>
      <c r="GS48" s="68"/>
      <c r="GT48" s="69"/>
      <c r="GU48" s="70"/>
      <c r="GV48" s="77"/>
      <c r="GW48" s="78"/>
      <c r="GX48" s="78"/>
      <c r="GY48" s="79"/>
      <c r="GZ48" s="67"/>
      <c r="HB48" s="98">
        <v>20</v>
      </c>
      <c r="HC48" s="99">
        <v>18</v>
      </c>
      <c r="HD48" s="329">
        <f t="shared" si="21"/>
        <v>38</v>
      </c>
      <c r="HE48" s="77">
        <v>0</v>
      </c>
      <c r="HF48" s="78">
        <v>4</v>
      </c>
      <c r="HG48" s="78">
        <v>12</v>
      </c>
      <c r="HH48" s="79">
        <v>0</v>
      </c>
      <c r="HI48" s="333">
        <f>IF(HD48="","",'Name List'!$I$4)</f>
        <v>5</v>
      </c>
      <c r="HK48" s="71"/>
      <c r="HL48" s="72"/>
      <c r="HM48" s="383" t="str">
        <f t="shared" si="22"/>
        <v/>
      </c>
      <c r="HN48" s="77"/>
      <c r="HO48" s="78"/>
      <c r="HP48" s="78"/>
      <c r="HQ48" s="79"/>
      <c r="HR48" s="333" t="str">
        <f>IF(HM48="","",'Name List'!$I$4)</f>
        <v/>
      </c>
      <c r="HT48" s="68"/>
      <c r="HU48" s="69"/>
      <c r="HV48" s="70"/>
      <c r="HW48" s="77"/>
      <c r="HX48" s="78"/>
      <c r="HY48" s="78"/>
      <c r="HZ48" s="79"/>
      <c r="IA48" s="67"/>
      <c r="IC48" s="115"/>
      <c r="ID48" s="116"/>
      <c r="IE48" s="117"/>
      <c r="IF48" s="77"/>
      <c r="IG48" s="78"/>
      <c r="IH48" s="78"/>
      <c r="II48" s="79"/>
      <c r="IJ48" s="333" t="str">
        <f>IF(IE48="","",'Name List'!$I$4)</f>
        <v/>
      </c>
      <c r="IL48" s="98"/>
      <c r="IM48" s="99"/>
      <c r="IN48" s="100"/>
      <c r="IO48" s="77"/>
      <c r="IP48" s="78"/>
      <c r="IQ48" s="78"/>
      <c r="IR48" s="79"/>
      <c r="IS48" s="67"/>
      <c r="IU48" s="98"/>
      <c r="IV48" s="99"/>
      <c r="IW48" s="100"/>
      <c r="IX48" s="77"/>
      <c r="IY48" s="78"/>
      <c r="IZ48" s="78"/>
      <c r="JA48" s="79"/>
      <c r="JB48" s="67"/>
      <c r="JD48" s="98"/>
      <c r="JE48" s="99"/>
      <c r="JF48" s="100"/>
      <c r="JG48" s="77"/>
      <c r="JH48" s="78"/>
      <c r="JI48" s="78"/>
      <c r="JJ48" s="79"/>
      <c r="JK48" s="67"/>
      <c r="JM48" s="98"/>
      <c r="JN48" s="99"/>
      <c r="JO48" s="275"/>
      <c r="JP48" s="77"/>
      <c r="JQ48" s="78"/>
      <c r="JR48" s="78"/>
      <c r="JS48" s="79"/>
      <c r="JT48" s="67"/>
      <c r="JV48" s="98"/>
      <c r="JW48" s="99"/>
      <c r="JX48" s="100"/>
      <c r="JY48" s="77"/>
      <c r="JZ48" s="78"/>
      <c r="KA48" s="78"/>
      <c r="KB48" s="79"/>
      <c r="KC48" s="67"/>
      <c r="KE48" s="98"/>
      <c r="KF48" s="99"/>
      <c r="KG48" s="100"/>
      <c r="KH48" s="77"/>
      <c r="KI48" s="78"/>
      <c r="KJ48" s="78"/>
      <c r="KK48" s="79"/>
      <c r="KL48" s="67"/>
      <c r="KN48" s="68"/>
      <c r="KO48" s="69"/>
      <c r="KP48" s="70"/>
      <c r="KQ48" s="77"/>
      <c r="KR48" s="78"/>
      <c r="KS48" s="78"/>
      <c r="KT48" s="79"/>
      <c r="KU48" s="67"/>
      <c r="KW48" s="98"/>
      <c r="KX48" s="99"/>
      <c r="KY48" s="100"/>
      <c r="KZ48" s="77"/>
      <c r="LA48" s="78"/>
      <c r="LB48" s="78"/>
      <c r="LC48" s="79"/>
      <c r="LD48" s="67"/>
      <c r="LF48" s="71"/>
      <c r="LG48" s="72"/>
      <c r="LH48" s="73"/>
      <c r="LI48" s="77"/>
      <c r="LJ48" s="78"/>
      <c r="LK48" s="78"/>
      <c r="LL48" s="79"/>
      <c r="LM48" s="67"/>
      <c r="LO48" s="98"/>
      <c r="LP48" s="99"/>
      <c r="LQ48" s="329"/>
      <c r="LR48" s="77"/>
      <c r="LS48" s="78"/>
      <c r="LT48" s="78"/>
      <c r="LU48" s="79"/>
      <c r="LV48" s="67"/>
      <c r="LX48" s="98"/>
      <c r="LY48" s="99"/>
      <c r="LZ48" s="100"/>
      <c r="MA48" s="77"/>
      <c r="MB48" s="78"/>
      <c r="MC48" s="78"/>
      <c r="MD48" s="79"/>
      <c r="ME48" s="67"/>
      <c r="MG48" s="98"/>
      <c r="MH48" s="99"/>
      <c r="MI48" s="100"/>
      <c r="MJ48" s="77"/>
      <c r="MK48" s="78"/>
      <c r="ML48" s="78"/>
      <c r="MM48" s="79"/>
      <c r="MN48" s="67"/>
      <c r="MP48" s="98"/>
      <c r="MQ48" s="99"/>
      <c r="MR48" s="100"/>
      <c r="MS48" s="77"/>
      <c r="MT48" s="78"/>
      <c r="MU48" s="78"/>
      <c r="MV48" s="79"/>
      <c r="MW48" s="67"/>
      <c r="MY48" s="98"/>
      <c r="MZ48" s="99"/>
      <c r="NA48" s="100"/>
      <c r="NB48" s="77"/>
      <c r="NC48" s="78"/>
      <c r="ND48" s="78"/>
      <c r="NE48" s="79"/>
      <c r="NF48" s="67"/>
      <c r="NH48" s="98"/>
      <c r="NI48" s="99"/>
      <c r="NJ48" s="329"/>
      <c r="NK48" s="77"/>
      <c r="NL48" s="78"/>
      <c r="NM48" s="78"/>
      <c r="NN48" s="79"/>
      <c r="NO48" s="67"/>
      <c r="NQ48" s="98"/>
      <c r="NR48" s="99"/>
      <c r="NS48" s="100"/>
      <c r="NT48" s="77"/>
      <c r="NU48" s="78"/>
      <c r="NV48" s="78"/>
      <c r="NW48" s="79"/>
      <c r="NX48" s="67"/>
      <c r="NZ48" s="71"/>
      <c r="OA48" s="72"/>
      <c r="OB48" s="73"/>
      <c r="OC48" s="77"/>
      <c r="OD48" s="78"/>
      <c r="OE48" s="78"/>
      <c r="OF48" s="79"/>
      <c r="OG48" s="67"/>
      <c r="OI48" s="98"/>
      <c r="OJ48" s="99"/>
      <c r="OK48" s="329"/>
      <c r="OL48" s="77"/>
      <c r="OM48" s="78"/>
      <c r="ON48" s="78"/>
      <c r="OO48" s="79"/>
      <c r="OP48" s="67"/>
      <c r="OR48" s="71"/>
      <c r="OS48" s="72"/>
      <c r="OT48" s="73"/>
      <c r="OU48" s="77"/>
      <c r="OV48" s="78"/>
      <c r="OW48" s="78"/>
      <c r="OX48" s="79"/>
      <c r="OY48" s="67"/>
      <c r="PA48" s="98"/>
      <c r="PB48" s="99"/>
      <c r="PC48" s="100"/>
      <c r="PD48" s="77"/>
      <c r="PE48" s="78"/>
      <c r="PF48" s="78"/>
      <c r="PG48" s="79"/>
      <c r="PH48" s="67"/>
      <c r="PJ48" s="277"/>
      <c r="PK48" s="278"/>
      <c r="PL48" s="279"/>
      <c r="PM48" s="125"/>
      <c r="PN48" s="126"/>
      <c r="PO48" s="126"/>
      <c r="PP48" s="127"/>
      <c r="PQ48" s="128"/>
      <c r="PS48" s="403"/>
      <c r="PT48" s="404"/>
      <c r="PU48" s="405"/>
      <c r="PV48" s="330"/>
      <c r="PW48" s="331"/>
      <c r="PX48" s="331"/>
      <c r="PY48" s="332"/>
      <c r="PZ48" s="333"/>
      <c r="QB48" s="412"/>
      <c r="QC48" s="413"/>
      <c r="QD48" s="414"/>
      <c r="QE48" s="125"/>
      <c r="QF48" s="126"/>
      <c r="QG48" s="126"/>
      <c r="QH48" s="127"/>
      <c r="QI48" s="128"/>
      <c r="QK48" s="283"/>
      <c r="QL48" s="284"/>
      <c r="QM48" s="285"/>
      <c r="QN48" s="125"/>
      <c r="QO48" s="126"/>
      <c r="QP48" s="126"/>
      <c r="QQ48" s="127"/>
      <c r="QR48" s="128" t="str">
        <f>IF(QM48="","",'Name List'!$I$4)</f>
        <v/>
      </c>
      <c r="QS48" s="91"/>
      <c r="QT48" s="107">
        <f t="shared" si="50"/>
        <v>1</v>
      </c>
      <c r="QU48" s="130">
        <f t="shared" si="51"/>
        <v>29</v>
      </c>
      <c r="QV48" s="130">
        <f t="shared" si="52"/>
        <v>114</v>
      </c>
      <c r="QW48" s="108">
        <f t="shared" si="53"/>
        <v>7</v>
      </c>
      <c r="QY48" s="260">
        <f t="shared" si="54"/>
        <v>10</v>
      </c>
      <c r="RA48" s="141">
        <f t="shared" si="55"/>
        <v>20</v>
      </c>
      <c r="RB48" s="106">
        <f t="shared" si="56"/>
        <v>18</v>
      </c>
      <c r="RC48" s="106">
        <f t="shared" si="57"/>
        <v>36</v>
      </c>
      <c r="RD48" s="106">
        <f t="shared" si="58"/>
        <v>14</v>
      </c>
      <c r="RE48" s="106">
        <f t="shared" si="59"/>
        <v>14</v>
      </c>
      <c r="RF48" s="142">
        <f t="shared" si="60"/>
        <v>29</v>
      </c>
      <c r="RG48" s="106"/>
      <c r="RH48" s="139">
        <f t="shared" si="61"/>
        <v>38</v>
      </c>
      <c r="RI48" s="140">
        <f t="shared" si="62"/>
        <v>35</v>
      </c>
      <c r="RJ48" s="106"/>
      <c r="RK48" s="136">
        <f t="shared" si="63"/>
        <v>34.4</v>
      </c>
      <c r="RL48" s="106"/>
      <c r="RM48" s="137">
        <f t="shared" si="64"/>
        <v>79</v>
      </c>
      <c r="RN48" s="138">
        <f t="shared" si="65"/>
        <v>79</v>
      </c>
      <c r="RO48" s="106"/>
      <c r="RP48" s="259">
        <f t="shared" si="66"/>
        <v>1</v>
      </c>
    </row>
    <row r="49" spans="1:484" x14ac:dyDescent="0.2">
      <c r="A49" s="89" t="str">
        <f>'Name List'!B49</f>
        <v>Justin Spencer</v>
      </c>
      <c r="C49" s="98"/>
      <c r="D49" s="99"/>
      <c r="E49" s="329" t="str">
        <f t="shared" si="0"/>
        <v/>
      </c>
      <c r="F49" s="77"/>
      <c r="G49" s="78"/>
      <c r="H49" s="78"/>
      <c r="I49" s="79"/>
      <c r="J49" s="333" t="str">
        <f>IF(E49="","",'Name List'!$I$4)</f>
        <v/>
      </c>
      <c r="L49" s="98"/>
      <c r="M49" s="99"/>
      <c r="N49" s="100"/>
      <c r="O49" s="77"/>
      <c r="P49" s="78"/>
      <c r="Q49" s="78"/>
      <c r="R49" s="79"/>
      <c r="S49" s="67"/>
      <c r="U49" s="71">
        <v>15</v>
      </c>
      <c r="V49" s="72">
        <v>17</v>
      </c>
      <c r="W49" s="396">
        <f t="shared" si="2"/>
        <v>32</v>
      </c>
      <c r="X49" s="77">
        <v>0</v>
      </c>
      <c r="Y49" s="78">
        <v>0</v>
      </c>
      <c r="Z49" s="78">
        <v>8</v>
      </c>
      <c r="AA49" s="79">
        <v>1</v>
      </c>
      <c r="AB49" s="333">
        <f>IF(W49="","",'Name List'!$I$4)</f>
        <v>5</v>
      </c>
      <c r="AD49" s="98"/>
      <c r="AE49" s="99"/>
      <c r="AF49" s="329" t="str">
        <f t="shared" si="3"/>
        <v/>
      </c>
      <c r="AG49" s="77"/>
      <c r="AH49" s="78"/>
      <c r="AI49" s="78"/>
      <c r="AJ49" s="79"/>
      <c r="AK49" s="333" t="str">
        <f>IF(AF49="","",'Name List'!$I$4)</f>
        <v/>
      </c>
      <c r="AM49" s="98"/>
      <c r="AN49" s="99"/>
      <c r="AO49" s="329" t="str">
        <f t="shared" si="4"/>
        <v/>
      </c>
      <c r="AP49" s="77"/>
      <c r="AQ49" s="78"/>
      <c r="AR49" s="78"/>
      <c r="AS49" s="79"/>
      <c r="AT49" s="333" t="str">
        <f>IF(AO49="","",'Name List'!$I$4)</f>
        <v/>
      </c>
      <c r="AV49" s="458"/>
      <c r="AW49" s="401"/>
      <c r="AX49" s="400" t="str">
        <f t="shared" si="5"/>
        <v/>
      </c>
      <c r="AY49" s="77"/>
      <c r="AZ49" s="78"/>
      <c r="BA49" s="78"/>
      <c r="BB49" s="79"/>
      <c r="BC49" s="457" t="str">
        <f>IF(AX49="","",'Name List'!$I$4)</f>
        <v/>
      </c>
      <c r="BE49" s="71"/>
      <c r="BF49" s="72"/>
      <c r="BG49" s="383" t="str">
        <f t="shared" si="6"/>
        <v/>
      </c>
      <c r="BH49" s="77"/>
      <c r="BI49" s="78"/>
      <c r="BJ49" s="78"/>
      <c r="BK49" s="79"/>
      <c r="BL49" s="333" t="str">
        <f>IF(BG49="","",'Name List'!$I$4)</f>
        <v/>
      </c>
      <c r="BN49" s="98"/>
      <c r="BO49" s="99"/>
      <c r="BP49" s="100"/>
      <c r="BQ49" s="77"/>
      <c r="BR49" s="78"/>
      <c r="BS49" s="78"/>
      <c r="BT49" s="79"/>
      <c r="BU49" s="67"/>
      <c r="BW49" s="98"/>
      <c r="BX49" s="99"/>
      <c r="BY49" s="329" t="str">
        <f t="shared" si="8"/>
        <v/>
      </c>
      <c r="BZ49" s="77"/>
      <c r="CA49" s="78"/>
      <c r="CB49" s="78"/>
      <c r="CC49" s="79"/>
      <c r="CD49" s="333" t="str">
        <f>IF(BY49="","",'Name List'!$I$4)</f>
        <v/>
      </c>
      <c r="CF49" s="68"/>
      <c r="CG49" s="69"/>
      <c r="CH49" s="282" t="str">
        <f t="shared" si="49"/>
        <v/>
      </c>
      <c r="CI49" s="77"/>
      <c r="CJ49" s="78"/>
      <c r="CK49" s="78"/>
      <c r="CL49" s="79"/>
      <c r="CM49" s="333" t="str">
        <f>IF(CH49="","",'Name List'!$I$4)</f>
        <v/>
      </c>
      <c r="CO49" s="71"/>
      <c r="CP49" s="72"/>
      <c r="CQ49" s="383" t="str">
        <f t="shared" si="9"/>
        <v/>
      </c>
      <c r="CR49" s="77"/>
      <c r="CS49" s="78"/>
      <c r="CT49" s="78"/>
      <c r="CU49" s="79"/>
      <c r="CV49" s="333" t="str">
        <f>IF(CQ49="","",'Name List'!$I$4)</f>
        <v/>
      </c>
      <c r="CX49" s="98"/>
      <c r="CY49" s="99"/>
      <c r="CZ49" s="329" t="str">
        <f t="shared" si="10"/>
        <v/>
      </c>
      <c r="DA49" s="77"/>
      <c r="DB49" s="78"/>
      <c r="DC49" s="78"/>
      <c r="DD49" s="79"/>
      <c r="DE49" s="333" t="str">
        <f>IF(CZ49="","",'Name List'!$I$4)</f>
        <v/>
      </c>
      <c r="DG49" s="98"/>
      <c r="DH49" s="99"/>
      <c r="DI49" s="329" t="str">
        <f t="shared" si="11"/>
        <v/>
      </c>
      <c r="DJ49" s="77"/>
      <c r="DK49" s="78"/>
      <c r="DL49" s="78"/>
      <c r="DM49" s="79"/>
      <c r="DN49" s="333" t="str">
        <f>IF(DI49="","",'Name List'!$I$4)</f>
        <v/>
      </c>
      <c r="DP49" s="98"/>
      <c r="DQ49" s="99"/>
      <c r="DR49" s="329" t="str">
        <f t="shared" si="12"/>
        <v/>
      </c>
      <c r="DS49" s="77"/>
      <c r="DT49" s="78"/>
      <c r="DU49" s="78"/>
      <c r="DV49" s="79"/>
      <c r="DW49" s="333" t="str">
        <f>IF(DR49="","",'Name List'!$I$4)</f>
        <v/>
      </c>
      <c r="DY49" s="98"/>
      <c r="DZ49" s="99"/>
      <c r="EA49" s="329" t="str">
        <f t="shared" si="13"/>
        <v/>
      </c>
      <c r="EB49" s="77"/>
      <c r="EC49" s="78"/>
      <c r="ED49" s="78"/>
      <c r="EE49" s="79"/>
      <c r="EF49" s="333" t="str">
        <f>IF(EA49="","",'Name List'!$I$4)</f>
        <v/>
      </c>
      <c r="EH49" s="98"/>
      <c r="EI49" s="99"/>
      <c r="EJ49" s="329" t="str">
        <f t="shared" si="14"/>
        <v/>
      </c>
      <c r="EK49" s="77"/>
      <c r="EL49" s="78"/>
      <c r="EM49" s="78"/>
      <c r="EN49" s="79"/>
      <c r="EO49" s="333" t="str">
        <f>IF(EJ49="","",'Name List'!$I$4)</f>
        <v/>
      </c>
      <c r="EQ49" s="115"/>
      <c r="ER49" s="116"/>
      <c r="ES49" s="117"/>
      <c r="ET49" s="77"/>
      <c r="EU49" s="78"/>
      <c r="EV49" s="78"/>
      <c r="EW49" s="79"/>
      <c r="EX49" s="333" t="str">
        <f>IF(ES49="","",'Name List'!$I$4)</f>
        <v/>
      </c>
      <c r="EZ49" s="68"/>
      <c r="FA49" s="69"/>
      <c r="FB49" s="70"/>
      <c r="FC49" s="77"/>
      <c r="FD49" s="78"/>
      <c r="FE49" s="78"/>
      <c r="FF49" s="79"/>
      <c r="FG49" s="67"/>
      <c r="FI49" s="98"/>
      <c r="FJ49" s="99"/>
      <c r="FK49" s="329" t="str">
        <f t="shared" si="16"/>
        <v/>
      </c>
      <c r="FL49" s="77"/>
      <c r="FM49" s="78"/>
      <c r="FN49" s="78"/>
      <c r="FO49" s="79"/>
      <c r="FP49" s="333" t="str">
        <f>IF(FK49="","",'Name List'!$I$4)</f>
        <v/>
      </c>
      <c r="FR49" s="98"/>
      <c r="FS49" s="99"/>
      <c r="FT49" s="329" t="str">
        <f t="shared" si="17"/>
        <v/>
      </c>
      <c r="FU49" s="77"/>
      <c r="FV49" s="78"/>
      <c r="FW49" s="78"/>
      <c r="FX49" s="79"/>
      <c r="FY49" s="333" t="str">
        <f>IF(FT49="","",'Name List'!$I$4)</f>
        <v/>
      </c>
      <c r="GA49" s="98"/>
      <c r="GB49" s="99"/>
      <c r="GC49" s="329" t="str">
        <f t="shared" si="18"/>
        <v/>
      </c>
      <c r="GD49" s="77"/>
      <c r="GE49" s="78"/>
      <c r="GF49" s="78"/>
      <c r="GG49" s="79"/>
      <c r="GH49" s="333" t="str">
        <f>IF(GC49="","",'Name List'!$I$4)</f>
        <v/>
      </c>
      <c r="GJ49" s="98"/>
      <c r="GK49" s="99"/>
      <c r="GL49" s="329" t="str">
        <f t="shared" si="19"/>
        <v/>
      </c>
      <c r="GM49" s="77"/>
      <c r="GN49" s="78"/>
      <c r="GO49" s="78"/>
      <c r="GP49" s="79"/>
      <c r="GQ49" s="333" t="str">
        <f>IF(GL49="","",'Name List'!$I$4)</f>
        <v/>
      </c>
      <c r="GS49" s="68"/>
      <c r="GT49" s="69"/>
      <c r="GU49" s="70"/>
      <c r="GV49" s="77"/>
      <c r="GW49" s="78"/>
      <c r="GX49" s="78"/>
      <c r="GY49" s="79"/>
      <c r="GZ49" s="67"/>
      <c r="HB49" s="98"/>
      <c r="HC49" s="99"/>
      <c r="HD49" s="329" t="str">
        <f t="shared" si="21"/>
        <v/>
      </c>
      <c r="HE49" s="77"/>
      <c r="HF49" s="78"/>
      <c r="HG49" s="78"/>
      <c r="HH49" s="79"/>
      <c r="HI49" s="333" t="str">
        <f>IF(HD49="","",'Name List'!$I$4)</f>
        <v/>
      </c>
      <c r="HK49" s="71"/>
      <c r="HL49" s="72"/>
      <c r="HM49" s="383" t="str">
        <f t="shared" si="22"/>
        <v/>
      </c>
      <c r="HN49" s="77"/>
      <c r="HO49" s="78"/>
      <c r="HP49" s="78"/>
      <c r="HQ49" s="79"/>
      <c r="HR49" s="333" t="str">
        <f>IF(HM49="","",'Name List'!$I$4)</f>
        <v/>
      </c>
      <c r="HT49" s="68"/>
      <c r="HU49" s="69"/>
      <c r="HV49" s="70"/>
      <c r="HW49" s="77"/>
      <c r="HX49" s="78"/>
      <c r="HY49" s="78"/>
      <c r="HZ49" s="79"/>
      <c r="IA49" s="67"/>
      <c r="IC49" s="115"/>
      <c r="ID49" s="116"/>
      <c r="IE49" s="117"/>
      <c r="IF49" s="77"/>
      <c r="IG49" s="78"/>
      <c r="IH49" s="78"/>
      <c r="II49" s="79"/>
      <c r="IJ49" s="333" t="str">
        <f>IF(IE49="","",'Name List'!$I$4)</f>
        <v/>
      </c>
      <c r="IL49" s="98"/>
      <c r="IM49" s="99"/>
      <c r="IN49" s="100"/>
      <c r="IO49" s="77"/>
      <c r="IP49" s="78"/>
      <c r="IQ49" s="78"/>
      <c r="IR49" s="79"/>
      <c r="IS49" s="67"/>
      <c r="IU49" s="98"/>
      <c r="IV49" s="99"/>
      <c r="IW49" s="100"/>
      <c r="IX49" s="77"/>
      <c r="IY49" s="78"/>
      <c r="IZ49" s="78"/>
      <c r="JA49" s="79"/>
      <c r="JB49" s="67"/>
      <c r="JD49" s="98"/>
      <c r="JE49" s="99"/>
      <c r="JF49" s="100"/>
      <c r="JG49" s="77"/>
      <c r="JH49" s="78"/>
      <c r="JI49" s="78"/>
      <c r="JJ49" s="79"/>
      <c r="JK49" s="67"/>
      <c r="JM49" s="98"/>
      <c r="JN49" s="99"/>
      <c r="JO49" s="275"/>
      <c r="JP49" s="77"/>
      <c r="JQ49" s="78"/>
      <c r="JR49" s="78"/>
      <c r="JS49" s="79"/>
      <c r="JT49" s="67"/>
      <c r="JV49" s="98"/>
      <c r="JW49" s="99"/>
      <c r="JX49" s="100"/>
      <c r="JY49" s="77"/>
      <c r="JZ49" s="78"/>
      <c r="KA49" s="78"/>
      <c r="KB49" s="79"/>
      <c r="KC49" s="67"/>
      <c r="KE49" s="98"/>
      <c r="KF49" s="99"/>
      <c r="KG49" s="100"/>
      <c r="KH49" s="77"/>
      <c r="KI49" s="78"/>
      <c r="KJ49" s="78"/>
      <c r="KK49" s="79"/>
      <c r="KL49" s="67"/>
      <c r="KN49" s="68"/>
      <c r="KO49" s="69"/>
      <c r="KP49" s="70"/>
      <c r="KQ49" s="77"/>
      <c r="KR49" s="78"/>
      <c r="KS49" s="78"/>
      <c r="KT49" s="79"/>
      <c r="KU49" s="67"/>
      <c r="KW49" s="98"/>
      <c r="KX49" s="99"/>
      <c r="KY49" s="100"/>
      <c r="KZ49" s="77"/>
      <c r="LA49" s="78"/>
      <c r="LB49" s="78"/>
      <c r="LC49" s="79"/>
      <c r="LD49" s="67"/>
      <c r="LF49" s="71"/>
      <c r="LG49" s="72"/>
      <c r="LH49" s="73"/>
      <c r="LI49" s="77"/>
      <c r="LJ49" s="78"/>
      <c r="LK49" s="78"/>
      <c r="LL49" s="79"/>
      <c r="LM49" s="67"/>
      <c r="LO49" s="98"/>
      <c r="LP49" s="99"/>
      <c r="LQ49" s="329"/>
      <c r="LR49" s="77"/>
      <c r="LS49" s="78"/>
      <c r="LT49" s="78"/>
      <c r="LU49" s="79"/>
      <c r="LV49" s="67"/>
      <c r="LX49" s="98"/>
      <c r="LY49" s="99"/>
      <c r="LZ49" s="100"/>
      <c r="MA49" s="77"/>
      <c r="MB49" s="78"/>
      <c r="MC49" s="78"/>
      <c r="MD49" s="79"/>
      <c r="ME49" s="67"/>
      <c r="MG49" s="98"/>
      <c r="MH49" s="99"/>
      <c r="MI49" s="100"/>
      <c r="MJ49" s="77"/>
      <c r="MK49" s="78"/>
      <c r="ML49" s="78"/>
      <c r="MM49" s="79"/>
      <c r="MN49" s="67"/>
      <c r="MP49" s="98"/>
      <c r="MQ49" s="99"/>
      <c r="MR49" s="100"/>
      <c r="MS49" s="77"/>
      <c r="MT49" s="78"/>
      <c r="MU49" s="78"/>
      <c r="MV49" s="79"/>
      <c r="MW49" s="67"/>
      <c r="MY49" s="98"/>
      <c r="MZ49" s="99"/>
      <c r="NA49" s="100"/>
      <c r="NB49" s="77"/>
      <c r="NC49" s="78"/>
      <c r="ND49" s="78"/>
      <c r="NE49" s="79"/>
      <c r="NF49" s="67"/>
      <c r="NH49" s="98"/>
      <c r="NI49" s="99"/>
      <c r="NJ49" s="329"/>
      <c r="NK49" s="77"/>
      <c r="NL49" s="78"/>
      <c r="NM49" s="78"/>
      <c r="NN49" s="79"/>
      <c r="NO49" s="67"/>
      <c r="NQ49" s="98"/>
      <c r="NR49" s="99"/>
      <c r="NS49" s="100"/>
      <c r="NT49" s="77"/>
      <c r="NU49" s="78"/>
      <c r="NV49" s="78"/>
      <c r="NW49" s="79"/>
      <c r="NX49" s="67"/>
      <c r="NZ49" s="71"/>
      <c r="OA49" s="72"/>
      <c r="OB49" s="73"/>
      <c r="OC49" s="77"/>
      <c r="OD49" s="78"/>
      <c r="OE49" s="78"/>
      <c r="OF49" s="79"/>
      <c r="OG49" s="67"/>
      <c r="OI49" s="98"/>
      <c r="OJ49" s="99"/>
      <c r="OK49" s="329"/>
      <c r="OL49" s="77"/>
      <c r="OM49" s="78"/>
      <c r="ON49" s="78"/>
      <c r="OO49" s="79"/>
      <c r="OP49" s="67"/>
      <c r="OR49" s="71"/>
      <c r="OS49" s="72"/>
      <c r="OT49" s="73"/>
      <c r="OU49" s="77"/>
      <c r="OV49" s="78"/>
      <c r="OW49" s="78"/>
      <c r="OX49" s="79"/>
      <c r="OY49" s="67"/>
      <c r="PA49" s="98"/>
      <c r="PB49" s="99"/>
      <c r="PC49" s="100"/>
      <c r="PD49" s="77"/>
      <c r="PE49" s="78"/>
      <c r="PF49" s="78"/>
      <c r="PG49" s="79"/>
      <c r="PH49" s="67"/>
      <c r="PJ49" s="277"/>
      <c r="PK49" s="278"/>
      <c r="PL49" s="279"/>
      <c r="PM49" s="125"/>
      <c r="PN49" s="126"/>
      <c r="PO49" s="126"/>
      <c r="PP49" s="127"/>
      <c r="PQ49" s="128"/>
      <c r="PS49" s="403"/>
      <c r="PT49" s="404"/>
      <c r="PU49" s="405"/>
      <c r="PV49" s="330"/>
      <c r="PW49" s="331"/>
      <c r="PX49" s="331"/>
      <c r="PY49" s="332"/>
      <c r="PZ49" s="333"/>
      <c r="QB49" s="412"/>
      <c r="QC49" s="413"/>
      <c r="QD49" s="414"/>
      <c r="QE49" s="125"/>
      <c r="QF49" s="126"/>
      <c r="QG49" s="126"/>
      <c r="QH49" s="127"/>
      <c r="QI49" s="128"/>
      <c r="QK49" s="283"/>
      <c r="QL49" s="284"/>
      <c r="QM49" s="285"/>
      <c r="QN49" s="125"/>
      <c r="QO49" s="126"/>
      <c r="QP49" s="126"/>
      <c r="QQ49" s="127"/>
      <c r="QR49" s="128" t="str">
        <f>IF(QM49="","",'Name List'!$I$4)</f>
        <v/>
      </c>
      <c r="QS49" s="91"/>
      <c r="QT49" s="107">
        <f t="shared" si="50"/>
        <v>0</v>
      </c>
      <c r="QU49" s="130">
        <f t="shared" si="51"/>
        <v>0</v>
      </c>
      <c r="QV49" s="130">
        <f t="shared" si="52"/>
        <v>8</v>
      </c>
      <c r="QW49" s="108">
        <f t="shared" si="53"/>
        <v>1</v>
      </c>
      <c r="QY49" s="260">
        <f t="shared" si="54"/>
        <v>1</v>
      </c>
      <c r="RA49" s="141">
        <f t="shared" si="55"/>
        <v>0</v>
      </c>
      <c r="RB49" s="106">
        <f t="shared" si="56"/>
        <v>0</v>
      </c>
      <c r="RC49" s="106">
        <f t="shared" si="57"/>
        <v>0</v>
      </c>
      <c r="RD49" s="106">
        <f t="shared" si="58"/>
        <v>0</v>
      </c>
      <c r="RE49" s="106">
        <f t="shared" si="59"/>
        <v>0</v>
      </c>
      <c r="RF49" s="142">
        <f t="shared" si="60"/>
        <v>0</v>
      </c>
      <c r="RG49" s="106"/>
      <c r="RH49" s="139">
        <f t="shared" si="61"/>
        <v>32</v>
      </c>
      <c r="RI49" s="140">
        <f t="shared" si="62"/>
        <v>32</v>
      </c>
      <c r="RJ49" s="106"/>
      <c r="RK49" s="136">
        <f t="shared" si="63"/>
        <v>32</v>
      </c>
      <c r="RL49" s="106"/>
      <c r="RM49" s="137">
        <f t="shared" si="64"/>
        <v>0</v>
      </c>
      <c r="RN49" s="138">
        <f t="shared" si="65"/>
        <v>0</v>
      </c>
      <c r="RO49" s="106"/>
      <c r="RP49" s="259">
        <f t="shared" si="66"/>
        <v>0</v>
      </c>
    </row>
    <row r="50" spans="1:484" x14ac:dyDescent="0.2">
      <c r="A50" s="89" t="str">
        <f>'Name List'!B50</f>
        <v>Jake Sprosen</v>
      </c>
      <c r="C50" s="98"/>
      <c r="D50" s="99"/>
      <c r="E50" s="329" t="str">
        <f t="shared" si="0"/>
        <v/>
      </c>
      <c r="F50" s="77"/>
      <c r="G50" s="78"/>
      <c r="H50" s="78"/>
      <c r="I50" s="79"/>
      <c r="J50" s="333" t="str">
        <f>IF(E50="","",'Name List'!$I$4)</f>
        <v/>
      </c>
      <c r="L50" s="98"/>
      <c r="M50" s="99"/>
      <c r="N50" s="100"/>
      <c r="O50" s="77"/>
      <c r="P50" s="78"/>
      <c r="Q50" s="78"/>
      <c r="R50" s="79"/>
      <c r="S50" s="67"/>
      <c r="U50" s="71"/>
      <c r="V50" s="72"/>
      <c r="W50" s="396" t="str">
        <f t="shared" si="2"/>
        <v/>
      </c>
      <c r="X50" s="77"/>
      <c r="Y50" s="78"/>
      <c r="Z50" s="78"/>
      <c r="AA50" s="79"/>
      <c r="AB50" s="333" t="str">
        <f>IF(W50="","",'Name List'!$I$4)</f>
        <v/>
      </c>
      <c r="AD50" s="98"/>
      <c r="AE50" s="99"/>
      <c r="AF50" s="329" t="str">
        <f t="shared" si="3"/>
        <v/>
      </c>
      <c r="AG50" s="77"/>
      <c r="AH50" s="78"/>
      <c r="AI50" s="78"/>
      <c r="AJ50" s="79"/>
      <c r="AK50" s="333" t="str">
        <f>IF(AF50="","",'Name List'!$I$4)</f>
        <v/>
      </c>
      <c r="AM50" s="98"/>
      <c r="AN50" s="99"/>
      <c r="AO50" s="329" t="str">
        <f t="shared" si="4"/>
        <v/>
      </c>
      <c r="AP50" s="77"/>
      <c r="AQ50" s="78"/>
      <c r="AR50" s="78"/>
      <c r="AS50" s="79"/>
      <c r="AT50" s="333" t="str">
        <f>IF(AO50="","",'Name List'!$I$4)</f>
        <v/>
      </c>
      <c r="AV50" s="458"/>
      <c r="AW50" s="401"/>
      <c r="AX50" s="400" t="str">
        <f t="shared" si="5"/>
        <v/>
      </c>
      <c r="AY50" s="77"/>
      <c r="AZ50" s="78"/>
      <c r="BA50" s="78"/>
      <c r="BB50" s="79"/>
      <c r="BC50" s="457" t="str">
        <f>IF(AX50="","",'Name List'!$I$4)</f>
        <v/>
      </c>
      <c r="BE50" s="71"/>
      <c r="BF50" s="72"/>
      <c r="BG50" s="383" t="str">
        <f t="shared" si="6"/>
        <v/>
      </c>
      <c r="BH50" s="77"/>
      <c r="BI50" s="78"/>
      <c r="BJ50" s="78"/>
      <c r="BK50" s="79"/>
      <c r="BL50" s="333" t="str">
        <f>IF(BG50="","",'Name List'!$I$4)</f>
        <v/>
      </c>
      <c r="BN50" s="98"/>
      <c r="BO50" s="99"/>
      <c r="BP50" s="100"/>
      <c r="BQ50" s="77"/>
      <c r="BR50" s="78"/>
      <c r="BS50" s="78"/>
      <c r="BT50" s="79"/>
      <c r="BU50" s="67"/>
      <c r="BW50" s="98"/>
      <c r="BX50" s="99"/>
      <c r="BY50" s="329" t="str">
        <f t="shared" si="8"/>
        <v/>
      </c>
      <c r="BZ50" s="77"/>
      <c r="CA50" s="78"/>
      <c r="CB50" s="78"/>
      <c r="CC50" s="79"/>
      <c r="CD50" s="333" t="str">
        <f>IF(BY50="","",'Name List'!$I$4)</f>
        <v/>
      </c>
      <c r="CF50" s="68"/>
      <c r="CG50" s="69"/>
      <c r="CH50" s="282" t="str">
        <f t="shared" si="49"/>
        <v/>
      </c>
      <c r="CI50" s="77"/>
      <c r="CJ50" s="78"/>
      <c r="CK50" s="78"/>
      <c r="CL50" s="79"/>
      <c r="CM50" s="333" t="str">
        <f>IF(CH50="","",'Name List'!$I$4)</f>
        <v/>
      </c>
      <c r="CO50" s="71"/>
      <c r="CP50" s="72"/>
      <c r="CQ50" s="383" t="str">
        <f t="shared" si="9"/>
        <v/>
      </c>
      <c r="CR50" s="77"/>
      <c r="CS50" s="78"/>
      <c r="CT50" s="78"/>
      <c r="CU50" s="79"/>
      <c r="CV50" s="333" t="str">
        <f>IF(CQ50="","",'Name List'!$I$4)</f>
        <v/>
      </c>
      <c r="CX50" s="98"/>
      <c r="CY50" s="99"/>
      <c r="CZ50" s="329" t="str">
        <f t="shared" si="10"/>
        <v/>
      </c>
      <c r="DA50" s="77"/>
      <c r="DB50" s="78"/>
      <c r="DC50" s="78"/>
      <c r="DD50" s="79"/>
      <c r="DE50" s="333" t="str">
        <f>IF(CZ50="","",'Name List'!$I$4)</f>
        <v/>
      </c>
      <c r="DG50" s="98"/>
      <c r="DH50" s="99"/>
      <c r="DI50" s="329" t="str">
        <f t="shared" si="11"/>
        <v/>
      </c>
      <c r="DJ50" s="77"/>
      <c r="DK50" s="78"/>
      <c r="DL50" s="78"/>
      <c r="DM50" s="79"/>
      <c r="DN50" s="333" t="str">
        <f>IF(DI50="","",'Name List'!$I$4)</f>
        <v/>
      </c>
      <c r="DP50" s="98"/>
      <c r="DQ50" s="99"/>
      <c r="DR50" s="329" t="str">
        <f t="shared" si="12"/>
        <v/>
      </c>
      <c r="DS50" s="77"/>
      <c r="DT50" s="78"/>
      <c r="DU50" s="78"/>
      <c r="DV50" s="79"/>
      <c r="DW50" s="333" t="str">
        <f>IF(DR50="","",'Name List'!$I$4)</f>
        <v/>
      </c>
      <c r="DY50" s="98"/>
      <c r="DZ50" s="99"/>
      <c r="EA50" s="329" t="str">
        <f t="shared" si="13"/>
        <v/>
      </c>
      <c r="EB50" s="77"/>
      <c r="EC50" s="78"/>
      <c r="ED50" s="78"/>
      <c r="EE50" s="79"/>
      <c r="EF50" s="333" t="str">
        <f>IF(EA50="","",'Name List'!$I$4)</f>
        <v/>
      </c>
      <c r="EH50" s="98"/>
      <c r="EI50" s="99"/>
      <c r="EJ50" s="329" t="str">
        <f t="shared" si="14"/>
        <v/>
      </c>
      <c r="EK50" s="77"/>
      <c r="EL50" s="78"/>
      <c r="EM50" s="78"/>
      <c r="EN50" s="79"/>
      <c r="EO50" s="333" t="str">
        <f>IF(EJ50="","",'Name List'!$I$4)</f>
        <v/>
      </c>
      <c r="EQ50" s="115"/>
      <c r="ER50" s="116"/>
      <c r="ES50" s="117"/>
      <c r="ET50" s="77"/>
      <c r="EU50" s="78"/>
      <c r="EV50" s="78"/>
      <c r="EW50" s="79"/>
      <c r="EX50" s="333" t="str">
        <f>IF(ES50="","",'Name List'!$I$4)</f>
        <v/>
      </c>
      <c r="EZ50" s="68"/>
      <c r="FA50" s="69"/>
      <c r="FB50" s="70"/>
      <c r="FC50" s="77"/>
      <c r="FD50" s="78"/>
      <c r="FE50" s="78"/>
      <c r="FF50" s="79"/>
      <c r="FG50" s="67"/>
      <c r="FI50" s="98"/>
      <c r="FJ50" s="99"/>
      <c r="FK50" s="329" t="str">
        <f t="shared" si="16"/>
        <v/>
      </c>
      <c r="FL50" s="77"/>
      <c r="FM50" s="78"/>
      <c r="FN50" s="78"/>
      <c r="FO50" s="79"/>
      <c r="FP50" s="333" t="str">
        <f>IF(FK50="","",'Name List'!$I$4)</f>
        <v/>
      </c>
      <c r="FR50" s="98"/>
      <c r="FS50" s="99"/>
      <c r="FT50" s="329" t="str">
        <f t="shared" si="17"/>
        <v/>
      </c>
      <c r="FU50" s="77"/>
      <c r="FV50" s="78"/>
      <c r="FW50" s="78"/>
      <c r="FX50" s="79"/>
      <c r="FY50" s="333" t="str">
        <f>IF(FT50="","",'Name List'!$I$4)</f>
        <v/>
      </c>
      <c r="GA50" s="98"/>
      <c r="GB50" s="99"/>
      <c r="GC50" s="329" t="str">
        <f t="shared" si="18"/>
        <v/>
      </c>
      <c r="GD50" s="77"/>
      <c r="GE50" s="78"/>
      <c r="GF50" s="78"/>
      <c r="GG50" s="79"/>
      <c r="GH50" s="333" t="str">
        <f>IF(GC50="","",'Name List'!$I$4)</f>
        <v/>
      </c>
      <c r="GJ50" s="98"/>
      <c r="GK50" s="99"/>
      <c r="GL50" s="329" t="str">
        <f t="shared" si="19"/>
        <v/>
      </c>
      <c r="GM50" s="77"/>
      <c r="GN50" s="78"/>
      <c r="GO50" s="78"/>
      <c r="GP50" s="79"/>
      <c r="GQ50" s="333" t="str">
        <f>IF(GL50="","",'Name List'!$I$4)</f>
        <v/>
      </c>
      <c r="GS50" s="68"/>
      <c r="GT50" s="69"/>
      <c r="GU50" s="70"/>
      <c r="GV50" s="77"/>
      <c r="GW50" s="78"/>
      <c r="GX50" s="78"/>
      <c r="GY50" s="79"/>
      <c r="GZ50" s="67"/>
      <c r="HB50" s="98"/>
      <c r="HC50" s="99"/>
      <c r="HD50" s="329" t="str">
        <f t="shared" si="21"/>
        <v/>
      </c>
      <c r="HE50" s="77"/>
      <c r="HF50" s="78"/>
      <c r="HG50" s="78"/>
      <c r="HH50" s="79"/>
      <c r="HI50" s="333" t="str">
        <f>IF(HD50="","",'Name List'!$I$4)</f>
        <v/>
      </c>
      <c r="HK50" s="71"/>
      <c r="HL50" s="72"/>
      <c r="HM50" s="383" t="str">
        <f t="shared" si="22"/>
        <v/>
      </c>
      <c r="HN50" s="77"/>
      <c r="HO50" s="78"/>
      <c r="HP50" s="78"/>
      <c r="HQ50" s="79"/>
      <c r="HR50" s="333" t="str">
        <f>IF(HM50="","",'Name List'!$I$4)</f>
        <v/>
      </c>
      <c r="HT50" s="68"/>
      <c r="HU50" s="69"/>
      <c r="HV50" s="70"/>
      <c r="HW50" s="77"/>
      <c r="HX50" s="78"/>
      <c r="HY50" s="78"/>
      <c r="HZ50" s="79"/>
      <c r="IA50" s="67"/>
      <c r="IC50" s="115"/>
      <c r="ID50" s="116"/>
      <c r="IE50" s="117"/>
      <c r="IF50" s="77"/>
      <c r="IG50" s="78"/>
      <c r="IH50" s="78"/>
      <c r="II50" s="79"/>
      <c r="IJ50" s="333" t="str">
        <f>IF(IE50="","",'Name List'!$I$4)</f>
        <v/>
      </c>
      <c r="IL50" s="98"/>
      <c r="IM50" s="99"/>
      <c r="IN50" s="100"/>
      <c r="IO50" s="77"/>
      <c r="IP50" s="78"/>
      <c r="IQ50" s="78"/>
      <c r="IR50" s="79"/>
      <c r="IS50" s="67"/>
      <c r="IU50" s="98"/>
      <c r="IV50" s="99"/>
      <c r="IW50" s="100"/>
      <c r="IX50" s="77"/>
      <c r="IY50" s="78"/>
      <c r="IZ50" s="78"/>
      <c r="JA50" s="79"/>
      <c r="JB50" s="67"/>
      <c r="JD50" s="98"/>
      <c r="JE50" s="99"/>
      <c r="JF50" s="100"/>
      <c r="JG50" s="77"/>
      <c r="JH50" s="78"/>
      <c r="JI50" s="78"/>
      <c r="JJ50" s="79"/>
      <c r="JK50" s="67"/>
      <c r="JM50" s="98"/>
      <c r="JN50" s="99"/>
      <c r="JO50" s="275"/>
      <c r="JP50" s="77"/>
      <c r="JQ50" s="78"/>
      <c r="JR50" s="78"/>
      <c r="JS50" s="79"/>
      <c r="JT50" s="67"/>
      <c r="JV50" s="98"/>
      <c r="JW50" s="99"/>
      <c r="JX50" s="100"/>
      <c r="JY50" s="77"/>
      <c r="JZ50" s="78"/>
      <c r="KA50" s="78"/>
      <c r="KB50" s="79"/>
      <c r="KC50" s="67"/>
      <c r="KE50" s="98"/>
      <c r="KF50" s="99"/>
      <c r="KG50" s="100"/>
      <c r="KH50" s="77"/>
      <c r="KI50" s="78"/>
      <c r="KJ50" s="78"/>
      <c r="KK50" s="79"/>
      <c r="KL50" s="67"/>
      <c r="KN50" s="68"/>
      <c r="KO50" s="69"/>
      <c r="KP50" s="70"/>
      <c r="KQ50" s="77"/>
      <c r="KR50" s="78"/>
      <c r="KS50" s="78"/>
      <c r="KT50" s="79"/>
      <c r="KU50" s="67"/>
      <c r="KW50" s="98"/>
      <c r="KX50" s="99"/>
      <c r="KY50" s="100"/>
      <c r="KZ50" s="77"/>
      <c r="LA50" s="78"/>
      <c r="LB50" s="78"/>
      <c r="LC50" s="79"/>
      <c r="LD50" s="67"/>
      <c r="LF50" s="71"/>
      <c r="LG50" s="72"/>
      <c r="LH50" s="73"/>
      <c r="LI50" s="77"/>
      <c r="LJ50" s="78"/>
      <c r="LK50" s="78"/>
      <c r="LL50" s="79"/>
      <c r="LM50" s="67"/>
      <c r="LO50" s="98"/>
      <c r="LP50" s="99"/>
      <c r="LQ50" s="329"/>
      <c r="LR50" s="77"/>
      <c r="LS50" s="78"/>
      <c r="LT50" s="78"/>
      <c r="LU50" s="79"/>
      <c r="LV50" s="67"/>
      <c r="LX50" s="98"/>
      <c r="LY50" s="99"/>
      <c r="LZ50" s="100"/>
      <c r="MA50" s="77"/>
      <c r="MB50" s="78"/>
      <c r="MC50" s="78"/>
      <c r="MD50" s="79"/>
      <c r="ME50" s="67"/>
      <c r="MG50" s="98"/>
      <c r="MH50" s="99"/>
      <c r="MI50" s="100"/>
      <c r="MJ50" s="77"/>
      <c r="MK50" s="78"/>
      <c r="ML50" s="78"/>
      <c r="MM50" s="79"/>
      <c r="MN50" s="67"/>
      <c r="MP50" s="98"/>
      <c r="MQ50" s="99"/>
      <c r="MR50" s="100"/>
      <c r="MS50" s="77"/>
      <c r="MT50" s="78"/>
      <c r="MU50" s="78"/>
      <c r="MV50" s="79"/>
      <c r="MW50" s="67"/>
      <c r="MY50" s="98"/>
      <c r="MZ50" s="99"/>
      <c r="NA50" s="100"/>
      <c r="NB50" s="77"/>
      <c r="NC50" s="78"/>
      <c r="ND50" s="78"/>
      <c r="NE50" s="79"/>
      <c r="NF50" s="67"/>
      <c r="NH50" s="98"/>
      <c r="NI50" s="99"/>
      <c r="NJ50" s="329"/>
      <c r="NK50" s="77"/>
      <c r="NL50" s="78"/>
      <c r="NM50" s="78"/>
      <c r="NN50" s="79"/>
      <c r="NO50" s="67"/>
      <c r="NQ50" s="98"/>
      <c r="NR50" s="99"/>
      <c r="NS50" s="100"/>
      <c r="NT50" s="77"/>
      <c r="NU50" s="78"/>
      <c r="NV50" s="78"/>
      <c r="NW50" s="79"/>
      <c r="NX50" s="67"/>
      <c r="NZ50" s="71"/>
      <c r="OA50" s="72"/>
      <c r="OB50" s="73"/>
      <c r="OC50" s="77"/>
      <c r="OD50" s="78"/>
      <c r="OE50" s="78"/>
      <c r="OF50" s="79"/>
      <c r="OG50" s="67"/>
      <c r="OI50" s="98"/>
      <c r="OJ50" s="99"/>
      <c r="OK50" s="329"/>
      <c r="OL50" s="77"/>
      <c r="OM50" s="78"/>
      <c r="ON50" s="78"/>
      <c r="OO50" s="79"/>
      <c r="OP50" s="67"/>
      <c r="OR50" s="71"/>
      <c r="OS50" s="72"/>
      <c r="OT50" s="73"/>
      <c r="OU50" s="77"/>
      <c r="OV50" s="78"/>
      <c r="OW50" s="78"/>
      <c r="OX50" s="79"/>
      <c r="OY50" s="67"/>
      <c r="PA50" s="98"/>
      <c r="PB50" s="99"/>
      <c r="PC50" s="100"/>
      <c r="PD50" s="77"/>
      <c r="PE50" s="78"/>
      <c r="PF50" s="78"/>
      <c r="PG50" s="79"/>
      <c r="PH50" s="67"/>
      <c r="PJ50" s="277"/>
      <c r="PK50" s="278"/>
      <c r="PL50" s="279"/>
      <c r="PM50" s="125"/>
      <c r="PN50" s="126"/>
      <c r="PO50" s="126"/>
      <c r="PP50" s="127"/>
      <c r="PQ50" s="128"/>
      <c r="PS50" s="403"/>
      <c r="PT50" s="404"/>
      <c r="PU50" s="405"/>
      <c r="PV50" s="330"/>
      <c r="PW50" s="331"/>
      <c r="PX50" s="331"/>
      <c r="PY50" s="332"/>
      <c r="PZ50" s="333"/>
      <c r="QB50" s="412"/>
      <c r="QC50" s="413"/>
      <c r="QD50" s="414"/>
      <c r="QE50" s="125"/>
      <c r="QF50" s="126"/>
      <c r="QG50" s="126"/>
      <c r="QH50" s="127"/>
      <c r="QI50" s="128"/>
      <c r="QK50" s="283"/>
      <c r="QL50" s="284"/>
      <c r="QM50" s="285"/>
      <c r="QN50" s="125"/>
      <c r="QO50" s="126"/>
      <c r="QP50" s="126"/>
      <c r="QQ50" s="127"/>
      <c r="QR50" s="128" t="str">
        <f>IF(QM50="","",'Name List'!$I$4)</f>
        <v/>
      </c>
      <c r="QS50" s="91"/>
      <c r="QT50" s="107">
        <f t="shared" si="50"/>
        <v>0</v>
      </c>
      <c r="QU50" s="130">
        <f t="shared" si="51"/>
        <v>0</v>
      </c>
      <c r="QV50" s="130">
        <f t="shared" si="52"/>
        <v>0</v>
      </c>
      <c r="QW50" s="108">
        <f t="shared" si="53"/>
        <v>0</v>
      </c>
      <c r="QY50" s="260">
        <f t="shared" si="54"/>
        <v>0</v>
      </c>
      <c r="RA50" s="141">
        <f t="shared" si="55"/>
        <v>0</v>
      </c>
      <c r="RB50" s="106">
        <f t="shared" si="56"/>
        <v>0</v>
      </c>
      <c r="RC50" s="106">
        <f t="shared" si="57"/>
        <v>0</v>
      </c>
      <c r="RD50" s="106">
        <f t="shared" si="58"/>
        <v>0</v>
      </c>
      <c r="RE50" s="106">
        <f t="shared" si="59"/>
        <v>0</v>
      </c>
      <c r="RF50" s="142">
        <f t="shared" si="60"/>
        <v>0</v>
      </c>
      <c r="RG50" s="106"/>
      <c r="RH50" s="139">
        <f t="shared" si="61"/>
        <v>0</v>
      </c>
      <c r="RI50" s="140">
        <f t="shared" si="62"/>
        <v>0</v>
      </c>
      <c r="RJ50" s="106"/>
      <c r="RK50" s="136">
        <f t="shared" si="63"/>
        <v>0</v>
      </c>
      <c r="RL50" s="106"/>
      <c r="RM50" s="137">
        <f t="shared" si="64"/>
        <v>0</v>
      </c>
      <c r="RN50" s="138">
        <f t="shared" si="65"/>
        <v>0</v>
      </c>
      <c r="RO50" s="106"/>
      <c r="RP50" s="259">
        <f t="shared" si="66"/>
        <v>0</v>
      </c>
    </row>
    <row r="51" spans="1:484" x14ac:dyDescent="0.2">
      <c r="A51" s="89" t="str">
        <f>'Name List'!B51</f>
        <v>Tosh Sprosen</v>
      </c>
      <c r="C51" s="98"/>
      <c r="D51" s="99"/>
      <c r="E51" s="329" t="str">
        <f t="shared" si="0"/>
        <v/>
      </c>
      <c r="F51" s="77"/>
      <c r="G51" s="78"/>
      <c r="H51" s="78"/>
      <c r="I51" s="79"/>
      <c r="J51" s="333" t="str">
        <f>IF(E51="","",'Name List'!$I$4)</f>
        <v/>
      </c>
      <c r="L51" s="98"/>
      <c r="M51" s="99"/>
      <c r="N51" s="100"/>
      <c r="O51" s="77"/>
      <c r="P51" s="78"/>
      <c r="Q51" s="78"/>
      <c r="R51" s="79"/>
      <c r="S51" s="67"/>
      <c r="U51" s="71"/>
      <c r="V51" s="72"/>
      <c r="W51" s="396" t="str">
        <f t="shared" si="2"/>
        <v/>
      </c>
      <c r="X51" s="77"/>
      <c r="Y51" s="78"/>
      <c r="Z51" s="78"/>
      <c r="AA51" s="79"/>
      <c r="AB51" s="333" t="str">
        <f>IF(W51="","",'Name List'!$I$4)</f>
        <v/>
      </c>
      <c r="AD51" s="98"/>
      <c r="AE51" s="99"/>
      <c r="AF51" s="329" t="str">
        <f t="shared" si="3"/>
        <v/>
      </c>
      <c r="AG51" s="77"/>
      <c r="AH51" s="78"/>
      <c r="AI51" s="78"/>
      <c r="AJ51" s="79"/>
      <c r="AK51" s="333" t="str">
        <f>IF(AF51="","",'Name List'!$I$4)</f>
        <v/>
      </c>
      <c r="AM51" s="98"/>
      <c r="AN51" s="99"/>
      <c r="AO51" s="329" t="str">
        <f t="shared" si="4"/>
        <v/>
      </c>
      <c r="AP51" s="77"/>
      <c r="AQ51" s="78"/>
      <c r="AR51" s="78"/>
      <c r="AS51" s="79"/>
      <c r="AT51" s="333" t="str">
        <f>IF(AO51="","",'Name List'!$I$4)</f>
        <v/>
      </c>
      <c r="AV51" s="458"/>
      <c r="AW51" s="401"/>
      <c r="AX51" s="400" t="str">
        <f t="shared" si="5"/>
        <v/>
      </c>
      <c r="AY51" s="77"/>
      <c r="AZ51" s="78"/>
      <c r="BA51" s="78"/>
      <c r="BB51" s="79"/>
      <c r="BC51" s="457" t="str">
        <f>IF(AX51="","",'Name List'!$I$4)</f>
        <v/>
      </c>
      <c r="BE51" s="71"/>
      <c r="BF51" s="72"/>
      <c r="BG51" s="383" t="str">
        <f t="shared" si="6"/>
        <v/>
      </c>
      <c r="BH51" s="77"/>
      <c r="BI51" s="78"/>
      <c r="BJ51" s="78"/>
      <c r="BK51" s="79"/>
      <c r="BL51" s="333" t="str">
        <f>IF(BG51="","",'Name List'!$I$4)</f>
        <v/>
      </c>
      <c r="BN51" s="98"/>
      <c r="BO51" s="99"/>
      <c r="BP51" s="100"/>
      <c r="BQ51" s="77"/>
      <c r="BR51" s="78"/>
      <c r="BS51" s="78"/>
      <c r="BT51" s="79"/>
      <c r="BU51" s="67"/>
      <c r="BW51" s="98"/>
      <c r="BX51" s="99"/>
      <c r="BY51" s="329" t="str">
        <f t="shared" si="8"/>
        <v/>
      </c>
      <c r="BZ51" s="77"/>
      <c r="CA51" s="78"/>
      <c r="CB51" s="78"/>
      <c r="CC51" s="79"/>
      <c r="CD51" s="333" t="str">
        <f>IF(BY51="","",'Name List'!$I$4)</f>
        <v/>
      </c>
      <c r="CF51" s="68"/>
      <c r="CG51" s="69"/>
      <c r="CH51" s="282" t="str">
        <f t="shared" si="49"/>
        <v/>
      </c>
      <c r="CI51" s="77"/>
      <c r="CJ51" s="78"/>
      <c r="CK51" s="78"/>
      <c r="CL51" s="79"/>
      <c r="CM51" s="333" t="str">
        <f>IF(CH51="","",'Name List'!$I$4)</f>
        <v/>
      </c>
      <c r="CO51" s="71"/>
      <c r="CP51" s="72"/>
      <c r="CQ51" s="383" t="str">
        <f t="shared" si="9"/>
        <v/>
      </c>
      <c r="CR51" s="77"/>
      <c r="CS51" s="78"/>
      <c r="CT51" s="78"/>
      <c r="CU51" s="79"/>
      <c r="CV51" s="333" t="str">
        <f>IF(CQ51="","",'Name List'!$I$4)</f>
        <v/>
      </c>
      <c r="CX51" s="98"/>
      <c r="CY51" s="99"/>
      <c r="CZ51" s="329" t="str">
        <f t="shared" si="10"/>
        <v/>
      </c>
      <c r="DA51" s="77"/>
      <c r="DB51" s="78"/>
      <c r="DC51" s="78"/>
      <c r="DD51" s="79"/>
      <c r="DE51" s="333" t="str">
        <f>IF(CZ51="","",'Name List'!$I$4)</f>
        <v/>
      </c>
      <c r="DG51" s="98"/>
      <c r="DH51" s="99"/>
      <c r="DI51" s="329" t="str">
        <f t="shared" si="11"/>
        <v/>
      </c>
      <c r="DJ51" s="77"/>
      <c r="DK51" s="78"/>
      <c r="DL51" s="78"/>
      <c r="DM51" s="79"/>
      <c r="DN51" s="333" t="str">
        <f>IF(DI51="","",'Name List'!$I$4)</f>
        <v/>
      </c>
      <c r="DP51" s="98"/>
      <c r="DQ51" s="99"/>
      <c r="DR51" s="329" t="str">
        <f t="shared" si="12"/>
        <v/>
      </c>
      <c r="DS51" s="77"/>
      <c r="DT51" s="78"/>
      <c r="DU51" s="78"/>
      <c r="DV51" s="79"/>
      <c r="DW51" s="333" t="str">
        <f>IF(DR51="","",'Name List'!$I$4)</f>
        <v/>
      </c>
      <c r="DY51" s="98"/>
      <c r="DZ51" s="99"/>
      <c r="EA51" s="329" t="str">
        <f t="shared" si="13"/>
        <v/>
      </c>
      <c r="EB51" s="77"/>
      <c r="EC51" s="78"/>
      <c r="ED51" s="78"/>
      <c r="EE51" s="79"/>
      <c r="EF51" s="333" t="str">
        <f>IF(EA51="","",'Name List'!$I$4)</f>
        <v/>
      </c>
      <c r="EH51" s="98"/>
      <c r="EI51" s="99"/>
      <c r="EJ51" s="329" t="str">
        <f t="shared" si="14"/>
        <v/>
      </c>
      <c r="EK51" s="77"/>
      <c r="EL51" s="78"/>
      <c r="EM51" s="78"/>
      <c r="EN51" s="79"/>
      <c r="EO51" s="333" t="str">
        <f>IF(EJ51="","",'Name List'!$I$4)</f>
        <v/>
      </c>
      <c r="EQ51" s="115"/>
      <c r="ER51" s="116"/>
      <c r="ES51" s="117"/>
      <c r="ET51" s="77"/>
      <c r="EU51" s="78"/>
      <c r="EV51" s="78"/>
      <c r="EW51" s="79"/>
      <c r="EX51" s="333" t="str">
        <f>IF(ES51="","",'Name List'!$I$4)</f>
        <v/>
      </c>
      <c r="EZ51" s="68"/>
      <c r="FA51" s="69"/>
      <c r="FB51" s="70"/>
      <c r="FC51" s="77"/>
      <c r="FD51" s="78"/>
      <c r="FE51" s="78"/>
      <c r="FF51" s="79"/>
      <c r="FG51" s="67"/>
      <c r="FI51" s="98"/>
      <c r="FJ51" s="99"/>
      <c r="FK51" s="329" t="str">
        <f t="shared" si="16"/>
        <v/>
      </c>
      <c r="FL51" s="77"/>
      <c r="FM51" s="78"/>
      <c r="FN51" s="78"/>
      <c r="FO51" s="79"/>
      <c r="FP51" s="333" t="str">
        <f>IF(FK51="","",'Name List'!$I$4)</f>
        <v/>
      </c>
      <c r="FR51" s="98"/>
      <c r="FS51" s="99"/>
      <c r="FT51" s="329" t="str">
        <f t="shared" si="17"/>
        <v/>
      </c>
      <c r="FU51" s="77"/>
      <c r="FV51" s="78"/>
      <c r="FW51" s="78"/>
      <c r="FX51" s="79"/>
      <c r="FY51" s="333" t="str">
        <f>IF(FT51="","",'Name List'!$I$4)</f>
        <v/>
      </c>
      <c r="GA51" s="98"/>
      <c r="GB51" s="99"/>
      <c r="GC51" s="329" t="str">
        <f t="shared" si="18"/>
        <v/>
      </c>
      <c r="GD51" s="77"/>
      <c r="GE51" s="78"/>
      <c r="GF51" s="78"/>
      <c r="GG51" s="79"/>
      <c r="GH51" s="333" t="str">
        <f>IF(GC51="","",'Name List'!$I$4)</f>
        <v/>
      </c>
      <c r="GJ51" s="98"/>
      <c r="GK51" s="99"/>
      <c r="GL51" s="329" t="str">
        <f t="shared" si="19"/>
        <v/>
      </c>
      <c r="GM51" s="77"/>
      <c r="GN51" s="78"/>
      <c r="GO51" s="78"/>
      <c r="GP51" s="79"/>
      <c r="GQ51" s="333" t="str">
        <f>IF(GL51="","",'Name List'!$I$4)</f>
        <v/>
      </c>
      <c r="GS51" s="68"/>
      <c r="GT51" s="69"/>
      <c r="GU51" s="70"/>
      <c r="GV51" s="77"/>
      <c r="GW51" s="78"/>
      <c r="GX51" s="78"/>
      <c r="GY51" s="79"/>
      <c r="GZ51" s="67"/>
      <c r="HB51" s="98"/>
      <c r="HC51" s="99"/>
      <c r="HD51" s="329" t="str">
        <f t="shared" si="21"/>
        <v/>
      </c>
      <c r="HE51" s="77"/>
      <c r="HF51" s="78"/>
      <c r="HG51" s="78"/>
      <c r="HH51" s="79"/>
      <c r="HI51" s="333" t="str">
        <f>IF(HD51="","",'Name List'!$I$4)</f>
        <v/>
      </c>
      <c r="HK51" s="71"/>
      <c r="HL51" s="72"/>
      <c r="HM51" s="383" t="str">
        <f t="shared" si="22"/>
        <v/>
      </c>
      <c r="HN51" s="77"/>
      <c r="HO51" s="78"/>
      <c r="HP51" s="78"/>
      <c r="HQ51" s="79"/>
      <c r="HR51" s="333" t="str">
        <f>IF(HM51="","",'Name List'!$I$4)</f>
        <v/>
      </c>
      <c r="HT51" s="68"/>
      <c r="HU51" s="69"/>
      <c r="HV51" s="70"/>
      <c r="HW51" s="77"/>
      <c r="HX51" s="78"/>
      <c r="HY51" s="78"/>
      <c r="HZ51" s="79"/>
      <c r="IA51" s="67"/>
      <c r="IC51" s="115"/>
      <c r="ID51" s="116"/>
      <c r="IE51" s="117"/>
      <c r="IF51" s="77"/>
      <c r="IG51" s="78"/>
      <c r="IH51" s="78"/>
      <c r="II51" s="79"/>
      <c r="IJ51" s="333" t="str">
        <f>IF(IE51="","",'Name List'!$I$4)</f>
        <v/>
      </c>
      <c r="IL51" s="98"/>
      <c r="IM51" s="99"/>
      <c r="IN51" s="100"/>
      <c r="IO51" s="77"/>
      <c r="IP51" s="78"/>
      <c r="IQ51" s="78"/>
      <c r="IR51" s="79"/>
      <c r="IS51" s="67"/>
      <c r="IU51" s="98"/>
      <c r="IV51" s="99"/>
      <c r="IW51" s="100"/>
      <c r="IX51" s="77"/>
      <c r="IY51" s="78"/>
      <c r="IZ51" s="78"/>
      <c r="JA51" s="79"/>
      <c r="JB51" s="67"/>
      <c r="JD51" s="98"/>
      <c r="JE51" s="99"/>
      <c r="JF51" s="100"/>
      <c r="JG51" s="77"/>
      <c r="JH51" s="78"/>
      <c r="JI51" s="78"/>
      <c r="JJ51" s="79"/>
      <c r="JK51" s="67"/>
      <c r="JM51" s="98"/>
      <c r="JN51" s="99"/>
      <c r="JO51" s="275"/>
      <c r="JP51" s="77"/>
      <c r="JQ51" s="78"/>
      <c r="JR51" s="78"/>
      <c r="JS51" s="79"/>
      <c r="JT51" s="67"/>
      <c r="JV51" s="98"/>
      <c r="JW51" s="99"/>
      <c r="JX51" s="100"/>
      <c r="JY51" s="77"/>
      <c r="JZ51" s="78"/>
      <c r="KA51" s="78"/>
      <c r="KB51" s="79"/>
      <c r="KC51" s="67"/>
      <c r="KE51" s="98"/>
      <c r="KF51" s="99"/>
      <c r="KG51" s="100"/>
      <c r="KH51" s="77"/>
      <c r="KI51" s="78"/>
      <c r="KJ51" s="78"/>
      <c r="KK51" s="79"/>
      <c r="KL51" s="67"/>
      <c r="KN51" s="68"/>
      <c r="KO51" s="69"/>
      <c r="KP51" s="70"/>
      <c r="KQ51" s="77"/>
      <c r="KR51" s="78"/>
      <c r="KS51" s="78"/>
      <c r="KT51" s="79"/>
      <c r="KU51" s="67"/>
      <c r="KW51" s="98"/>
      <c r="KX51" s="99"/>
      <c r="KY51" s="100"/>
      <c r="KZ51" s="77"/>
      <c r="LA51" s="78"/>
      <c r="LB51" s="78"/>
      <c r="LC51" s="79"/>
      <c r="LD51" s="67"/>
      <c r="LF51" s="71"/>
      <c r="LG51" s="72"/>
      <c r="LH51" s="73"/>
      <c r="LI51" s="77"/>
      <c r="LJ51" s="78"/>
      <c r="LK51" s="78"/>
      <c r="LL51" s="79"/>
      <c r="LM51" s="67"/>
      <c r="LO51" s="98"/>
      <c r="LP51" s="99"/>
      <c r="LQ51" s="329"/>
      <c r="LR51" s="77"/>
      <c r="LS51" s="78"/>
      <c r="LT51" s="78"/>
      <c r="LU51" s="79"/>
      <c r="LV51" s="67"/>
      <c r="LX51" s="98"/>
      <c r="LY51" s="99"/>
      <c r="LZ51" s="100"/>
      <c r="MA51" s="77"/>
      <c r="MB51" s="78"/>
      <c r="MC51" s="78"/>
      <c r="MD51" s="79"/>
      <c r="ME51" s="67"/>
      <c r="MG51" s="98"/>
      <c r="MH51" s="99"/>
      <c r="MI51" s="100"/>
      <c r="MJ51" s="77"/>
      <c r="MK51" s="78"/>
      <c r="ML51" s="78"/>
      <c r="MM51" s="79"/>
      <c r="MN51" s="67"/>
      <c r="MP51" s="98"/>
      <c r="MQ51" s="99"/>
      <c r="MR51" s="100"/>
      <c r="MS51" s="77"/>
      <c r="MT51" s="78"/>
      <c r="MU51" s="78"/>
      <c r="MV51" s="79"/>
      <c r="MW51" s="67"/>
      <c r="MY51" s="98"/>
      <c r="MZ51" s="99"/>
      <c r="NA51" s="100"/>
      <c r="NB51" s="77"/>
      <c r="NC51" s="78"/>
      <c r="ND51" s="78"/>
      <c r="NE51" s="79"/>
      <c r="NF51" s="67"/>
      <c r="NH51" s="98"/>
      <c r="NI51" s="99"/>
      <c r="NJ51" s="329"/>
      <c r="NK51" s="77"/>
      <c r="NL51" s="78"/>
      <c r="NM51" s="78"/>
      <c r="NN51" s="79"/>
      <c r="NO51" s="67"/>
      <c r="NQ51" s="98"/>
      <c r="NR51" s="99"/>
      <c r="NS51" s="100"/>
      <c r="NT51" s="77"/>
      <c r="NU51" s="78"/>
      <c r="NV51" s="78"/>
      <c r="NW51" s="79"/>
      <c r="NX51" s="67"/>
      <c r="NZ51" s="71"/>
      <c r="OA51" s="72"/>
      <c r="OB51" s="73"/>
      <c r="OC51" s="77"/>
      <c r="OD51" s="78"/>
      <c r="OE51" s="78"/>
      <c r="OF51" s="79"/>
      <c r="OG51" s="67"/>
      <c r="OI51" s="98"/>
      <c r="OJ51" s="99"/>
      <c r="OK51" s="329"/>
      <c r="OL51" s="77"/>
      <c r="OM51" s="78"/>
      <c r="ON51" s="78"/>
      <c r="OO51" s="79"/>
      <c r="OP51" s="67"/>
      <c r="OR51" s="71"/>
      <c r="OS51" s="72"/>
      <c r="OT51" s="73"/>
      <c r="OU51" s="77"/>
      <c r="OV51" s="78"/>
      <c r="OW51" s="78"/>
      <c r="OX51" s="79"/>
      <c r="OY51" s="67"/>
      <c r="PA51" s="98"/>
      <c r="PB51" s="99"/>
      <c r="PC51" s="100"/>
      <c r="PD51" s="77"/>
      <c r="PE51" s="78"/>
      <c r="PF51" s="78"/>
      <c r="PG51" s="79"/>
      <c r="PH51" s="67"/>
      <c r="PJ51" s="277"/>
      <c r="PK51" s="278"/>
      <c r="PL51" s="279"/>
      <c r="PM51" s="125"/>
      <c r="PN51" s="126"/>
      <c r="PO51" s="126"/>
      <c r="PP51" s="127"/>
      <c r="PQ51" s="128"/>
      <c r="PS51" s="403"/>
      <c r="PT51" s="404"/>
      <c r="PU51" s="405"/>
      <c r="PV51" s="330"/>
      <c r="PW51" s="331"/>
      <c r="PX51" s="331"/>
      <c r="PY51" s="332"/>
      <c r="PZ51" s="333"/>
      <c r="QB51" s="412"/>
      <c r="QC51" s="413"/>
      <c r="QD51" s="414"/>
      <c r="QE51" s="125"/>
      <c r="QF51" s="126"/>
      <c r="QG51" s="126"/>
      <c r="QH51" s="127"/>
      <c r="QI51" s="128"/>
      <c r="QK51" s="283"/>
      <c r="QL51" s="284"/>
      <c r="QM51" s="285"/>
      <c r="QN51" s="125"/>
      <c r="QO51" s="126"/>
      <c r="QP51" s="126"/>
      <c r="QQ51" s="127"/>
      <c r="QR51" s="128" t="str">
        <f>IF(QM51="","",'Name List'!$I$4)</f>
        <v/>
      </c>
      <c r="QS51" s="91"/>
      <c r="QT51" s="107">
        <f t="shared" si="50"/>
        <v>0</v>
      </c>
      <c r="QU51" s="130">
        <f t="shared" si="51"/>
        <v>0</v>
      </c>
      <c r="QV51" s="130">
        <f t="shared" si="52"/>
        <v>0</v>
      </c>
      <c r="QW51" s="108">
        <f t="shared" si="53"/>
        <v>0</v>
      </c>
      <c r="QY51" s="260">
        <f t="shared" si="54"/>
        <v>0</v>
      </c>
      <c r="RA51" s="141">
        <f t="shared" si="55"/>
        <v>0</v>
      </c>
      <c r="RB51" s="106">
        <f t="shared" si="56"/>
        <v>0</v>
      </c>
      <c r="RC51" s="106">
        <f t="shared" si="57"/>
        <v>0</v>
      </c>
      <c r="RD51" s="106">
        <f t="shared" si="58"/>
        <v>0</v>
      </c>
      <c r="RE51" s="106">
        <f t="shared" si="59"/>
        <v>0</v>
      </c>
      <c r="RF51" s="142">
        <f t="shared" si="60"/>
        <v>0</v>
      </c>
      <c r="RG51" s="106"/>
      <c r="RH51" s="139">
        <f t="shared" si="61"/>
        <v>0</v>
      </c>
      <c r="RI51" s="140">
        <f t="shared" si="62"/>
        <v>0</v>
      </c>
      <c r="RJ51" s="106"/>
      <c r="RK51" s="136">
        <f t="shared" si="63"/>
        <v>0</v>
      </c>
      <c r="RL51" s="106"/>
      <c r="RM51" s="137">
        <f t="shared" si="64"/>
        <v>0</v>
      </c>
      <c r="RN51" s="138">
        <f t="shared" si="65"/>
        <v>0</v>
      </c>
      <c r="RO51" s="106"/>
      <c r="RP51" s="259">
        <f t="shared" si="66"/>
        <v>0</v>
      </c>
    </row>
    <row r="52" spans="1:484" x14ac:dyDescent="0.2">
      <c r="A52" s="89" t="str">
        <f>'Name List'!B52</f>
        <v>Bill Sutton</v>
      </c>
      <c r="C52" s="98"/>
      <c r="D52" s="99"/>
      <c r="E52" s="329" t="str">
        <f t="shared" si="0"/>
        <v/>
      </c>
      <c r="F52" s="77"/>
      <c r="G52" s="78"/>
      <c r="H52" s="78"/>
      <c r="I52" s="79"/>
      <c r="J52" s="333" t="str">
        <f>IF(E52="","",'Name List'!$I$4)</f>
        <v/>
      </c>
      <c r="L52" s="98"/>
      <c r="M52" s="99"/>
      <c r="N52" s="100"/>
      <c r="O52" s="77"/>
      <c r="P52" s="78"/>
      <c r="Q52" s="78"/>
      <c r="R52" s="79"/>
      <c r="S52" s="67"/>
      <c r="U52" s="71"/>
      <c r="V52" s="72"/>
      <c r="W52" s="396" t="str">
        <f t="shared" si="2"/>
        <v/>
      </c>
      <c r="X52" s="77"/>
      <c r="Y52" s="78"/>
      <c r="Z52" s="78"/>
      <c r="AA52" s="79"/>
      <c r="AB52" s="333" t="str">
        <f>IF(W52="","",'Name List'!$I$4)</f>
        <v/>
      </c>
      <c r="AD52" s="98"/>
      <c r="AE52" s="99"/>
      <c r="AF52" s="329" t="str">
        <f t="shared" si="3"/>
        <v/>
      </c>
      <c r="AG52" s="77"/>
      <c r="AH52" s="78"/>
      <c r="AI52" s="78"/>
      <c r="AJ52" s="79"/>
      <c r="AK52" s="333" t="str">
        <f>IF(AF52="","",'Name List'!$I$4)</f>
        <v/>
      </c>
      <c r="AM52" s="98"/>
      <c r="AN52" s="99"/>
      <c r="AO52" s="329" t="str">
        <f t="shared" si="4"/>
        <v/>
      </c>
      <c r="AP52" s="77"/>
      <c r="AQ52" s="78"/>
      <c r="AR52" s="78"/>
      <c r="AS52" s="79"/>
      <c r="AT52" s="333" t="str">
        <f>IF(AO52="","",'Name List'!$I$4)</f>
        <v/>
      </c>
      <c r="AV52" s="458"/>
      <c r="AW52" s="401"/>
      <c r="AX52" s="400" t="str">
        <f t="shared" si="5"/>
        <v/>
      </c>
      <c r="AY52" s="77"/>
      <c r="AZ52" s="78"/>
      <c r="BA52" s="78"/>
      <c r="BB52" s="79"/>
      <c r="BC52" s="457" t="str">
        <f>IF(AX52="","",'Name List'!$I$4)</f>
        <v/>
      </c>
      <c r="BE52" s="71"/>
      <c r="BF52" s="72"/>
      <c r="BG52" s="383" t="str">
        <f t="shared" si="6"/>
        <v/>
      </c>
      <c r="BH52" s="77"/>
      <c r="BI52" s="78"/>
      <c r="BJ52" s="78"/>
      <c r="BK52" s="79"/>
      <c r="BL52" s="333" t="str">
        <f>IF(BG52="","",'Name List'!$I$4)</f>
        <v/>
      </c>
      <c r="BN52" s="98"/>
      <c r="BO52" s="99"/>
      <c r="BP52" s="100"/>
      <c r="BQ52" s="77"/>
      <c r="BR52" s="78"/>
      <c r="BS52" s="78"/>
      <c r="BT52" s="79"/>
      <c r="BU52" s="67"/>
      <c r="BW52" s="98"/>
      <c r="BX52" s="99"/>
      <c r="BY52" s="329" t="str">
        <f t="shared" si="8"/>
        <v/>
      </c>
      <c r="BZ52" s="77"/>
      <c r="CA52" s="78"/>
      <c r="CB52" s="78"/>
      <c r="CC52" s="79"/>
      <c r="CD52" s="333" t="str">
        <f>IF(BY52="","",'Name List'!$I$4)</f>
        <v/>
      </c>
      <c r="CF52" s="68"/>
      <c r="CG52" s="69"/>
      <c r="CH52" s="282" t="str">
        <f t="shared" si="49"/>
        <v/>
      </c>
      <c r="CI52" s="77"/>
      <c r="CJ52" s="78"/>
      <c r="CK52" s="78"/>
      <c r="CL52" s="79"/>
      <c r="CM52" s="333" t="str">
        <f>IF(CH52="","",'Name List'!$I$4)</f>
        <v/>
      </c>
      <c r="CO52" s="71"/>
      <c r="CP52" s="72"/>
      <c r="CQ52" s="383" t="str">
        <f t="shared" si="9"/>
        <v/>
      </c>
      <c r="CR52" s="77"/>
      <c r="CS52" s="78"/>
      <c r="CT52" s="78"/>
      <c r="CU52" s="79"/>
      <c r="CV52" s="333" t="str">
        <f>IF(CQ52="","",'Name List'!$I$4)</f>
        <v/>
      </c>
      <c r="CX52" s="98"/>
      <c r="CY52" s="99"/>
      <c r="CZ52" s="329" t="str">
        <f t="shared" si="10"/>
        <v/>
      </c>
      <c r="DA52" s="77"/>
      <c r="DB52" s="78"/>
      <c r="DC52" s="78"/>
      <c r="DD52" s="79"/>
      <c r="DE52" s="333" t="str">
        <f>IF(CZ52="","",'Name List'!$I$4)</f>
        <v/>
      </c>
      <c r="DG52" s="98"/>
      <c r="DH52" s="99"/>
      <c r="DI52" s="329" t="str">
        <f t="shared" si="11"/>
        <v/>
      </c>
      <c r="DJ52" s="77"/>
      <c r="DK52" s="78"/>
      <c r="DL52" s="78"/>
      <c r="DM52" s="79"/>
      <c r="DN52" s="333" t="str">
        <f>IF(DI52="","",'Name List'!$I$4)</f>
        <v/>
      </c>
      <c r="DP52" s="98"/>
      <c r="DQ52" s="99"/>
      <c r="DR52" s="329" t="str">
        <f t="shared" si="12"/>
        <v/>
      </c>
      <c r="DS52" s="77"/>
      <c r="DT52" s="78"/>
      <c r="DU52" s="78"/>
      <c r="DV52" s="79"/>
      <c r="DW52" s="333" t="str">
        <f>IF(DR52="","",'Name List'!$I$4)</f>
        <v/>
      </c>
      <c r="DY52" s="98"/>
      <c r="DZ52" s="99"/>
      <c r="EA52" s="329" t="str">
        <f t="shared" si="13"/>
        <v/>
      </c>
      <c r="EB52" s="77"/>
      <c r="EC52" s="78"/>
      <c r="ED52" s="78"/>
      <c r="EE52" s="79"/>
      <c r="EF52" s="333" t="str">
        <f>IF(EA52="","",'Name List'!$I$4)</f>
        <v/>
      </c>
      <c r="EH52" s="98"/>
      <c r="EI52" s="99"/>
      <c r="EJ52" s="329" t="str">
        <f t="shared" si="14"/>
        <v/>
      </c>
      <c r="EK52" s="77"/>
      <c r="EL52" s="78"/>
      <c r="EM52" s="78"/>
      <c r="EN52" s="79"/>
      <c r="EO52" s="333" t="str">
        <f>IF(EJ52="","",'Name List'!$I$4)</f>
        <v/>
      </c>
      <c r="EQ52" s="115"/>
      <c r="ER52" s="116"/>
      <c r="ES52" s="117"/>
      <c r="ET52" s="77"/>
      <c r="EU52" s="78"/>
      <c r="EV52" s="78"/>
      <c r="EW52" s="79"/>
      <c r="EX52" s="333" t="str">
        <f>IF(ES52="","",'Name List'!$I$4)</f>
        <v/>
      </c>
      <c r="EZ52" s="68"/>
      <c r="FA52" s="69"/>
      <c r="FB52" s="70"/>
      <c r="FC52" s="77"/>
      <c r="FD52" s="78"/>
      <c r="FE52" s="78"/>
      <c r="FF52" s="79"/>
      <c r="FG52" s="67"/>
      <c r="FI52" s="98"/>
      <c r="FJ52" s="99"/>
      <c r="FK52" s="329" t="str">
        <f t="shared" si="16"/>
        <v/>
      </c>
      <c r="FL52" s="77"/>
      <c r="FM52" s="78"/>
      <c r="FN52" s="78"/>
      <c r="FO52" s="79"/>
      <c r="FP52" s="333" t="str">
        <f>IF(FK52="","",'Name List'!$I$4)</f>
        <v/>
      </c>
      <c r="FR52" s="98"/>
      <c r="FS52" s="99"/>
      <c r="FT52" s="329" t="str">
        <f t="shared" si="17"/>
        <v/>
      </c>
      <c r="FU52" s="77"/>
      <c r="FV52" s="78"/>
      <c r="FW52" s="78"/>
      <c r="FX52" s="79"/>
      <c r="FY52" s="333" t="str">
        <f>IF(FT52="","",'Name List'!$I$4)</f>
        <v/>
      </c>
      <c r="GA52" s="98"/>
      <c r="GB52" s="99"/>
      <c r="GC52" s="329" t="str">
        <f t="shared" si="18"/>
        <v/>
      </c>
      <c r="GD52" s="77"/>
      <c r="GE52" s="78"/>
      <c r="GF52" s="78"/>
      <c r="GG52" s="79"/>
      <c r="GH52" s="333" t="str">
        <f>IF(GC52="","",'Name List'!$I$4)</f>
        <v/>
      </c>
      <c r="GJ52" s="98"/>
      <c r="GK52" s="99"/>
      <c r="GL52" s="329" t="str">
        <f t="shared" si="19"/>
        <v/>
      </c>
      <c r="GM52" s="77"/>
      <c r="GN52" s="78"/>
      <c r="GO52" s="78"/>
      <c r="GP52" s="79"/>
      <c r="GQ52" s="333" t="str">
        <f>IF(GL52="","",'Name List'!$I$4)</f>
        <v/>
      </c>
      <c r="GS52" s="68"/>
      <c r="GT52" s="69"/>
      <c r="GU52" s="70"/>
      <c r="GV52" s="77"/>
      <c r="GW52" s="78"/>
      <c r="GX52" s="78"/>
      <c r="GY52" s="79"/>
      <c r="GZ52" s="67"/>
      <c r="HB52" s="98"/>
      <c r="HC52" s="99"/>
      <c r="HD52" s="329" t="str">
        <f t="shared" si="21"/>
        <v/>
      </c>
      <c r="HE52" s="77"/>
      <c r="HF52" s="78"/>
      <c r="HG52" s="78"/>
      <c r="HH52" s="79"/>
      <c r="HI52" s="333" t="str">
        <f>IF(HD52="","",'Name List'!$I$4)</f>
        <v/>
      </c>
      <c r="HK52" s="71"/>
      <c r="HL52" s="72"/>
      <c r="HM52" s="383" t="str">
        <f t="shared" si="22"/>
        <v/>
      </c>
      <c r="HN52" s="77"/>
      <c r="HO52" s="78"/>
      <c r="HP52" s="78"/>
      <c r="HQ52" s="79"/>
      <c r="HR52" s="333" t="str">
        <f>IF(HM52="","",'Name List'!$I$4)</f>
        <v/>
      </c>
      <c r="HT52" s="68"/>
      <c r="HU52" s="69"/>
      <c r="HV52" s="70"/>
      <c r="HW52" s="77"/>
      <c r="HX52" s="78"/>
      <c r="HY52" s="78"/>
      <c r="HZ52" s="79"/>
      <c r="IA52" s="67"/>
      <c r="IC52" s="115"/>
      <c r="ID52" s="116"/>
      <c r="IE52" s="117"/>
      <c r="IF52" s="77"/>
      <c r="IG52" s="78"/>
      <c r="IH52" s="78"/>
      <c r="II52" s="79"/>
      <c r="IJ52" s="333" t="str">
        <f>IF(IE52="","",'Name List'!$I$4)</f>
        <v/>
      </c>
      <c r="IL52" s="98"/>
      <c r="IM52" s="99"/>
      <c r="IN52" s="100"/>
      <c r="IO52" s="77"/>
      <c r="IP52" s="78"/>
      <c r="IQ52" s="78"/>
      <c r="IR52" s="79"/>
      <c r="IS52" s="67"/>
      <c r="IU52" s="98"/>
      <c r="IV52" s="99"/>
      <c r="IW52" s="100"/>
      <c r="IX52" s="77"/>
      <c r="IY52" s="78"/>
      <c r="IZ52" s="78"/>
      <c r="JA52" s="79"/>
      <c r="JB52" s="67"/>
      <c r="JD52" s="98"/>
      <c r="JE52" s="99"/>
      <c r="JF52" s="100"/>
      <c r="JG52" s="77"/>
      <c r="JH52" s="78"/>
      <c r="JI52" s="78"/>
      <c r="JJ52" s="79"/>
      <c r="JK52" s="67"/>
      <c r="JM52" s="98"/>
      <c r="JN52" s="99"/>
      <c r="JO52" s="275"/>
      <c r="JP52" s="77"/>
      <c r="JQ52" s="78"/>
      <c r="JR52" s="78"/>
      <c r="JS52" s="79"/>
      <c r="JT52" s="67"/>
      <c r="JV52" s="98"/>
      <c r="JW52" s="99"/>
      <c r="JX52" s="100"/>
      <c r="JY52" s="77"/>
      <c r="JZ52" s="78"/>
      <c r="KA52" s="78"/>
      <c r="KB52" s="79"/>
      <c r="KC52" s="67"/>
      <c r="KE52" s="98"/>
      <c r="KF52" s="99"/>
      <c r="KG52" s="100"/>
      <c r="KH52" s="77"/>
      <c r="KI52" s="78"/>
      <c r="KJ52" s="78"/>
      <c r="KK52" s="79"/>
      <c r="KL52" s="67"/>
      <c r="KN52" s="68"/>
      <c r="KO52" s="69"/>
      <c r="KP52" s="70"/>
      <c r="KQ52" s="77"/>
      <c r="KR52" s="78"/>
      <c r="KS52" s="78"/>
      <c r="KT52" s="79"/>
      <c r="KU52" s="67"/>
      <c r="KW52" s="98"/>
      <c r="KX52" s="99"/>
      <c r="KY52" s="100"/>
      <c r="KZ52" s="77"/>
      <c r="LA52" s="78"/>
      <c r="LB52" s="78"/>
      <c r="LC52" s="79"/>
      <c r="LD52" s="67"/>
      <c r="LF52" s="71"/>
      <c r="LG52" s="72"/>
      <c r="LH52" s="73"/>
      <c r="LI52" s="77"/>
      <c r="LJ52" s="78"/>
      <c r="LK52" s="78"/>
      <c r="LL52" s="79"/>
      <c r="LM52" s="67"/>
      <c r="LO52" s="98"/>
      <c r="LP52" s="99"/>
      <c r="LQ52" s="329"/>
      <c r="LR52" s="77"/>
      <c r="LS52" s="78"/>
      <c r="LT52" s="78"/>
      <c r="LU52" s="79"/>
      <c r="LV52" s="67"/>
      <c r="LX52" s="98"/>
      <c r="LY52" s="99"/>
      <c r="LZ52" s="100"/>
      <c r="MA52" s="77"/>
      <c r="MB52" s="78"/>
      <c r="MC52" s="78"/>
      <c r="MD52" s="79"/>
      <c r="ME52" s="67"/>
      <c r="MG52" s="98"/>
      <c r="MH52" s="99"/>
      <c r="MI52" s="100"/>
      <c r="MJ52" s="77"/>
      <c r="MK52" s="78"/>
      <c r="ML52" s="78"/>
      <c r="MM52" s="79"/>
      <c r="MN52" s="67"/>
      <c r="MP52" s="98"/>
      <c r="MQ52" s="99"/>
      <c r="MR52" s="100"/>
      <c r="MS52" s="77"/>
      <c r="MT52" s="78"/>
      <c r="MU52" s="78"/>
      <c r="MV52" s="79"/>
      <c r="MW52" s="67"/>
      <c r="MY52" s="98"/>
      <c r="MZ52" s="99"/>
      <c r="NA52" s="100"/>
      <c r="NB52" s="77"/>
      <c r="NC52" s="78"/>
      <c r="ND52" s="78"/>
      <c r="NE52" s="79"/>
      <c r="NF52" s="67"/>
      <c r="NH52" s="98"/>
      <c r="NI52" s="99"/>
      <c r="NJ52" s="329"/>
      <c r="NK52" s="77"/>
      <c r="NL52" s="78"/>
      <c r="NM52" s="78"/>
      <c r="NN52" s="79"/>
      <c r="NO52" s="67"/>
      <c r="NQ52" s="98"/>
      <c r="NR52" s="99"/>
      <c r="NS52" s="100"/>
      <c r="NT52" s="77"/>
      <c r="NU52" s="78"/>
      <c r="NV52" s="78"/>
      <c r="NW52" s="79"/>
      <c r="NX52" s="67"/>
      <c r="NZ52" s="71"/>
      <c r="OA52" s="72"/>
      <c r="OB52" s="73"/>
      <c r="OC52" s="77"/>
      <c r="OD52" s="78"/>
      <c r="OE52" s="78"/>
      <c r="OF52" s="79"/>
      <c r="OG52" s="67"/>
      <c r="OI52" s="98"/>
      <c r="OJ52" s="99"/>
      <c r="OK52" s="329"/>
      <c r="OL52" s="77"/>
      <c r="OM52" s="78"/>
      <c r="ON52" s="78"/>
      <c r="OO52" s="79"/>
      <c r="OP52" s="67"/>
      <c r="OR52" s="71"/>
      <c r="OS52" s="72"/>
      <c r="OT52" s="73"/>
      <c r="OU52" s="77"/>
      <c r="OV52" s="78"/>
      <c r="OW52" s="78"/>
      <c r="OX52" s="79"/>
      <c r="OY52" s="67"/>
      <c r="PA52" s="98"/>
      <c r="PB52" s="99"/>
      <c r="PC52" s="100"/>
      <c r="PD52" s="77"/>
      <c r="PE52" s="78"/>
      <c r="PF52" s="78"/>
      <c r="PG52" s="79"/>
      <c r="PH52" s="67"/>
      <c r="PJ52" s="277"/>
      <c r="PK52" s="278"/>
      <c r="PL52" s="279"/>
      <c r="PM52" s="125"/>
      <c r="PN52" s="126"/>
      <c r="PO52" s="126"/>
      <c r="PP52" s="127"/>
      <c r="PQ52" s="128"/>
      <c r="PS52" s="403"/>
      <c r="PT52" s="404"/>
      <c r="PU52" s="405"/>
      <c r="PV52" s="330"/>
      <c r="PW52" s="331"/>
      <c r="PX52" s="331"/>
      <c r="PY52" s="332"/>
      <c r="PZ52" s="333"/>
      <c r="QB52" s="412"/>
      <c r="QC52" s="413"/>
      <c r="QD52" s="414"/>
      <c r="QE52" s="125"/>
      <c r="QF52" s="126"/>
      <c r="QG52" s="126"/>
      <c r="QH52" s="127"/>
      <c r="QI52" s="128"/>
      <c r="QK52" s="283"/>
      <c r="QL52" s="284"/>
      <c r="QM52" s="285"/>
      <c r="QN52" s="125"/>
      <c r="QO52" s="126"/>
      <c r="QP52" s="126"/>
      <c r="QQ52" s="127"/>
      <c r="QR52" s="128" t="str">
        <f>IF(QM52="","",'Name List'!$I$4)</f>
        <v/>
      </c>
      <c r="QS52" s="91"/>
      <c r="QT52" s="107">
        <f t="shared" si="50"/>
        <v>0</v>
      </c>
      <c r="QU52" s="130">
        <f t="shared" si="51"/>
        <v>0</v>
      </c>
      <c r="QV52" s="130">
        <f t="shared" si="52"/>
        <v>0</v>
      </c>
      <c r="QW52" s="108">
        <f t="shared" si="53"/>
        <v>0</v>
      </c>
      <c r="QY52" s="260">
        <f t="shared" si="54"/>
        <v>0</v>
      </c>
      <c r="RA52" s="141">
        <f t="shared" si="55"/>
        <v>0</v>
      </c>
      <c r="RB52" s="106">
        <f t="shared" si="56"/>
        <v>0</v>
      </c>
      <c r="RC52" s="106">
        <f t="shared" si="57"/>
        <v>0</v>
      </c>
      <c r="RD52" s="106">
        <f t="shared" si="58"/>
        <v>0</v>
      </c>
      <c r="RE52" s="106">
        <f t="shared" si="59"/>
        <v>0</v>
      </c>
      <c r="RF52" s="142">
        <f t="shared" si="60"/>
        <v>0</v>
      </c>
      <c r="RG52" s="106"/>
      <c r="RH52" s="139">
        <f t="shared" si="61"/>
        <v>0</v>
      </c>
      <c r="RI52" s="140">
        <f t="shared" si="62"/>
        <v>0</v>
      </c>
      <c r="RJ52" s="106"/>
      <c r="RK52" s="136">
        <f t="shared" si="63"/>
        <v>0</v>
      </c>
      <c r="RL52" s="106"/>
      <c r="RM52" s="137">
        <f t="shared" si="64"/>
        <v>0</v>
      </c>
      <c r="RN52" s="138">
        <f t="shared" si="65"/>
        <v>0</v>
      </c>
      <c r="RO52" s="106"/>
      <c r="RP52" s="259">
        <f t="shared" si="66"/>
        <v>0</v>
      </c>
    </row>
    <row r="53" spans="1:484" x14ac:dyDescent="0.2">
      <c r="A53" s="89" t="str">
        <f>'Name List'!B53</f>
        <v>Dan Thomas</v>
      </c>
      <c r="C53" s="98"/>
      <c r="D53" s="99"/>
      <c r="E53" s="329" t="str">
        <f t="shared" si="0"/>
        <v/>
      </c>
      <c r="F53" s="77"/>
      <c r="G53" s="78"/>
      <c r="H53" s="78"/>
      <c r="I53" s="79"/>
      <c r="J53" s="333" t="str">
        <f>IF(E53="","",'Name List'!$I$4)</f>
        <v/>
      </c>
      <c r="L53" s="98"/>
      <c r="M53" s="99"/>
      <c r="N53" s="100"/>
      <c r="O53" s="77"/>
      <c r="P53" s="78"/>
      <c r="Q53" s="78"/>
      <c r="R53" s="79"/>
      <c r="S53" s="67"/>
      <c r="U53" s="71"/>
      <c r="V53" s="72"/>
      <c r="W53" s="396" t="str">
        <f t="shared" si="2"/>
        <v/>
      </c>
      <c r="X53" s="77"/>
      <c r="Y53" s="78"/>
      <c r="Z53" s="78"/>
      <c r="AA53" s="79"/>
      <c r="AB53" s="333" t="str">
        <f>IF(W53="","",'Name List'!$I$4)</f>
        <v/>
      </c>
      <c r="AD53" s="98"/>
      <c r="AE53" s="99"/>
      <c r="AF53" s="329" t="str">
        <f t="shared" si="3"/>
        <v/>
      </c>
      <c r="AG53" s="77"/>
      <c r="AH53" s="78"/>
      <c r="AI53" s="78"/>
      <c r="AJ53" s="79"/>
      <c r="AK53" s="333" t="str">
        <f>IF(AF53="","",'Name List'!$I$4)</f>
        <v/>
      </c>
      <c r="AM53" s="98"/>
      <c r="AN53" s="99"/>
      <c r="AO53" s="329" t="str">
        <f t="shared" si="4"/>
        <v/>
      </c>
      <c r="AP53" s="77"/>
      <c r="AQ53" s="78"/>
      <c r="AR53" s="78"/>
      <c r="AS53" s="79"/>
      <c r="AT53" s="333" t="str">
        <f>IF(AO53="","",'Name List'!$I$4)</f>
        <v/>
      </c>
      <c r="AV53" s="458"/>
      <c r="AW53" s="401"/>
      <c r="AX53" s="400" t="str">
        <f t="shared" si="5"/>
        <v/>
      </c>
      <c r="AY53" s="77"/>
      <c r="AZ53" s="78"/>
      <c r="BA53" s="78"/>
      <c r="BB53" s="79"/>
      <c r="BC53" s="457" t="str">
        <f>IF(AX53="","",'Name List'!$I$4)</f>
        <v/>
      </c>
      <c r="BE53" s="71"/>
      <c r="BF53" s="72"/>
      <c r="BG53" s="383" t="str">
        <f t="shared" si="6"/>
        <v/>
      </c>
      <c r="BH53" s="77"/>
      <c r="BI53" s="78"/>
      <c r="BJ53" s="78"/>
      <c r="BK53" s="79"/>
      <c r="BL53" s="333" t="str">
        <f>IF(BG53="","",'Name List'!$I$4)</f>
        <v/>
      </c>
      <c r="BN53" s="98"/>
      <c r="BO53" s="99"/>
      <c r="BP53" s="100"/>
      <c r="BQ53" s="77"/>
      <c r="BR53" s="78"/>
      <c r="BS53" s="78"/>
      <c r="BT53" s="79"/>
      <c r="BU53" s="67"/>
      <c r="BW53" s="98"/>
      <c r="BX53" s="99"/>
      <c r="BY53" s="329" t="str">
        <f t="shared" si="8"/>
        <v/>
      </c>
      <c r="BZ53" s="77"/>
      <c r="CA53" s="78"/>
      <c r="CB53" s="78"/>
      <c r="CC53" s="79"/>
      <c r="CD53" s="333" t="str">
        <f>IF(BY53="","",'Name List'!$I$4)</f>
        <v/>
      </c>
      <c r="CF53" s="68"/>
      <c r="CG53" s="69"/>
      <c r="CH53" s="282" t="str">
        <f t="shared" si="49"/>
        <v/>
      </c>
      <c r="CI53" s="77"/>
      <c r="CJ53" s="78"/>
      <c r="CK53" s="78"/>
      <c r="CL53" s="79"/>
      <c r="CM53" s="333" t="str">
        <f>IF(CH53="","",'Name List'!$I$4)</f>
        <v/>
      </c>
      <c r="CO53" s="71"/>
      <c r="CP53" s="72"/>
      <c r="CQ53" s="383" t="str">
        <f t="shared" si="9"/>
        <v/>
      </c>
      <c r="CR53" s="77"/>
      <c r="CS53" s="78"/>
      <c r="CT53" s="78"/>
      <c r="CU53" s="79"/>
      <c r="CV53" s="333" t="str">
        <f>IF(CQ53="","",'Name List'!$I$4)</f>
        <v/>
      </c>
      <c r="CX53" s="98">
        <v>15</v>
      </c>
      <c r="CY53" s="99">
        <v>18</v>
      </c>
      <c r="CZ53" s="329">
        <f t="shared" si="10"/>
        <v>33</v>
      </c>
      <c r="DA53" s="77">
        <v>0</v>
      </c>
      <c r="DB53" s="78">
        <v>1</v>
      </c>
      <c r="DC53" s="78">
        <v>11</v>
      </c>
      <c r="DD53" s="79">
        <v>2</v>
      </c>
      <c r="DE53" s="333">
        <f>IF(CZ53="","",'Name List'!$I$4)</f>
        <v>5</v>
      </c>
      <c r="DG53" s="98"/>
      <c r="DH53" s="99"/>
      <c r="DI53" s="329" t="str">
        <f t="shared" si="11"/>
        <v/>
      </c>
      <c r="DJ53" s="77"/>
      <c r="DK53" s="78"/>
      <c r="DL53" s="78"/>
      <c r="DM53" s="79"/>
      <c r="DN53" s="333" t="str">
        <f>IF(DI53="","",'Name List'!$I$4)</f>
        <v/>
      </c>
      <c r="DP53" s="98"/>
      <c r="DQ53" s="99"/>
      <c r="DR53" s="329" t="str">
        <f t="shared" si="12"/>
        <v/>
      </c>
      <c r="DS53" s="77"/>
      <c r="DT53" s="78"/>
      <c r="DU53" s="78"/>
      <c r="DV53" s="79"/>
      <c r="DW53" s="333" t="str">
        <f>IF(DR53="","",'Name List'!$I$4)</f>
        <v/>
      </c>
      <c r="DY53" s="98"/>
      <c r="DZ53" s="99"/>
      <c r="EA53" s="329" t="str">
        <f t="shared" si="13"/>
        <v/>
      </c>
      <c r="EB53" s="77"/>
      <c r="EC53" s="78"/>
      <c r="ED53" s="78"/>
      <c r="EE53" s="79"/>
      <c r="EF53" s="333" t="str">
        <f>IF(EA53="","",'Name List'!$I$4)</f>
        <v/>
      </c>
      <c r="EH53" s="98"/>
      <c r="EI53" s="99"/>
      <c r="EJ53" s="329" t="str">
        <f t="shared" si="14"/>
        <v/>
      </c>
      <c r="EK53" s="77"/>
      <c r="EL53" s="78"/>
      <c r="EM53" s="78"/>
      <c r="EN53" s="79"/>
      <c r="EO53" s="333" t="str">
        <f>IF(EJ53="","",'Name List'!$I$4)</f>
        <v/>
      </c>
      <c r="EQ53" s="115"/>
      <c r="ER53" s="116"/>
      <c r="ES53" s="117">
        <v>78</v>
      </c>
      <c r="ET53" s="77">
        <v>0</v>
      </c>
      <c r="EU53" s="78">
        <v>2</v>
      </c>
      <c r="EV53" s="78">
        <v>9</v>
      </c>
      <c r="EW53" s="79"/>
      <c r="EX53" s="333">
        <f>IF(ES53="","",'Name List'!$I$4)</f>
        <v>5</v>
      </c>
      <c r="EZ53" s="68"/>
      <c r="FA53" s="69"/>
      <c r="FB53" s="70"/>
      <c r="FC53" s="77"/>
      <c r="FD53" s="78"/>
      <c r="FE53" s="78"/>
      <c r="FF53" s="79"/>
      <c r="FG53" s="67"/>
      <c r="FI53" s="98"/>
      <c r="FJ53" s="99"/>
      <c r="FK53" s="329" t="str">
        <f t="shared" si="16"/>
        <v/>
      </c>
      <c r="FL53" s="77"/>
      <c r="FM53" s="78"/>
      <c r="FN53" s="78"/>
      <c r="FO53" s="79"/>
      <c r="FP53" s="333" t="str">
        <f>IF(FK53="","",'Name List'!$I$4)</f>
        <v/>
      </c>
      <c r="FR53" s="98"/>
      <c r="FS53" s="99"/>
      <c r="FT53" s="329" t="str">
        <f t="shared" si="17"/>
        <v/>
      </c>
      <c r="FU53" s="77"/>
      <c r="FV53" s="78"/>
      <c r="FW53" s="78"/>
      <c r="FX53" s="79"/>
      <c r="FY53" s="333" t="str">
        <f>IF(FT53="","",'Name List'!$I$4)</f>
        <v/>
      </c>
      <c r="GA53" s="98"/>
      <c r="GB53" s="99"/>
      <c r="GC53" s="329" t="str">
        <f t="shared" si="18"/>
        <v/>
      </c>
      <c r="GD53" s="77"/>
      <c r="GE53" s="78"/>
      <c r="GF53" s="78"/>
      <c r="GG53" s="79"/>
      <c r="GH53" s="333" t="str">
        <f>IF(GC53="","",'Name List'!$I$4)</f>
        <v/>
      </c>
      <c r="GJ53" s="98"/>
      <c r="GK53" s="99"/>
      <c r="GL53" s="329" t="str">
        <f t="shared" si="19"/>
        <v/>
      </c>
      <c r="GM53" s="77"/>
      <c r="GN53" s="78"/>
      <c r="GO53" s="78"/>
      <c r="GP53" s="79"/>
      <c r="GQ53" s="333" t="str">
        <f>IF(GL53="","",'Name List'!$I$4)</f>
        <v/>
      </c>
      <c r="GS53" s="68"/>
      <c r="GT53" s="69"/>
      <c r="GU53" s="70"/>
      <c r="GV53" s="77"/>
      <c r="GW53" s="78"/>
      <c r="GX53" s="78"/>
      <c r="GY53" s="79"/>
      <c r="GZ53" s="67"/>
      <c r="HB53" s="98"/>
      <c r="HC53" s="99"/>
      <c r="HD53" s="329" t="str">
        <f t="shared" si="21"/>
        <v/>
      </c>
      <c r="HE53" s="77"/>
      <c r="HF53" s="78"/>
      <c r="HG53" s="78"/>
      <c r="HH53" s="79"/>
      <c r="HI53" s="333" t="str">
        <f>IF(HD53="","",'Name List'!$I$4)</f>
        <v/>
      </c>
      <c r="HK53" s="71"/>
      <c r="HL53" s="72"/>
      <c r="HM53" s="383" t="str">
        <f t="shared" si="22"/>
        <v/>
      </c>
      <c r="HN53" s="77"/>
      <c r="HO53" s="78"/>
      <c r="HP53" s="78"/>
      <c r="HQ53" s="79"/>
      <c r="HR53" s="333" t="str">
        <f>IF(HM53="","",'Name List'!$I$4)</f>
        <v/>
      </c>
      <c r="HT53" s="68"/>
      <c r="HU53" s="69"/>
      <c r="HV53" s="70"/>
      <c r="HW53" s="77"/>
      <c r="HX53" s="78"/>
      <c r="HY53" s="78"/>
      <c r="HZ53" s="79"/>
      <c r="IA53" s="67"/>
      <c r="IC53" s="115"/>
      <c r="ID53" s="116"/>
      <c r="IE53" s="117"/>
      <c r="IF53" s="77"/>
      <c r="IG53" s="78"/>
      <c r="IH53" s="78"/>
      <c r="II53" s="79"/>
      <c r="IJ53" s="333" t="str">
        <f>IF(IE53="","",'Name List'!$I$4)</f>
        <v/>
      </c>
      <c r="IL53" s="98"/>
      <c r="IM53" s="99"/>
      <c r="IN53" s="100"/>
      <c r="IO53" s="77"/>
      <c r="IP53" s="78"/>
      <c r="IQ53" s="78"/>
      <c r="IR53" s="79"/>
      <c r="IS53" s="67"/>
      <c r="IU53" s="98"/>
      <c r="IV53" s="99"/>
      <c r="IW53" s="100"/>
      <c r="IX53" s="77"/>
      <c r="IY53" s="78"/>
      <c r="IZ53" s="78"/>
      <c r="JA53" s="79"/>
      <c r="JB53" s="67"/>
      <c r="JD53" s="98"/>
      <c r="JE53" s="99"/>
      <c r="JF53" s="100"/>
      <c r="JG53" s="77"/>
      <c r="JH53" s="78"/>
      <c r="JI53" s="78"/>
      <c r="JJ53" s="79"/>
      <c r="JK53" s="67"/>
      <c r="JM53" s="98"/>
      <c r="JN53" s="99"/>
      <c r="JO53" s="275"/>
      <c r="JP53" s="77"/>
      <c r="JQ53" s="78"/>
      <c r="JR53" s="78"/>
      <c r="JS53" s="79"/>
      <c r="JT53" s="67"/>
      <c r="JV53" s="98"/>
      <c r="JW53" s="99"/>
      <c r="JX53" s="100"/>
      <c r="JY53" s="77"/>
      <c r="JZ53" s="78"/>
      <c r="KA53" s="78"/>
      <c r="KB53" s="79"/>
      <c r="KC53" s="67"/>
      <c r="KE53" s="98"/>
      <c r="KF53" s="99"/>
      <c r="KG53" s="100"/>
      <c r="KH53" s="77"/>
      <c r="KI53" s="78"/>
      <c r="KJ53" s="78"/>
      <c r="KK53" s="79"/>
      <c r="KL53" s="67"/>
      <c r="KN53" s="68"/>
      <c r="KO53" s="69"/>
      <c r="KP53" s="70"/>
      <c r="KQ53" s="77"/>
      <c r="KR53" s="78"/>
      <c r="KS53" s="78"/>
      <c r="KT53" s="79"/>
      <c r="KU53" s="67"/>
      <c r="KW53" s="98"/>
      <c r="KX53" s="99"/>
      <c r="KY53" s="100"/>
      <c r="KZ53" s="77"/>
      <c r="LA53" s="78"/>
      <c r="LB53" s="78"/>
      <c r="LC53" s="79"/>
      <c r="LD53" s="67"/>
      <c r="LF53" s="71"/>
      <c r="LG53" s="72"/>
      <c r="LH53" s="73"/>
      <c r="LI53" s="77"/>
      <c r="LJ53" s="78"/>
      <c r="LK53" s="78"/>
      <c r="LL53" s="79"/>
      <c r="LM53" s="67"/>
      <c r="LO53" s="98"/>
      <c r="LP53" s="99"/>
      <c r="LQ53" s="329"/>
      <c r="LR53" s="77"/>
      <c r="LS53" s="78"/>
      <c r="LT53" s="78"/>
      <c r="LU53" s="79"/>
      <c r="LV53" s="67"/>
      <c r="LX53" s="98"/>
      <c r="LY53" s="99"/>
      <c r="LZ53" s="100"/>
      <c r="MA53" s="77"/>
      <c r="MB53" s="78"/>
      <c r="MC53" s="78"/>
      <c r="MD53" s="79"/>
      <c r="ME53" s="67"/>
      <c r="MG53" s="98"/>
      <c r="MH53" s="99"/>
      <c r="MI53" s="100"/>
      <c r="MJ53" s="77"/>
      <c r="MK53" s="78"/>
      <c r="ML53" s="78"/>
      <c r="MM53" s="79"/>
      <c r="MN53" s="67"/>
      <c r="MP53" s="98"/>
      <c r="MQ53" s="99"/>
      <c r="MR53" s="100"/>
      <c r="MS53" s="77"/>
      <c r="MT53" s="78"/>
      <c r="MU53" s="78"/>
      <c r="MV53" s="79"/>
      <c r="MW53" s="67"/>
      <c r="MY53" s="98"/>
      <c r="MZ53" s="99"/>
      <c r="NA53" s="100"/>
      <c r="NB53" s="77"/>
      <c r="NC53" s="78"/>
      <c r="ND53" s="78"/>
      <c r="NE53" s="79"/>
      <c r="NF53" s="67"/>
      <c r="NH53" s="98"/>
      <c r="NI53" s="99"/>
      <c r="NJ53" s="329"/>
      <c r="NK53" s="77"/>
      <c r="NL53" s="78"/>
      <c r="NM53" s="78"/>
      <c r="NN53" s="79"/>
      <c r="NO53" s="67"/>
      <c r="NQ53" s="98"/>
      <c r="NR53" s="99"/>
      <c r="NS53" s="100"/>
      <c r="NT53" s="77"/>
      <c r="NU53" s="78"/>
      <c r="NV53" s="78"/>
      <c r="NW53" s="79"/>
      <c r="NX53" s="67"/>
      <c r="NZ53" s="71"/>
      <c r="OA53" s="72"/>
      <c r="OB53" s="73"/>
      <c r="OC53" s="77"/>
      <c r="OD53" s="78"/>
      <c r="OE53" s="78"/>
      <c r="OF53" s="79"/>
      <c r="OG53" s="67"/>
      <c r="OI53" s="98"/>
      <c r="OJ53" s="99"/>
      <c r="OK53" s="329"/>
      <c r="OL53" s="77"/>
      <c r="OM53" s="78"/>
      <c r="ON53" s="78"/>
      <c r="OO53" s="79"/>
      <c r="OP53" s="67"/>
      <c r="OR53" s="71"/>
      <c r="OS53" s="72"/>
      <c r="OT53" s="73"/>
      <c r="OU53" s="77"/>
      <c r="OV53" s="78"/>
      <c r="OW53" s="78"/>
      <c r="OX53" s="79"/>
      <c r="OY53" s="67"/>
      <c r="PA53" s="98"/>
      <c r="PB53" s="99"/>
      <c r="PC53" s="100"/>
      <c r="PD53" s="77"/>
      <c r="PE53" s="78"/>
      <c r="PF53" s="78"/>
      <c r="PG53" s="79"/>
      <c r="PH53" s="67"/>
      <c r="PJ53" s="277"/>
      <c r="PK53" s="278"/>
      <c r="PL53" s="279"/>
      <c r="PM53" s="125"/>
      <c r="PN53" s="126"/>
      <c r="PO53" s="126"/>
      <c r="PP53" s="127"/>
      <c r="PQ53" s="128"/>
      <c r="PS53" s="403"/>
      <c r="PT53" s="404"/>
      <c r="PU53" s="405"/>
      <c r="PV53" s="330"/>
      <c r="PW53" s="331"/>
      <c r="PX53" s="331"/>
      <c r="PY53" s="332"/>
      <c r="PZ53" s="333"/>
      <c r="QB53" s="412"/>
      <c r="QC53" s="413"/>
      <c r="QD53" s="414"/>
      <c r="QE53" s="125"/>
      <c r="QF53" s="126"/>
      <c r="QG53" s="126"/>
      <c r="QH53" s="127"/>
      <c r="QI53" s="128"/>
      <c r="QK53" s="283"/>
      <c r="QL53" s="284"/>
      <c r="QM53" s="285"/>
      <c r="QN53" s="125"/>
      <c r="QO53" s="126"/>
      <c r="QP53" s="126"/>
      <c r="QQ53" s="127"/>
      <c r="QR53" s="128" t="str">
        <f>IF(QM53="","",'Name List'!$I$4)</f>
        <v/>
      </c>
      <c r="QS53" s="91"/>
      <c r="QT53" s="107">
        <f t="shared" si="50"/>
        <v>0</v>
      </c>
      <c r="QU53" s="130">
        <f t="shared" si="51"/>
        <v>3</v>
      </c>
      <c r="QV53" s="130">
        <f t="shared" si="52"/>
        <v>20</v>
      </c>
      <c r="QW53" s="108">
        <f t="shared" si="53"/>
        <v>2</v>
      </c>
      <c r="QY53" s="260">
        <f t="shared" si="54"/>
        <v>1</v>
      </c>
      <c r="RA53" s="141">
        <f t="shared" si="55"/>
        <v>15</v>
      </c>
      <c r="RB53" s="106">
        <f t="shared" si="56"/>
        <v>18</v>
      </c>
      <c r="RC53" s="106">
        <f t="shared" si="57"/>
        <v>33</v>
      </c>
      <c r="RD53" s="106">
        <f t="shared" si="58"/>
        <v>15</v>
      </c>
      <c r="RE53" s="106">
        <f t="shared" si="59"/>
        <v>18</v>
      </c>
      <c r="RF53" s="142">
        <f t="shared" si="60"/>
        <v>33</v>
      </c>
      <c r="RG53" s="106"/>
      <c r="RH53" s="139">
        <f t="shared" si="61"/>
        <v>0</v>
      </c>
      <c r="RI53" s="140">
        <f t="shared" si="62"/>
        <v>0</v>
      </c>
      <c r="RJ53" s="106"/>
      <c r="RK53" s="136">
        <f t="shared" si="63"/>
        <v>33</v>
      </c>
      <c r="RL53" s="106"/>
      <c r="RM53" s="137">
        <f t="shared" si="64"/>
        <v>78</v>
      </c>
      <c r="RN53" s="138">
        <f t="shared" si="65"/>
        <v>78</v>
      </c>
      <c r="RO53" s="106"/>
      <c r="RP53" s="259">
        <f t="shared" si="66"/>
        <v>1</v>
      </c>
    </row>
    <row r="54" spans="1:484" x14ac:dyDescent="0.2">
      <c r="A54" s="89" t="str">
        <f>'Name List'!B54</f>
        <v>Andy Thompson</v>
      </c>
      <c r="C54" s="98"/>
      <c r="D54" s="99"/>
      <c r="E54" s="329" t="str">
        <f t="shared" si="0"/>
        <v/>
      </c>
      <c r="F54" s="77"/>
      <c r="G54" s="78"/>
      <c r="H54" s="78"/>
      <c r="I54" s="79"/>
      <c r="J54" s="333" t="str">
        <f>IF(E54="","",'Name List'!$I$4)</f>
        <v/>
      </c>
      <c r="L54" s="98"/>
      <c r="M54" s="99"/>
      <c r="N54" s="100"/>
      <c r="O54" s="77"/>
      <c r="P54" s="78"/>
      <c r="Q54" s="78"/>
      <c r="R54" s="79"/>
      <c r="S54" s="67"/>
      <c r="U54" s="71"/>
      <c r="V54" s="72"/>
      <c r="W54" s="396" t="str">
        <f t="shared" si="2"/>
        <v/>
      </c>
      <c r="X54" s="77"/>
      <c r="Y54" s="78"/>
      <c r="Z54" s="78"/>
      <c r="AA54" s="79"/>
      <c r="AB54" s="333" t="str">
        <f>IF(W54="","",'Name List'!$I$4)</f>
        <v/>
      </c>
      <c r="AD54" s="98"/>
      <c r="AE54" s="99"/>
      <c r="AF54" s="329" t="str">
        <f t="shared" si="3"/>
        <v/>
      </c>
      <c r="AG54" s="77"/>
      <c r="AH54" s="78"/>
      <c r="AI54" s="78"/>
      <c r="AJ54" s="79"/>
      <c r="AK54" s="333" t="str">
        <f>IF(AF54="","",'Name List'!$I$4)</f>
        <v/>
      </c>
      <c r="AM54" s="98"/>
      <c r="AN54" s="99"/>
      <c r="AO54" s="329" t="str">
        <f t="shared" si="4"/>
        <v/>
      </c>
      <c r="AP54" s="77"/>
      <c r="AQ54" s="78"/>
      <c r="AR54" s="78"/>
      <c r="AS54" s="79"/>
      <c r="AT54" s="333" t="str">
        <f>IF(AO54="","",'Name List'!$I$4)</f>
        <v/>
      </c>
      <c r="AV54" s="458"/>
      <c r="AW54" s="401"/>
      <c r="AX54" s="400" t="str">
        <f t="shared" si="5"/>
        <v/>
      </c>
      <c r="AY54" s="77"/>
      <c r="AZ54" s="78"/>
      <c r="BA54" s="78"/>
      <c r="BB54" s="79"/>
      <c r="BC54" s="457" t="str">
        <f>IF(AX54="","",'Name List'!$I$4)</f>
        <v/>
      </c>
      <c r="BE54" s="71"/>
      <c r="BF54" s="72"/>
      <c r="BG54" s="383" t="str">
        <f t="shared" si="6"/>
        <v/>
      </c>
      <c r="BH54" s="77"/>
      <c r="BI54" s="78"/>
      <c r="BJ54" s="78"/>
      <c r="BK54" s="79"/>
      <c r="BL54" s="333" t="str">
        <f>IF(BG54="","",'Name List'!$I$4)</f>
        <v/>
      </c>
      <c r="BN54" s="98"/>
      <c r="BO54" s="99"/>
      <c r="BP54" s="100"/>
      <c r="BQ54" s="77"/>
      <c r="BR54" s="78"/>
      <c r="BS54" s="78"/>
      <c r="BT54" s="79"/>
      <c r="BU54" s="67"/>
      <c r="BW54" s="98"/>
      <c r="BX54" s="99"/>
      <c r="BY54" s="329" t="str">
        <f t="shared" si="8"/>
        <v/>
      </c>
      <c r="BZ54" s="77"/>
      <c r="CA54" s="78"/>
      <c r="CB54" s="78"/>
      <c r="CC54" s="79"/>
      <c r="CD54" s="333" t="str">
        <f>IF(BY54="","",'Name List'!$I$4)</f>
        <v/>
      </c>
      <c r="CF54" s="68"/>
      <c r="CG54" s="69"/>
      <c r="CH54" s="282" t="str">
        <f t="shared" si="49"/>
        <v/>
      </c>
      <c r="CI54" s="77"/>
      <c r="CJ54" s="78"/>
      <c r="CK54" s="78"/>
      <c r="CL54" s="79"/>
      <c r="CM54" s="333" t="str">
        <f>IF(CH54="","",'Name List'!$I$4)</f>
        <v/>
      </c>
      <c r="CO54" s="71"/>
      <c r="CP54" s="72"/>
      <c r="CQ54" s="383" t="str">
        <f t="shared" si="9"/>
        <v/>
      </c>
      <c r="CR54" s="77"/>
      <c r="CS54" s="78"/>
      <c r="CT54" s="78"/>
      <c r="CU54" s="79"/>
      <c r="CV54" s="333" t="str">
        <f>IF(CQ54="","",'Name List'!$I$4)</f>
        <v/>
      </c>
      <c r="CX54" s="98"/>
      <c r="CY54" s="99"/>
      <c r="CZ54" s="329" t="str">
        <f t="shared" si="10"/>
        <v/>
      </c>
      <c r="DA54" s="77"/>
      <c r="DB54" s="78"/>
      <c r="DC54" s="78"/>
      <c r="DD54" s="79"/>
      <c r="DE54" s="333" t="str">
        <f>IF(CZ54="","",'Name List'!$I$4)</f>
        <v/>
      </c>
      <c r="DG54" s="98"/>
      <c r="DH54" s="99"/>
      <c r="DI54" s="329" t="str">
        <f t="shared" si="11"/>
        <v/>
      </c>
      <c r="DJ54" s="77"/>
      <c r="DK54" s="78"/>
      <c r="DL54" s="78"/>
      <c r="DM54" s="79"/>
      <c r="DN54" s="333" t="str">
        <f>IF(DI54="","",'Name List'!$I$4)</f>
        <v/>
      </c>
      <c r="DP54" s="98"/>
      <c r="DQ54" s="99"/>
      <c r="DR54" s="329" t="str">
        <f t="shared" si="12"/>
        <v/>
      </c>
      <c r="DS54" s="77"/>
      <c r="DT54" s="78"/>
      <c r="DU54" s="78"/>
      <c r="DV54" s="79"/>
      <c r="DW54" s="333" t="str">
        <f>IF(DR54="","",'Name List'!$I$4)</f>
        <v/>
      </c>
      <c r="DY54" s="98"/>
      <c r="DZ54" s="99"/>
      <c r="EA54" s="329" t="str">
        <f t="shared" si="13"/>
        <v/>
      </c>
      <c r="EB54" s="77"/>
      <c r="EC54" s="78"/>
      <c r="ED54" s="78"/>
      <c r="EE54" s="79"/>
      <c r="EF54" s="333" t="str">
        <f>IF(EA54="","",'Name List'!$I$4)</f>
        <v/>
      </c>
      <c r="EH54" s="98"/>
      <c r="EI54" s="99"/>
      <c r="EJ54" s="329" t="str">
        <f t="shared" si="14"/>
        <v/>
      </c>
      <c r="EK54" s="77"/>
      <c r="EL54" s="78"/>
      <c r="EM54" s="78"/>
      <c r="EN54" s="79"/>
      <c r="EO54" s="333" t="str">
        <f>IF(EJ54="","",'Name List'!$I$4)</f>
        <v/>
      </c>
      <c r="EQ54" s="115"/>
      <c r="ER54" s="116"/>
      <c r="ES54" s="117"/>
      <c r="ET54" s="77"/>
      <c r="EU54" s="78"/>
      <c r="EV54" s="78"/>
      <c r="EW54" s="79"/>
      <c r="EX54" s="333" t="str">
        <f>IF(ES54="","",'Name List'!$I$4)</f>
        <v/>
      </c>
      <c r="EZ54" s="68"/>
      <c r="FA54" s="69"/>
      <c r="FB54" s="70"/>
      <c r="FC54" s="77"/>
      <c r="FD54" s="78"/>
      <c r="FE54" s="78"/>
      <c r="FF54" s="79"/>
      <c r="FG54" s="67"/>
      <c r="FI54" s="98"/>
      <c r="FJ54" s="99"/>
      <c r="FK54" s="329" t="str">
        <f t="shared" si="16"/>
        <v/>
      </c>
      <c r="FL54" s="77"/>
      <c r="FM54" s="78"/>
      <c r="FN54" s="78"/>
      <c r="FO54" s="79"/>
      <c r="FP54" s="333" t="str">
        <f>IF(FK54="","",'Name List'!$I$4)</f>
        <v/>
      </c>
      <c r="FR54" s="98"/>
      <c r="FS54" s="99"/>
      <c r="FT54" s="329" t="str">
        <f t="shared" si="17"/>
        <v/>
      </c>
      <c r="FU54" s="77"/>
      <c r="FV54" s="78"/>
      <c r="FW54" s="78"/>
      <c r="FX54" s="79"/>
      <c r="FY54" s="333" t="str">
        <f>IF(FT54="","",'Name List'!$I$4)</f>
        <v/>
      </c>
      <c r="GA54" s="98"/>
      <c r="GB54" s="99"/>
      <c r="GC54" s="329" t="str">
        <f t="shared" si="18"/>
        <v/>
      </c>
      <c r="GD54" s="77"/>
      <c r="GE54" s="78"/>
      <c r="GF54" s="78"/>
      <c r="GG54" s="79"/>
      <c r="GH54" s="333" t="str">
        <f>IF(GC54="","",'Name List'!$I$4)</f>
        <v/>
      </c>
      <c r="GJ54" s="98"/>
      <c r="GK54" s="99"/>
      <c r="GL54" s="329" t="str">
        <f t="shared" si="19"/>
        <v/>
      </c>
      <c r="GM54" s="77"/>
      <c r="GN54" s="78"/>
      <c r="GO54" s="78"/>
      <c r="GP54" s="79"/>
      <c r="GQ54" s="333" t="str">
        <f>IF(GL54="","",'Name List'!$I$4)</f>
        <v/>
      </c>
      <c r="GS54" s="68"/>
      <c r="GT54" s="69"/>
      <c r="GU54" s="70"/>
      <c r="GV54" s="77"/>
      <c r="GW54" s="78"/>
      <c r="GX54" s="78"/>
      <c r="GY54" s="79"/>
      <c r="GZ54" s="67"/>
      <c r="HB54" s="98"/>
      <c r="HC54" s="99"/>
      <c r="HD54" s="329" t="str">
        <f t="shared" si="21"/>
        <v/>
      </c>
      <c r="HE54" s="77"/>
      <c r="HF54" s="78"/>
      <c r="HG54" s="78"/>
      <c r="HH54" s="79"/>
      <c r="HI54" s="333" t="str">
        <f>IF(HD54="","",'Name List'!$I$4)</f>
        <v/>
      </c>
      <c r="HK54" s="71"/>
      <c r="HL54" s="72"/>
      <c r="HM54" s="383" t="str">
        <f t="shared" si="22"/>
        <v/>
      </c>
      <c r="HN54" s="77"/>
      <c r="HO54" s="78"/>
      <c r="HP54" s="78"/>
      <c r="HQ54" s="79"/>
      <c r="HR54" s="333" t="str">
        <f>IF(HM54="","",'Name List'!$I$4)</f>
        <v/>
      </c>
      <c r="HT54" s="68"/>
      <c r="HU54" s="69"/>
      <c r="HV54" s="70"/>
      <c r="HW54" s="77"/>
      <c r="HX54" s="78"/>
      <c r="HY54" s="78"/>
      <c r="HZ54" s="79"/>
      <c r="IA54" s="67"/>
      <c r="IC54" s="115"/>
      <c r="ID54" s="116"/>
      <c r="IE54" s="117"/>
      <c r="IF54" s="77"/>
      <c r="IG54" s="78"/>
      <c r="IH54" s="78"/>
      <c r="II54" s="79"/>
      <c r="IJ54" s="333" t="str">
        <f>IF(IE54="","",'Name List'!$I$4)</f>
        <v/>
      </c>
      <c r="IL54" s="98"/>
      <c r="IM54" s="99"/>
      <c r="IN54" s="100"/>
      <c r="IO54" s="77"/>
      <c r="IP54" s="78"/>
      <c r="IQ54" s="78"/>
      <c r="IR54" s="79"/>
      <c r="IS54" s="67"/>
      <c r="IU54" s="98"/>
      <c r="IV54" s="99"/>
      <c r="IW54" s="100"/>
      <c r="IX54" s="77"/>
      <c r="IY54" s="78"/>
      <c r="IZ54" s="78"/>
      <c r="JA54" s="79"/>
      <c r="JB54" s="67"/>
      <c r="JD54" s="98"/>
      <c r="JE54" s="99"/>
      <c r="JF54" s="100"/>
      <c r="JG54" s="77"/>
      <c r="JH54" s="78"/>
      <c r="JI54" s="78"/>
      <c r="JJ54" s="79"/>
      <c r="JK54" s="67"/>
      <c r="JM54" s="98"/>
      <c r="JN54" s="99"/>
      <c r="JO54" s="275"/>
      <c r="JP54" s="77"/>
      <c r="JQ54" s="78"/>
      <c r="JR54" s="78"/>
      <c r="JS54" s="79"/>
      <c r="JT54" s="67"/>
      <c r="JV54" s="98"/>
      <c r="JW54" s="99"/>
      <c r="JX54" s="100"/>
      <c r="JY54" s="77"/>
      <c r="JZ54" s="78"/>
      <c r="KA54" s="78"/>
      <c r="KB54" s="79"/>
      <c r="KC54" s="67"/>
      <c r="KE54" s="98"/>
      <c r="KF54" s="99"/>
      <c r="KG54" s="100"/>
      <c r="KH54" s="77"/>
      <c r="KI54" s="78"/>
      <c r="KJ54" s="78"/>
      <c r="KK54" s="79"/>
      <c r="KL54" s="67"/>
      <c r="KN54" s="68"/>
      <c r="KO54" s="69"/>
      <c r="KP54" s="70"/>
      <c r="KQ54" s="77"/>
      <c r="KR54" s="78"/>
      <c r="KS54" s="78"/>
      <c r="KT54" s="79"/>
      <c r="KU54" s="67"/>
      <c r="KW54" s="98"/>
      <c r="KX54" s="99"/>
      <c r="KY54" s="100"/>
      <c r="KZ54" s="77"/>
      <c r="LA54" s="78"/>
      <c r="LB54" s="78"/>
      <c r="LC54" s="79"/>
      <c r="LD54" s="67"/>
      <c r="LF54" s="71"/>
      <c r="LG54" s="72"/>
      <c r="LH54" s="73"/>
      <c r="LI54" s="77"/>
      <c r="LJ54" s="78"/>
      <c r="LK54" s="78"/>
      <c r="LL54" s="79"/>
      <c r="LM54" s="67"/>
      <c r="LO54" s="98"/>
      <c r="LP54" s="99"/>
      <c r="LQ54" s="329"/>
      <c r="LR54" s="77"/>
      <c r="LS54" s="78"/>
      <c r="LT54" s="78"/>
      <c r="LU54" s="79"/>
      <c r="LV54" s="67"/>
      <c r="LX54" s="98"/>
      <c r="LY54" s="99"/>
      <c r="LZ54" s="100"/>
      <c r="MA54" s="77"/>
      <c r="MB54" s="78"/>
      <c r="MC54" s="78"/>
      <c r="MD54" s="79"/>
      <c r="ME54" s="67"/>
      <c r="MG54" s="98"/>
      <c r="MH54" s="99"/>
      <c r="MI54" s="100"/>
      <c r="MJ54" s="77"/>
      <c r="MK54" s="78"/>
      <c r="ML54" s="78"/>
      <c r="MM54" s="79"/>
      <c r="MN54" s="67"/>
      <c r="MP54" s="98"/>
      <c r="MQ54" s="99"/>
      <c r="MR54" s="100"/>
      <c r="MS54" s="77"/>
      <c r="MT54" s="78"/>
      <c r="MU54" s="78"/>
      <c r="MV54" s="79"/>
      <c r="MW54" s="67"/>
      <c r="MY54" s="98"/>
      <c r="MZ54" s="99"/>
      <c r="NA54" s="100"/>
      <c r="NB54" s="77"/>
      <c r="NC54" s="78"/>
      <c r="ND54" s="78"/>
      <c r="NE54" s="79"/>
      <c r="NF54" s="67"/>
      <c r="NH54" s="98"/>
      <c r="NI54" s="99"/>
      <c r="NJ54" s="329"/>
      <c r="NK54" s="77"/>
      <c r="NL54" s="78"/>
      <c r="NM54" s="78"/>
      <c r="NN54" s="79"/>
      <c r="NO54" s="67"/>
      <c r="NQ54" s="98"/>
      <c r="NR54" s="99"/>
      <c r="NS54" s="100"/>
      <c r="NT54" s="77"/>
      <c r="NU54" s="78"/>
      <c r="NV54" s="78"/>
      <c r="NW54" s="79"/>
      <c r="NX54" s="67"/>
      <c r="NZ54" s="71"/>
      <c r="OA54" s="72"/>
      <c r="OB54" s="73"/>
      <c r="OC54" s="77"/>
      <c r="OD54" s="78"/>
      <c r="OE54" s="78"/>
      <c r="OF54" s="79"/>
      <c r="OG54" s="67"/>
      <c r="OI54" s="98"/>
      <c r="OJ54" s="99"/>
      <c r="OK54" s="329"/>
      <c r="OL54" s="77"/>
      <c r="OM54" s="78"/>
      <c r="ON54" s="78"/>
      <c r="OO54" s="79"/>
      <c r="OP54" s="67"/>
      <c r="OR54" s="71"/>
      <c r="OS54" s="72"/>
      <c r="OT54" s="73"/>
      <c r="OU54" s="77"/>
      <c r="OV54" s="78"/>
      <c r="OW54" s="78"/>
      <c r="OX54" s="79"/>
      <c r="OY54" s="67"/>
      <c r="PA54" s="98"/>
      <c r="PB54" s="99"/>
      <c r="PC54" s="100"/>
      <c r="PD54" s="77"/>
      <c r="PE54" s="78"/>
      <c r="PF54" s="78"/>
      <c r="PG54" s="79"/>
      <c r="PH54" s="67"/>
      <c r="PJ54" s="277"/>
      <c r="PK54" s="278"/>
      <c r="PL54" s="279"/>
      <c r="PM54" s="125"/>
      <c r="PN54" s="126"/>
      <c r="PO54" s="126"/>
      <c r="PP54" s="127"/>
      <c r="PQ54" s="128"/>
      <c r="PS54" s="403"/>
      <c r="PT54" s="404"/>
      <c r="PU54" s="405"/>
      <c r="PV54" s="330"/>
      <c r="PW54" s="331"/>
      <c r="PX54" s="331"/>
      <c r="PY54" s="332"/>
      <c r="PZ54" s="333"/>
      <c r="QB54" s="412"/>
      <c r="QC54" s="413"/>
      <c r="QD54" s="414"/>
      <c r="QE54" s="125"/>
      <c r="QF54" s="126"/>
      <c r="QG54" s="126"/>
      <c r="QH54" s="127"/>
      <c r="QI54" s="128"/>
      <c r="QK54" s="283"/>
      <c r="QL54" s="284"/>
      <c r="QM54" s="285"/>
      <c r="QN54" s="125"/>
      <c r="QO54" s="126"/>
      <c r="QP54" s="126"/>
      <c r="QQ54" s="127"/>
      <c r="QR54" s="128" t="str">
        <f>IF(QM54="","",'Name List'!$I$4)</f>
        <v/>
      </c>
      <c r="QS54" s="91"/>
      <c r="QT54" s="107">
        <f t="shared" si="50"/>
        <v>0</v>
      </c>
      <c r="QU54" s="130">
        <f t="shared" si="51"/>
        <v>0</v>
      </c>
      <c r="QV54" s="130">
        <f t="shared" si="52"/>
        <v>0</v>
      </c>
      <c r="QW54" s="108">
        <f t="shared" si="53"/>
        <v>0</v>
      </c>
      <c r="QY54" s="260">
        <f t="shared" si="54"/>
        <v>0</v>
      </c>
      <c r="RA54" s="141">
        <f t="shared" si="55"/>
        <v>0</v>
      </c>
      <c r="RB54" s="106">
        <f t="shared" si="56"/>
        <v>0</v>
      </c>
      <c r="RC54" s="106">
        <f t="shared" si="57"/>
        <v>0</v>
      </c>
      <c r="RD54" s="106">
        <f t="shared" si="58"/>
        <v>0</v>
      </c>
      <c r="RE54" s="106">
        <f t="shared" si="59"/>
        <v>0</v>
      </c>
      <c r="RF54" s="142">
        <f t="shared" si="60"/>
        <v>0</v>
      </c>
      <c r="RG54" s="106"/>
      <c r="RH54" s="139">
        <f t="shared" si="61"/>
        <v>0</v>
      </c>
      <c r="RI54" s="140">
        <f t="shared" si="62"/>
        <v>0</v>
      </c>
      <c r="RJ54" s="106"/>
      <c r="RK54" s="136">
        <f t="shared" si="63"/>
        <v>0</v>
      </c>
      <c r="RL54" s="106"/>
      <c r="RM54" s="137">
        <f t="shared" si="64"/>
        <v>0</v>
      </c>
      <c r="RN54" s="138">
        <f t="shared" si="65"/>
        <v>0</v>
      </c>
      <c r="RO54" s="106"/>
      <c r="RP54" s="259">
        <f t="shared" si="66"/>
        <v>0</v>
      </c>
    </row>
    <row r="55" spans="1:484" x14ac:dyDescent="0.2">
      <c r="A55" s="89" t="str">
        <f>'Name List'!B55</f>
        <v>Rory Thompson</v>
      </c>
      <c r="C55" s="98"/>
      <c r="D55" s="99"/>
      <c r="E55" s="329" t="str">
        <f t="shared" si="0"/>
        <v/>
      </c>
      <c r="F55" s="77"/>
      <c r="G55" s="78"/>
      <c r="H55" s="78"/>
      <c r="I55" s="79"/>
      <c r="J55" s="333" t="str">
        <f>IF(E55="","",'Name List'!$I$4)</f>
        <v/>
      </c>
      <c r="L55" s="98"/>
      <c r="M55" s="99"/>
      <c r="N55" s="100"/>
      <c r="O55" s="77"/>
      <c r="P55" s="78"/>
      <c r="Q55" s="78"/>
      <c r="R55" s="79"/>
      <c r="S55" s="67"/>
      <c r="U55" s="71"/>
      <c r="V55" s="72"/>
      <c r="W55" s="396" t="str">
        <f t="shared" si="2"/>
        <v/>
      </c>
      <c r="X55" s="77"/>
      <c r="Y55" s="78"/>
      <c r="Z55" s="78"/>
      <c r="AA55" s="79"/>
      <c r="AB55" s="333" t="str">
        <f>IF(W55="","",'Name List'!$I$4)</f>
        <v/>
      </c>
      <c r="AD55" s="98"/>
      <c r="AE55" s="99"/>
      <c r="AF55" s="329" t="str">
        <f t="shared" si="3"/>
        <v/>
      </c>
      <c r="AG55" s="77"/>
      <c r="AH55" s="78"/>
      <c r="AI55" s="78"/>
      <c r="AJ55" s="79"/>
      <c r="AK55" s="333" t="str">
        <f>IF(AF55="","",'Name List'!$I$4)</f>
        <v/>
      </c>
      <c r="AM55" s="98"/>
      <c r="AN55" s="99"/>
      <c r="AO55" s="329" t="str">
        <f t="shared" si="4"/>
        <v/>
      </c>
      <c r="AP55" s="77"/>
      <c r="AQ55" s="78"/>
      <c r="AR55" s="78"/>
      <c r="AS55" s="79"/>
      <c r="AT55" s="333" t="str">
        <f>IF(AO55="","",'Name List'!$I$4)</f>
        <v/>
      </c>
      <c r="AV55" s="458"/>
      <c r="AW55" s="401"/>
      <c r="AX55" s="400" t="str">
        <f t="shared" si="5"/>
        <v/>
      </c>
      <c r="AY55" s="77"/>
      <c r="AZ55" s="78"/>
      <c r="BA55" s="78"/>
      <c r="BB55" s="79"/>
      <c r="BC55" s="457" t="str">
        <f>IF(AX55="","",'Name List'!$I$4)</f>
        <v/>
      </c>
      <c r="BE55" s="71"/>
      <c r="BF55" s="72"/>
      <c r="BG55" s="383" t="str">
        <f t="shared" si="6"/>
        <v/>
      </c>
      <c r="BH55" s="77"/>
      <c r="BI55" s="78"/>
      <c r="BJ55" s="78"/>
      <c r="BK55" s="79"/>
      <c r="BL55" s="333" t="str">
        <f>IF(BG55="","",'Name List'!$I$4)</f>
        <v/>
      </c>
      <c r="BN55" s="98"/>
      <c r="BO55" s="99"/>
      <c r="BP55" s="100"/>
      <c r="BQ55" s="77"/>
      <c r="BR55" s="78"/>
      <c r="BS55" s="78"/>
      <c r="BT55" s="79"/>
      <c r="BU55" s="67"/>
      <c r="BW55" s="98"/>
      <c r="BX55" s="99"/>
      <c r="BY55" s="329" t="str">
        <f t="shared" si="8"/>
        <v/>
      </c>
      <c r="BZ55" s="77"/>
      <c r="CA55" s="78"/>
      <c r="CB55" s="78"/>
      <c r="CC55" s="79"/>
      <c r="CD55" s="333" t="str">
        <f>IF(BY55="","",'Name List'!$I$4)</f>
        <v/>
      </c>
      <c r="CF55" s="68"/>
      <c r="CG55" s="69"/>
      <c r="CH55" s="282" t="str">
        <f t="shared" si="49"/>
        <v/>
      </c>
      <c r="CI55" s="77"/>
      <c r="CJ55" s="78"/>
      <c r="CK55" s="78"/>
      <c r="CL55" s="79"/>
      <c r="CM55" s="333" t="str">
        <f>IF(CH55="","",'Name List'!$I$4)</f>
        <v/>
      </c>
      <c r="CO55" s="71"/>
      <c r="CP55" s="72"/>
      <c r="CQ55" s="383" t="str">
        <f t="shared" si="9"/>
        <v/>
      </c>
      <c r="CR55" s="77"/>
      <c r="CS55" s="78"/>
      <c r="CT55" s="78"/>
      <c r="CU55" s="79"/>
      <c r="CV55" s="333" t="str">
        <f>IF(CQ55="","",'Name List'!$I$4)</f>
        <v/>
      </c>
      <c r="CX55" s="98"/>
      <c r="CY55" s="99"/>
      <c r="CZ55" s="329" t="str">
        <f t="shared" si="10"/>
        <v/>
      </c>
      <c r="DA55" s="77"/>
      <c r="DB55" s="78"/>
      <c r="DC55" s="78"/>
      <c r="DD55" s="79"/>
      <c r="DE55" s="333" t="str">
        <f>IF(CZ55="","",'Name List'!$I$4)</f>
        <v/>
      </c>
      <c r="DG55" s="98"/>
      <c r="DH55" s="99"/>
      <c r="DI55" s="329" t="str">
        <f t="shared" si="11"/>
        <v/>
      </c>
      <c r="DJ55" s="77"/>
      <c r="DK55" s="78"/>
      <c r="DL55" s="78"/>
      <c r="DM55" s="79"/>
      <c r="DN55" s="333" t="str">
        <f>IF(DI55="","",'Name List'!$I$4)</f>
        <v/>
      </c>
      <c r="DP55" s="98"/>
      <c r="DQ55" s="99"/>
      <c r="DR55" s="329" t="str">
        <f t="shared" si="12"/>
        <v/>
      </c>
      <c r="DS55" s="77"/>
      <c r="DT55" s="78"/>
      <c r="DU55" s="78"/>
      <c r="DV55" s="79"/>
      <c r="DW55" s="333" t="str">
        <f>IF(DR55="","",'Name List'!$I$4)</f>
        <v/>
      </c>
      <c r="DY55" s="98"/>
      <c r="DZ55" s="99"/>
      <c r="EA55" s="329" t="str">
        <f t="shared" si="13"/>
        <v/>
      </c>
      <c r="EB55" s="77"/>
      <c r="EC55" s="78"/>
      <c r="ED55" s="78"/>
      <c r="EE55" s="79"/>
      <c r="EF55" s="333" t="str">
        <f>IF(EA55="","",'Name List'!$I$4)</f>
        <v/>
      </c>
      <c r="EH55" s="98"/>
      <c r="EI55" s="99"/>
      <c r="EJ55" s="329" t="str">
        <f t="shared" si="14"/>
        <v/>
      </c>
      <c r="EK55" s="77"/>
      <c r="EL55" s="78"/>
      <c r="EM55" s="78"/>
      <c r="EN55" s="79"/>
      <c r="EO55" s="333" t="str">
        <f>IF(EJ55="","",'Name List'!$I$4)</f>
        <v/>
      </c>
      <c r="EQ55" s="115"/>
      <c r="ER55" s="116"/>
      <c r="ES55" s="117"/>
      <c r="ET55" s="77"/>
      <c r="EU55" s="78"/>
      <c r="EV55" s="78"/>
      <c r="EW55" s="79"/>
      <c r="EX55" s="333" t="str">
        <f>IF(ES55="","",'Name List'!$I$4)</f>
        <v/>
      </c>
      <c r="EZ55" s="68"/>
      <c r="FA55" s="69"/>
      <c r="FB55" s="70"/>
      <c r="FC55" s="77"/>
      <c r="FD55" s="78"/>
      <c r="FE55" s="78"/>
      <c r="FF55" s="79"/>
      <c r="FG55" s="67"/>
      <c r="FI55" s="98"/>
      <c r="FJ55" s="99"/>
      <c r="FK55" s="329" t="str">
        <f t="shared" si="16"/>
        <v/>
      </c>
      <c r="FL55" s="77"/>
      <c r="FM55" s="78"/>
      <c r="FN55" s="78"/>
      <c r="FO55" s="79"/>
      <c r="FP55" s="333" t="str">
        <f>IF(FK55="","",'Name List'!$I$4)</f>
        <v/>
      </c>
      <c r="FR55" s="98"/>
      <c r="FS55" s="99"/>
      <c r="FT55" s="329" t="str">
        <f t="shared" si="17"/>
        <v/>
      </c>
      <c r="FU55" s="77"/>
      <c r="FV55" s="78"/>
      <c r="FW55" s="78"/>
      <c r="FX55" s="79"/>
      <c r="FY55" s="333" t="str">
        <f>IF(FT55="","",'Name List'!$I$4)</f>
        <v/>
      </c>
      <c r="GA55" s="98"/>
      <c r="GB55" s="99"/>
      <c r="GC55" s="329" t="str">
        <f t="shared" si="18"/>
        <v/>
      </c>
      <c r="GD55" s="77"/>
      <c r="GE55" s="78"/>
      <c r="GF55" s="78"/>
      <c r="GG55" s="79"/>
      <c r="GH55" s="333" t="str">
        <f>IF(GC55="","",'Name List'!$I$4)</f>
        <v/>
      </c>
      <c r="GJ55" s="98"/>
      <c r="GK55" s="99"/>
      <c r="GL55" s="329" t="str">
        <f t="shared" si="19"/>
        <v/>
      </c>
      <c r="GM55" s="77"/>
      <c r="GN55" s="78"/>
      <c r="GO55" s="78"/>
      <c r="GP55" s="79"/>
      <c r="GQ55" s="333" t="str">
        <f>IF(GL55="","",'Name List'!$I$4)</f>
        <v/>
      </c>
      <c r="GS55" s="68"/>
      <c r="GT55" s="69"/>
      <c r="GU55" s="70"/>
      <c r="GV55" s="77"/>
      <c r="GW55" s="78"/>
      <c r="GX55" s="78"/>
      <c r="GY55" s="79"/>
      <c r="GZ55" s="67"/>
      <c r="HB55" s="98"/>
      <c r="HC55" s="99"/>
      <c r="HD55" s="329" t="str">
        <f t="shared" si="21"/>
        <v/>
      </c>
      <c r="HE55" s="77"/>
      <c r="HF55" s="78"/>
      <c r="HG55" s="78"/>
      <c r="HH55" s="79"/>
      <c r="HI55" s="333" t="str">
        <f>IF(HD55="","",'Name List'!$I$4)</f>
        <v/>
      </c>
      <c r="HK55" s="71"/>
      <c r="HL55" s="72"/>
      <c r="HM55" s="383" t="str">
        <f t="shared" si="22"/>
        <v/>
      </c>
      <c r="HN55" s="77"/>
      <c r="HO55" s="78"/>
      <c r="HP55" s="78"/>
      <c r="HQ55" s="79"/>
      <c r="HR55" s="333" t="str">
        <f>IF(HM55="","",'Name List'!$I$4)</f>
        <v/>
      </c>
      <c r="HT55" s="68"/>
      <c r="HU55" s="69"/>
      <c r="HV55" s="70"/>
      <c r="HW55" s="77"/>
      <c r="HX55" s="78"/>
      <c r="HY55" s="78"/>
      <c r="HZ55" s="79"/>
      <c r="IA55" s="67"/>
      <c r="IC55" s="115"/>
      <c r="ID55" s="116"/>
      <c r="IE55" s="117"/>
      <c r="IF55" s="77"/>
      <c r="IG55" s="78"/>
      <c r="IH55" s="78"/>
      <c r="II55" s="79"/>
      <c r="IJ55" s="333" t="str">
        <f>IF(IE55="","",'Name List'!$I$4)</f>
        <v/>
      </c>
      <c r="IL55" s="98"/>
      <c r="IM55" s="99"/>
      <c r="IN55" s="100"/>
      <c r="IO55" s="77"/>
      <c r="IP55" s="78"/>
      <c r="IQ55" s="78"/>
      <c r="IR55" s="79"/>
      <c r="IS55" s="67"/>
      <c r="IU55" s="98"/>
      <c r="IV55" s="99"/>
      <c r="IW55" s="100"/>
      <c r="IX55" s="77"/>
      <c r="IY55" s="78"/>
      <c r="IZ55" s="78"/>
      <c r="JA55" s="79"/>
      <c r="JB55" s="67"/>
      <c r="JD55" s="98"/>
      <c r="JE55" s="99"/>
      <c r="JF55" s="100"/>
      <c r="JG55" s="77"/>
      <c r="JH55" s="78"/>
      <c r="JI55" s="78"/>
      <c r="JJ55" s="79"/>
      <c r="JK55" s="67"/>
      <c r="JM55" s="98"/>
      <c r="JN55" s="99"/>
      <c r="JO55" s="275"/>
      <c r="JP55" s="77"/>
      <c r="JQ55" s="78"/>
      <c r="JR55" s="78"/>
      <c r="JS55" s="79"/>
      <c r="JT55" s="67"/>
      <c r="JV55" s="98"/>
      <c r="JW55" s="99"/>
      <c r="JX55" s="100"/>
      <c r="JY55" s="77"/>
      <c r="JZ55" s="78"/>
      <c r="KA55" s="78"/>
      <c r="KB55" s="79"/>
      <c r="KC55" s="67"/>
      <c r="KE55" s="98"/>
      <c r="KF55" s="99"/>
      <c r="KG55" s="100"/>
      <c r="KH55" s="77"/>
      <c r="KI55" s="78"/>
      <c r="KJ55" s="78"/>
      <c r="KK55" s="79"/>
      <c r="KL55" s="67"/>
      <c r="KN55" s="68"/>
      <c r="KO55" s="69"/>
      <c r="KP55" s="70"/>
      <c r="KQ55" s="77"/>
      <c r="KR55" s="78"/>
      <c r="KS55" s="78"/>
      <c r="KT55" s="79"/>
      <c r="KU55" s="67"/>
      <c r="KW55" s="98"/>
      <c r="KX55" s="99"/>
      <c r="KY55" s="100"/>
      <c r="KZ55" s="77"/>
      <c r="LA55" s="78"/>
      <c r="LB55" s="78"/>
      <c r="LC55" s="79"/>
      <c r="LD55" s="67"/>
      <c r="LF55" s="71"/>
      <c r="LG55" s="72"/>
      <c r="LH55" s="73"/>
      <c r="LI55" s="77"/>
      <c r="LJ55" s="78"/>
      <c r="LK55" s="78"/>
      <c r="LL55" s="79"/>
      <c r="LM55" s="67"/>
      <c r="LO55" s="98"/>
      <c r="LP55" s="99"/>
      <c r="LQ55" s="329"/>
      <c r="LR55" s="77"/>
      <c r="LS55" s="78"/>
      <c r="LT55" s="78"/>
      <c r="LU55" s="79"/>
      <c r="LV55" s="67"/>
      <c r="LX55" s="98"/>
      <c r="LY55" s="99"/>
      <c r="LZ55" s="100"/>
      <c r="MA55" s="77"/>
      <c r="MB55" s="78"/>
      <c r="MC55" s="78"/>
      <c r="MD55" s="79"/>
      <c r="ME55" s="67"/>
      <c r="MG55" s="98"/>
      <c r="MH55" s="99"/>
      <c r="MI55" s="100"/>
      <c r="MJ55" s="77"/>
      <c r="MK55" s="78"/>
      <c r="ML55" s="78"/>
      <c r="MM55" s="79"/>
      <c r="MN55" s="67"/>
      <c r="MP55" s="98"/>
      <c r="MQ55" s="99"/>
      <c r="MR55" s="100"/>
      <c r="MS55" s="77"/>
      <c r="MT55" s="78"/>
      <c r="MU55" s="78"/>
      <c r="MV55" s="79"/>
      <c r="MW55" s="67"/>
      <c r="MY55" s="98"/>
      <c r="MZ55" s="99"/>
      <c r="NA55" s="100"/>
      <c r="NB55" s="77"/>
      <c r="NC55" s="78"/>
      <c r="ND55" s="78"/>
      <c r="NE55" s="79"/>
      <c r="NF55" s="67"/>
      <c r="NH55" s="98"/>
      <c r="NI55" s="99"/>
      <c r="NJ55" s="329"/>
      <c r="NK55" s="77"/>
      <c r="NL55" s="78"/>
      <c r="NM55" s="78"/>
      <c r="NN55" s="79"/>
      <c r="NO55" s="67"/>
      <c r="NQ55" s="98"/>
      <c r="NR55" s="99"/>
      <c r="NS55" s="100"/>
      <c r="NT55" s="77"/>
      <c r="NU55" s="78"/>
      <c r="NV55" s="78"/>
      <c r="NW55" s="79"/>
      <c r="NX55" s="67"/>
      <c r="NZ55" s="71"/>
      <c r="OA55" s="72"/>
      <c r="OB55" s="73"/>
      <c r="OC55" s="77"/>
      <c r="OD55" s="78"/>
      <c r="OE55" s="78"/>
      <c r="OF55" s="79"/>
      <c r="OG55" s="67"/>
      <c r="OI55" s="98"/>
      <c r="OJ55" s="99"/>
      <c r="OK55" s="329"/>
      <c r="OL55" s="77"/>
      <c r="OM55" s="78"/>
      <c r="ON55" s="78"/>
      <c r="OO55" s="79"/>
      <c r="OP55" s="67"/>
      <c r="OR55" s="71"/>
      <c r="OS55" s="72"/>
      <c r="OT55" s="73"/>
      <c r="OU55" s="77"/>
      <c r="OV55" s="78"/>
      <c r="OW55" s="78"/>
      <c r="OX55" s="79"/>
      <c r="OY55" s="67"/>
      <c r="PA55" s="98"/>
      <c r="PB55" s="99"/>
      <c r="PC55" s="100"/>
      <c r="PD55" s="77"/>
      <c r="PE55" s="78"/>
      <c r="PF55" s="78"/>
      <c r="PG55" s="79"/>
      <c r="PH55" s="67"/>
      <c r="PJ55" s="277"/>
      <c r="PK55" s="278"/>
      <c r="PL55" s="279"/>
      <c r="PM55" s="125"/>
      <c r="PN55" s="126"/>
      <c r="PO55" s="126"/>
      <c r="PP55" s="127"/>
      <c r="PQ55" s="128"/>
      <c r="PS55" s="403"/>
      <c r="PT55" s="404"/>
      <c r="PU55" s="405"/>
      <c r="PV55" s="330"/>
      <c r="PW55" s="331"/>
      <c r="PX55" s="331"/>
      <c r="PY55" s="332"/>
      <c r="PZ55" s="333"/>
      <c r="QB55" s="412"/>
      <c r="QC55" s="413"/>
      <c r="QD55" s="414"/>
      <c r="QE55" s="125"/>
      <c r="QF55" s="126"/>
      <c r="QG55" s="126"/>
      <c r="QH55" s="127"/>
      <c r="QI55" s="128"/>
      <c r="QK55" s="283"/>
      <c r="QL55" s="284"/>
      <c r="QM55" s="285"/>
      <c r="QN55" s="125"/>
      <c r="QO55" s="126"/>
      <c r="QP55" s="126"/>
      <c r="QQ55" s="127"/>
      <c r="QR55" s="128" t="str">
        <f>IF(QM55="","",'Name List'!$I$4)</f>
        <v/>
      </c>
      <c r="QS55" s="91"/>
      <c r="QT55" s="107">
        <f t="shared" si="50"/>
        <v>0</v>
      </c>
      <c r="QU55" s="130">
        <f t="shared" si="51"/>
        <v>0</v>
      </c>
      <c r="QV55" s="130">
        <f t="shared" si="52"/>
        <v>0</v>
      </c>
      <c r="QW55" s="108">
        <f t="shared" si="53"/>
        <v>0</v>
      </c>
      <c r="QY55" s="260">
        <f t="shared" si="54"/>
        <v>0</v>
      </c>
      <c r="RA55" s="141">
        <f t="shared" si="55"/>
        <v>0</v>
      </c>
      <c r="RB55" s="106">
        <f t="shared" si="56"/>
        <v>0</v>
      </c>
      <c r="RC55" s="106">
        <f t="shared" si="57"/>
        <v>0</v>
      </c>
      <c r="RD55" s="106">
        <f t="shared" si="58"/>
        <v>0</v>
      </c>
      <c r="RE55" s="106">
        <f t="shared" si="59"/>
        <v>0</v>
      </c>
      <c r="RF55" s="142">
        <f t="shared" si="60"/>
        <v>0</v>
      </c>
      <c r="RG55" s="106"/>
      <c r="RH55" s="139">
        <f t="shared" si="61"/>
        <v>0</v>
      </c>
      <c r="RI55" s="140">
        <f t="shared" si="62"/>
        <v>0</v>
      </c>
      <c r="RJ55" s="106"/>
      <c r="RK55" s="136">
        <f t="shared" si="63"/>
        <v>0</v>
      </c>
      <c r="RL55" s="106"/>
      <c r="RM55" s="137">
        <f t="shared" si="64"/>
        <v>0</v>
      </c>
      <c r="RN55" s="138">
        <f t="shared" si="65"/>
        <v>0</v>
      </c>
      <c r="RO55" s="106"/>
      <c r="RP55" s="259">
        <f t="shared" si="66"/>
        <v>0</v>
      </c>
    </row>
    <row r="56" spans="1:484" x14ac:dyDescent="0.2">
      <c r="A56" s="89" t="str">
        <f>'Name List'!B56</f>
        <v>Sonny Thompson</v>
      </c>
      <c r="C56" s="98"/>
      <c r="D56" s="99"/>
      <c r="E56" s="329" t="str">
        <f t="shared" si="0"/>
        <v/>
      </c>
      <c r="F56" s="77"/>
      <c r="G56" s="78"/>
      <c r="H56" s="78"/>
      <c r="I56" s="79"/>
      <c r="J56" s="333" t="str">
        <f>IF(E56="","",'Name List'!$I$4)</f>
        <v/>
      </c>
      <c r="L56" s="98"/>
      <c r="M56" s="99"/>
      <c r="N56" s="100"/>
      <c r="O56" s="77"/>
      <c r="P56" s="78"/>
      <c r="Q56" s="78"/>
      <c r="R56" s="79"/>
      <c r="S56" s="67"/>
      <c r="U56" s="71"/>
      <c r="V56" s="72"/>
      <c r="W56" s="396" t="str">
        <f t="shared" si="2"/>
        <v/>
      </c>
      <c r="X56" s="77"/>
      <c r="Y56" s="78"/>
      <c r="Z56" s="78"/>
      <c r="AA56" s="79"/>
      <c r="AB56" s="333" t="str">
        <f>IF(W56="","",'Name List'!$I$4)</f>
        <v/>
      </c>
      <c r="AD56" s="98"/>
      <c r="AE56" s="99"/>
      <c r="AF56" s="329" t="str">
        <f t="shared" si="3"/>
        <v/>
      </c>
      <c r="AG56" s="77"/>
      <c r="AH56" s="78"/>
      <c r="AI56" s="78"/>
      <c r="AJ56" s="79"/>
      <c r="AK56" s="333" t="str">
        <f>IF(AF56="","",'Name List'!$I$4)</f>
        <v/>
      </c>
      <c r="AM56" s="98"/>
      <c r="AN56" s="99"/>
      <c r="AO56" s="329" t="str">
        <f t="shared" si="4"/>
        <v/>
      </c>
      <c r="AP56" s="77"/>
      <c r="AQ56" s="78"/>
      <c r="AR56" s="78"/>
      <c r="AS56" s="79"/>
      <c r="AT56" s="333" t="str">
        <f>IF(AO56="","",'Name List'!$I$4)</f>
        <v/>
      </c>
      <c r="AV56" s="458"/>
      <c r="AW56" s="401"/>
      <c r="AX56" s="400" t="str">
        <f t="shared" si="5"/>
        <v/>
      </c>
      <c r="AY56" s="77"/>
      <c r="AZ56" s="78"/>
      <c r="BA56" s="78"/>
      <c r="BB56" s="79"/>
      <c r="BC56" s="457" t="str">
        <f>IF(AX56="","",'Name List'!$I$4)</f>
        <v/>
      </c>
      <c r="BE56" s="71"/>
      <c r="BF56" s="72"/>
      <c r="BG56" s="383" t="str">
        <f t="shared" si="6"/>
        <v/>
      </c>
      <c r="BH56" s="77"/>
      <c r="BI56" s="78"/>
      <c r="BJ56" s="78"/>
      <c r="BK56" s="79"/>
      <c r="BL56" s="333" t="str">
        <f>IF(BG56="","",'Name List'!$I$4)</f>
        <v/>
      </c>
      <c r="BN56" s="98"/>
      <c r="BO56" s="99"/>
      <c r="BP56" s="100"/>
      <c r="BQ56" s="77"/>
      <c r="BR56" s="78"/>
      <c r="BS56" s="78"/>
      <c r="BT56" s="79"/>
      <c r="BU56" s="67"/>
      <c r="BW56" s="98"/>
      <c r="BX56" s="99"/>
      <c r="BY56" s="329" t="str">
        <f t="shared" si="8"/>
        <v/>
      </c>
      <c r="BZ56" s="77"/>
      <c r="CA56" s="78"/>
      <c r="CB56" s="78"/>
      <c r="CC56" s="79"/>
      <c r="CD56" s="333" t="str">
        <f>IF(BY56="","",'Name List'!$I$4)</f>
        <v/>
      </c>
      <c r="CF56" s="68"/>
      <c r="CG56" s="69"/>
      <c r="CH56" s="282" t="str">
        <f t="shared" si="49"/>
        <v/>
      </c>
      <c r="CI56" s="77"/>
      <c r="CJ56" s="78"/>
      <c r="CK56" s="78"/>
      <c r="CL56" s="79"/>
      <c r="CM56" s="333" t="str">
        <f>IF(CH56="","",'Name List'!$I$4)</f>
        <v/>
      </c>
      <c r="CO56" s="71"/>
      <c r="CP56" s="72"/>
      <c r="CQ56" s="383" t="str">
        <f t="shared" si="9"/>
        <v/>
      </c>
      <c r="CR56" s="77"/>
      <c r="CS56" s="78"/>
      <c r="CT56" s="78"/>
      <c r="CU56" s="79"/>
      <c r="CV56" s="333" t="str">
        <f>IF(CQ56="","",'Name List'!$I$4)</f>
        <v/>
      </c>
      <c r="CX56" s="98"/>
      <c r="CY56" s="99"/>
      <c r="CZ56" s="329" t="str">
        <f t="shared" si="10"/>
        <v/>
      </c>
      <c r="DA56" s="77"/>
      <c r="DB56" s="78"/>
      <c r="DC56" s="78"/>
      <c r="DD56" s="79"/>
      <c r="DE56" s="333" t="str">
        <f>IF(CZ56="","",'Name List'!$I$4)</f>
        <v/>
      </c>
      <c r="DG56" s="98"/>
      <c r="DH56" s="99"/>
      <c r="DI56" s="329" t="str">
        <f t="shared" si="11"/>
        <v/>
      </c>
      <c r="DJ56" s="77"/>
      <c r="DK56" s="78"/>
      <c r="DL56" s="78"/>
      <c r="DM56" s="79"/>
      <c r="DN56" s="333" t="str">
        <f>IF(DI56="","",'Name List'!$I$4)</f>
        <v/>
      </c>
      <c r="DP56" s="98"/>
      <c r="DQ56" s="99"/>
      <c r="DR56" s="329" t="str">
        <f t="shared" si="12"/>
        <v/>
      </c>
      <c r="DS56" s="77"/>
      <c r="DT56" s="78"/>
      <c r="DU56" s="78"/>
      <c r="DV56" s="79"/>
      <c r="DW56" s="333" t="str">
        <f>IF(DR56="","",'Name List'!$I$4)</f>
        <v/>
      </c>
      <c r="DY56" s="98"/>
      <c r="DZ56" s="99"/>
      <c r="EA56" s="329" t="str">
        <f t="shared" si="13"/>
        <v/>
      </c>
      <c r="EB56" s="77"/>
      <c r="EC56" s="78"/>
      <c r="ED56" s="78"/>
      <c r="EE56" s="79"/>
      <c r="EF56" s="333" t="str">
        <f>IF(EA56="","",'Name List'!$I$4)</f>
        <v/>
      </c>
      <c r="EH56" s="98"/>
      <c r="EI56" s="99"/>
      <c r="EJ56" s="329" t="str">
        <f t="shared" si="14"/>
        <v/>
      </c>
      <c r="EK56" s="77"/>
      <c r="EL56" s="78"/>
      <c r="EM56" s="78"/>
      <c r="EN56" s="79"/>
      <c r="EO56" s="333" t="str">
        <f>IF(EJ56="","",'Name List'!$I$4)</f>
        <v/>
      </c>
      <c r="EQ56" s="115"/>
      <c r="ER56" s="116"/>
      <c r="ES56" s="117"/>
      <c r="ET56" s="77"/>
      <c r="EU56" s="78"/>
      <c r="EV56" s="78"/>
      <c r="EW56" s="79"/>
      <c r="EX56" s="333" t="str">
        <f>IF(ES56="","",'Name List'!$I$4)</f>
        <v/>
      </c>
      <c r="EZ56" s="68"/>
      <c r="FA56" s="69"/>
      <c r="FB56" s="70"/>
      <c r="FC56" s="77"/>
      <c r="FD56" s="78"/>
      <c r="FE56" s="78"/>
      <c r="FF56" s="79"/>
      <c r="FG56" s="67"/>
      <c r="FI56" s="98"/>
      <c r="FJ56" s="99"/>
      <c r="FK56" s="329" t="str">
        <f t="shared" si="16"/>
        <v/>
      </c>
      <c r="FL56" s="77"/>
      <c r="FM56" s="78"/>
      <c r="FN56" s="78"/>
      <c r="FO56" s="79"/>
      <c r="FP56" s="333" t="str">
        <f>IF(FK56="","",'Name List'!$I$4)</f>
        <v/>
      </c>
      <c r="FR56" s="98"/>
      <c r="FS56" s="99"/>
      <c r="FT56" s="329" t="str">
        <f t="shared" si="17"/>
        <v/>
      </c>
      <c r="FU56" s="77"/>
      <c r="FV56" s="78"/>
      <c r="FW56" s="78"/>
      <c r="FX56" s="79"/>
      <c r="FY56" s="333" t="str">
        <f>IF(FT56="","",'Name List'!$I$4)</f>
        <v/>
      </c>
      <c r="GA56" s="98"/>
      <c r="GB56" s="99"/>
      <c r="GC56" s="329" t="str">
        <f t="shared" si="18"/>
        <v/>
      </c>
      <c r="GD56" s="77"/>
      <c r="GE56" s="78"/>
      <c r="GF56" s="78"/>
      <c r="GG56" s="79"/>
      <c r="GH56" s="333" t="str">
        <f>IF(GC56="","",'Name List'!$I$4)</f>
        <v/>
      </c>
      <c r="GJ56" s="98"/>
      <c r="GK56" s="99"/>
      <c r="GL56" s="329" t="str">
        <f t="shared" si="19"/>
        <v/>
      </c>
      <c r="GM56" s="77"/>
      <c r="GN56" s="78"/>
      <c r="GO56" s="78"/>
      <c r="GP56" s="79"/>
      <c r="GQ56" s="333" t="str">
        <f>IF(GL56="","",'Name List'!$I$4)</f>
        <v/>
      </c>
      <c r="GS56" s="68"/>
      <c r="GT56" s="69"/>
      <c r="GU56" s="70"/>
      <c r="GV56" s="77"/>
      <c r="GW56" s="78"/>
      <c r="GX56" s="78"/>
      <c r="GY56" s="79"/>
      <c r="GZ56" s="67"/>
      <c r="HB56" s="98"/>
      <c r="HC56" s="99"/>
      <c r="HD56" s="329" t="str">
        <f t="shared" si="21"/>
        <v/>
      </c>
      <c r="HE56" s="77"/>
      <c r="HF56" s="78"/>
      <c r="HG56" s="78"/>
      <c r="HH56" s="79"/>
      <c r="HI56" s="333" t="str">
        <f>IF(HD56="","",'Name List'!$I$4)</f>
        <v/>
      </c>
      <c r="HK56" s="71"/>
      <c r="HL56" s="72"/>
      <c r="HM56" s="383" t="str">
        <f t="shared" si="22"/>
        <v/>
      </c>
      <c r="HN56" s="77"/>
      <c r="HO56" s="78"/>
      <c r="HP56" s="78"/>
      <c r="HQ56" s="79"/>
      <c r="HR56" s="333" t="str">
        <f>IF(HM56="","",'Name List'!$I$4)</f>
        <v/>
      </c>
      <c r="HT56" s="68"/>
      <c r="HU56" s="69"/>
      <c r="HV56" s="70"/>
      <c r="HW56" s="77"/>
      <c r="HX56" s="78"/>
      <c r="HY56" s="78"/>
      <c r="HZ56" s="79"/>
      <c r="IA56" s="67"/>
      <c r="IC56" s="115"/>
      <c r="ID56" s="116"/>
      <c r="IE56" s="117"/>
      <c r="IF56" s="77"/>
      <c r="IG56" s="78"/>
      <c r="IH56" s="78"/>
      <c r="II56" s="79"/>
      <c r="IJ56" s="333" t="str">
        <f>IF(IE56="","",'Name List'!$I$4)</f>
        <v/>
      </c>
      <c r="IL56" s="98"/>
      <c r="IM56" s="99"/>
      <c r="IN56" s="100"/>
      <c r="IO56" s="77"/>
      <c r="IP56" s="78"/>
      <c r="IQ56" s="78"/>
      <c r="IR56" s="79"/>
      <c r="IS56" s="67"/>
      <c r="IU56" s="98"/>
      <c r="IV56" s="99"/>
      <c r="IW56" s="100"/>
      <c r="IX56" s="77"/>
      <c r="IY56" s="78"/>
      <c r="IZ56" s="78"/>
      <c r="JA56" s="79"/>
      <c r="JB56" s="67"/>
      <c r="JD56" s="98"/>
      <c r="JE56" s="99"/>
      <c r="JF56" s="100"/>
      <c r="JG56" s="77"/>
      <c r="JH56" s="78"/>
      <c r="JI56" s="78"/>
      <c r="JJ56" s="79"/>
      <c r="JK56" s="67"/>
      <c r="JM56" s="98"/>
      <c r="JN56" s="99"/>
      <c r="JO56" s="275"/>
      <c r="JP56" s="77"/>
      <c r="JQ56" s="78"/>
      <c r="JR56" s="78"/>
      <c r="JS56" s="79"/>
      <c r="JT56" s="67"/>
      <c r="JV56" s="98"/>
      <c r="JW56" s="99"/>
      <c r="JX56" s="100"/>
      <c r="JY56" s="77"/>
      <c r="JZ56" s="78"/>
      <c r="KA56" s="78"/>
      <c r="KB56" s="79"/>
      <c r="KC56" s="67"/>
      <c r="KE56" s="98"/>
      <c r="KF56" s="99"/>
      <c r="KG56" s="100"/>
      <c r="KH56" s="77"/>
      <c r="KI56" s="78"/>
      <c r="KJ56" s="78"/>
      <c r="KK56" s="79"/>
      <c r="KL56" s="67"/>
      <c r="KN56" s="68"/>
      <c r="KO56" s="69"/>
      <c r="KP56" s="70"/>
      <c r="KQ56" s="77"/>
      <c r="KR56" s="78"/>
      <c r="KS56" s="78"/>
      <c r="KT56" s="79"/>
      <c r="KU56" s="67"/>
      <c r="KW56" s="98"/>
      <c r="KX56" s="99"/>
      <c r="KY56" s="100"/>
      <c r="KZ56" s="77"/>
      <c r="LA56" s="78"/>
      <c r="LB56" s="78"/>
      <c r="LC56" s="79"/>
      <c r="LD56" s="67"/>
      <c r="LF56" s="71"/>
      <c r="LG56" s="72"/>
      <c r="LH56" s="73"/>
      <c r="LI56" s="77"/>
      <c r="LJ56" s="78"/>
      <c r="LK56" s="78"/>
      <c r="LL56" s="79"/>
      <c r="LM56" s="67"/>
      <c r="LO56" s="98"/>
      <c r="LP56" s="99"/>
      <c r="LQ56" s="329"/>
      <c r="LR56" s="77"/>
      <c r="LS56" s="78"/>
      <c r="LT56" s="78"/>
      <c r="LU56" s="79"/>
      <c r="LV56" s="67"/>
      <c r="LX56" s="98"/>
      <c r="LY56" s="99"/>
      <c r="LZ56" s="100"/>
      <c r="MA56" s="77"/>
      <c r="MB56" s="78"/>
      <c r="MC56" s="78"/>
      <c r="MD56" s="79"/>
      <c r="ME56" s="67"/>
      <c r="MG56" s="98"/>
      <c r="MH56" s="99"/>
      <c r="MI56" s="100"/>
      <c r="MJ56" s="77"/>
      <c r="MK56" s="78"/>
      <c r="ML56" s="78"/>
      <c r="MM56" s="79"/>
      <c r="MN56" s="67"/>
      <c r="MP56" s="98"/>
      <c r="MQ56" s="99"/>
      <c r="MR56" s="100"/>
      <c r="MS56" s="77"/>
      <c r="MT56" s="78"/>
      <c r="MU56" s="78"/>
      <c r="MV56" s="79"/>
      <c r="MW56" s="67"/>
      <c r="MY56" s="98"/>
      <c r="MZ56" s="99"/>
      <c r="NA56" s="100"/>
      <c r="NB56" s="77"/>
      <c r="NC56" s="78"/>
      <c r="ND56" s="78"/>
      <c r="NE56" s="79"/>
      <c r="NF56" s="67"/>
      <c r="NH56" s="98"/>
      <c r="NI56" s="99"/>
      <c r="NJ56" s="329"/>
      <c r="NK56" s="77"/>
      <c r="NL56" s="78"/>
      <c r="NM56" s="78"/>
      <c r="NN56" s="79"/>
      <c r="NO56" s="67"/>
      <c r="NQ56" s="98"/>
      <c r="NR56" s="99"/>
      <c r="NS56" s="100"/>
      <c r="NT56" s="77"/>
      <c r="NU56" s="78"/>
      <c r="NV56" s="78"/>
      <c r="NW56" s="79"/>
      <c r="NX56" s="67"/>
      <c r="NZ56" s="71"/>
      <c r="OA56" s="72"/>
      <c r="OB56" s="73"/>
      <c r="OC56" s="77"/>
      <c r="OD56" s="78"/>
      <c r="OE56" s="78"/>
      <c r="OF56" s="79"/>
      <c r="OG56" s="67"/>
      <c r="OI56" s="98"/>
      <c r="OJ56" s="99"/>
      <c r="OK56" s="329"/>
      <c r="OL56" s="77"/>
      <c r="OM56" s="78"/>
      <c r="ON56" s="78"/>
      <c r="OO56" s="79"/>
      <c r="OP56" s="67"/>
      <c r="OR56" s="71"/>
      <c r="OS56" s="72"/>
      <c r="OT56" s="73"/>
      <c r="OU56" s="77"/>
      <c r="OV56" s="78"/>
      <c r="OW56" s="78"/>
      <c r="OX56" s="79"/>
      <c r="OY56" s="67"/>
      <c r="PA56" s="98"/>
      <c r="PB56" s="99"/>
      <c r="PC56" s="100"/>
      <c r="PD56" s="77"/>
      <c r="PE56" s="78"/>
      <c r="PF56" s="78"/>
      <c r="PG56" s="79"/>
      <c r="PH56" s="67"/>
      <c r="PJ56" s="277"/>
      <c r="PK56" s="278"/>
      <c r="PL56" s="279"/>
      <c r="PM56" s="125"/>
      <c r="PN56" s="126"/>
      <c r="PO56" s="126"/>
      <c r="PP56" s="127"/>
      <c r="PQ56" s="128"/>
      <c r="PS56" s="403"/>
      <c r="PT56" s="404"/>
      <c r="PU56" s="405"/>
      <c r="PV56" s="330"/>
      <c r="PW56" s="331"/>
      <c r="PX56" s="331"/>
      <c r="PY56" s="332"/>
      <c r="PZ56" s="333"/>
      <c r="QB56" s="412"/>
      <c r="QC56" s="413"/>
      <c r="QD56" s="414"/>
      <c r="QE56" s="125"/>
      <c r="QF56" s="126"/>
      <c r="QG56" s="126"/>
      <c r="QH56" s="127"/>
      <c r="QI56" s="128"/>
      <c r="QK56" s="283"/>
      <c r="QL56" s="284"/>
      <c r="QM56" s="285"/>
      <c r="QN56" s="125"/>
      <c r="QO56" s="126"/>
      <c r="QP56" s="126"/>
      <c r="QQ56" s="127"/>
      <c r="QR56" s="128" t="str">
        <f>IF(QM56="","",'Name List'!$I$4)</f>
        <v/>
      </c>
      <c r="QS56" s="91"/>
      <c r="QT56" s="107">
        <f t="shared" si="50"/>
        <v>0</v>
      </c>
      <c r="QU56" s="130">
        <f t="shared" si="51"/>
        <v>0</v>
      </c>
      <c r="QV56" s="130">
        <f t="shared" si="52"/>
        <v>0</v>
      </c>
      <c r="QW56" s="108">
        <f t="shared" si="53"/>
        <v>0</v>
      </c>
      <c r="QY56" s="260">
        <f t="shared" si="54"/>
        <v>0</v>
      </c>
      <c r="RA56" s="141">
        <f t="shared" si="55"/>
        <v>0</v>
      </c>
      <c r="RB56" s="106">
        <f t="shared" si="56"/>
        <v>0</v>
      </c>
      <c r="RC56" s="106">
        <f t="shared" si="57"/>
        <v>0</v>
      </c>
      <c r="RD56" s="106">
        <f t="shared" si="58"/>
        <v>0</v>
      </c>
      <c r="RE56" s="106">
        <f t="shared" si="59"/>
        <v>0</v>
      </c>
      <c r="RF56" s="142">
        <f t="shared" si="60"/>
        <v>0</v>
      </c>
      <c r="RG56" s="106"/>
      <c r="RH56" s="139">
        <f t="shared" si="61"/>
        <v>0</v>
      </c>
      <c r="RI56" s="140">
        <f t="shared" si="62"/>
        <v>0</v>
      </c>
      <c r="RJ56" s="106"/>
      <c r="RK56" s="136">
        <f t="shared" si="63"/>
        <v>0</v>
      </c>
      <c r="RL56" s="106"/>
      <c r="RM56" s="137">
        <f t="shared" si="64"/>
        <v>0</v>
      </c>
      <c r="RN56" s="138">
        <f t="shared" si="65"/>
        <v>0</v>
      </c>
      <c r="RO56" s="106"/>
      <c r="RP56" s="259">
        <f t="shared" si="66"/>
        <v>0</v>
      </c>
    </row>
    <row r="57" spans="1:484" x14ac:dyDescent="0.2">
      <c r="A57" s="89" t="str">
        <f>'Name List'!B57</f>
        <v>Kevin Tribley</v>
      </c>
      <c r="C57" s="98"/>
      <c r="D57" s="99"/>
      <c r="E57" s="329" t="str">
        <f t="shared" si="0"/>
        <v/>
      </c>
      <c r="F57" s="77"/>
      <c r="G57" s="78"/>
      <c r="H57" s="78"/>
      <c r="I57" s="79"/>
      <c r="J57" s="333" t="str">
        <f>IF(E57="","",'Name List'!$I$4)</f>
        <v/>
      </c>
      <c r="L57" s="98"/>
      <c r="M57" s="99"/>
      <c r="N57" s="100"/>
      <c r="O57" s="77"/>
      <c r="P57" s="78"/>
      <c r="Q57" s="78"/>
      <c r="R57" s="79"/>
      <c r="S57" s="67"/>
      <c r="U57" s="71">
        <v>14</v>
      </c>
      <c r="V57" s="72">
        <v>14</v>
      </c>
      <c r="W57" s="396">
        <f t="shared" si="2"/>
        <v>28</v>
      </c>
      <c r="X57" s="77">
        <v>0</v>
      </c>
      <c r="Y57" s="78">
        <v>1</v>
      </c>
      <c r="Z57" s="78">
        <v>4</v>
      </c>
      <c r="AA57" s="79">
        <v>1</v>
      </c>
      <c r="AB57" s="333">
        <f>IF(W57="","",'Name List'!$I$4)</f>
        <v>5</v>
      </c>
      <c r="AD57" s="98">
        <v>18</v>
      </c>
      <c r="AE57" s="99">
        <v>15</v>
      </c>
      <c r="AF57" s="329">
        <f t="shared" si="3"/>
        <v>33</v>
      </c>
      <c r="AG57" s="77">
        <v>0</v>
      </c>
      <c r="AH57" s="78">
        <v>1</v>
      </c>
      <c r="AI57" s="78">
        <v>10</v>
      </c>
      <c r="AJ57" s="79">
        <v>2</v>
      </c>
      <c r="AK57" s="333">
        <f>IF(AF57="","",'Name List'!$I$4)</f>
        <v>5</v>
      </c>
      <c r="AM57" s="98"/>
      <c r="AN57" s="99"/>
      <c r="AO57" s="329" t="str">
        <f t="shared" si="4"/>
        <v/>
      </c>
      <c r="AP57" s="77"/>
      <c r="AQ57" s="78"/>
      <c r="AR57" s="78"/>
      <c r="AS57" s="79"/>
      <c r="AT57" s="333" t="str">
        <f>IF(AO57="","",'Name List'!$I$4)</f>
        <v/>
      </c>
      <c r="AV57" s="458"/>
      <c r="AW57" s="401"/>
      <c r="AX57" s="400" t="str">
        <f t="shared" si="5"/>
        <v/>
      </c>
      <c r="AY57" s="77"/>
      <c r="AZ57" s="78"/>
      <c r="BA57" s="78"/>
      <c r="BB57" s="79"/>
      <c r="BC57" s="457" t="str">
        <f>IF(AX57="","",'Name List'!$I$4)</f>
        <v/>
      </c>
      <c r="BE57" s="71">
        <v>14</v>
      </c>
      <c r="BF57" s="72">
        <v>15</v>
      </c>
      <c r="BG57" s="383">
        <f t="shared" si="6"/>
        <v>29</v>
      </c>
      <c r="BH57" s="77">
        <v>0</v>
      </c>
      <c r="BI57" s="78">
        <v>0</v>
      </c>
      <c r="BJ57" s="78">
        <v>6</v>
      </c>
      <c r="BK57" s="79">
        <v>2</v>
      </c>
      <c r="BL57" s="333">
        <f>IF(BG57="","",'Name List'!$I$4)</f>
        <v>5</v>
      </c>
      <c r="BN57" s="98"/>
      <c r="BO57" s="99"/>
      <c r="BP57" s="100"/>
      <c r="BQ57" s="77"/>
      <c r="BR57" s="78"/>
      <c r="BS57" s="78"/>
      <c r="BT57" s="79"/>
      <c r="BU57" s="67"/>
      <c r="BW57" s="98"/>
      <c r="BX57" s="99"/>
      <c r="BY57" s="329" t="str">
        <f t="shared" si="8"/>
        <v/>
      </c>
      <c r="BZ57" s="77"/>
      <c r="CA57" s="78"/>
      <c r="CB57" s="78"/>
      <c r="CC57" s="79"/>
      <c r="CD57" s="333" t="str">
        <f>IF(BY57="","",'Name List'!$I$4)</f>
        <v/>
      </c>
      <c r="CF57" s="68">
        <v>17</v>
      </c>
      <c r="CG57" s="69">
        <v>17</v>
      </c>
      <c r="CH57" s="282">
        <f t="shared" si="49"/>
        <v>34</v>
      </c>
      <c r="CI57" s="77">
        <v>0</v>
      </c>
      <c r="CJ57" s="78">
        <v>1</v>
      </c>
      <c r="CK57" s="78">
        <v>9</v>
      </c>
      <c r="CL57" s="79">
        <v>1</v>
      </c>
      <c r="CM57" s="333">
        <f>IF(CH57="","",'Name List'!$I$4)</f>
        <v>5</v>
      </c>
      <c r="CO57" s="71">
        <v>17</v>
      </c>
      <c r="CP57" s="72">
        <v>16</v>
      </c>
      <c r="CQ57" s="383">
        <f t="shared" si="9"/>
        <v>33</v>
      </c>
      <c r="CR57" s="77">
        <v>0</v>
      </c>
      <c r="CS57" s="78">
        <v>0</v>
      </c>
      <c r="CT57" s="78">
        <v>6</v>
      </c>
      <c r="CU57" s="79">
        <v>0</v>
      </c>
      <c r="CV57" s="333">
        <f>IF(CQ57="","",'Name List'!$I$4)</f>
        <v>5</v>
      </c>
      <c r="CX57" s="98">
        <v>17</v>
      </c>
      <c r="CY57" s="99">
        <v>20</v>
      </c>
      <c r="CZ57" s="329">
        <f t="shared" si="10"/>
        <v>37</v>
      </c>
      <c r="DA57" s="77">
        <v>0</v>
      </c>
      <c r="DB57" s="78">
        <v>0</v>
      </c>
      <c r="DC57" s="78">
        <v>14</v>
      </c>
      <c r="DD57" s="79">
        <v>1</v>
      </c>
      <c r="DE57" s="333">
        <f>IF(CZ57="","",'Name List'!$I$4)</f>
        <v>5</v>
      </c>
      <c r="DG57" s="98"/>
      <c r="DH57" s="99"/>
      <c r="DI57" s="329" t="str">
        <f t="shared" si="11"/>
        <v/>
      </c>
      <c r="DJ57" s="77"/>
      <c r="DK57" s="78"/>
      <c r="DL57" s="78"/>
      <c r="DM57" s="79"/>
      <c r="DN57" s="333" t="str">
        <f>IF(DI57="","",'Name List'!$I$4)</f>
        <v/>
      </c>
      <c r="DP57" s="98">
        <v>17</v>
      </c>
      <c r="DQ57" s="99">
        <v>12</v>
      </c>
      <c r="DR57" s="329">
        <f t="shared" si="12"/>
        <v>29</v>
      </c>
      <c r="DS57" s="77">
        <v>0</v>
      </c>
      <c r="DT57" s="78">
        <v>1</v>
      </c>
      <c r="DU57" s="78">
        <v>6</v>
      </c>
      <c r="DV57" s="79">
        <v>3</v>
      </c>
      <c r="DW57" s="333">
        <f>IF(DR57="","",'Name List'!$I$4)</f>
        <v>5</v>
      </c>
      <c r="DY57" s="98"/>
      <c r="DZ57" s="99"/>
      <c r="EA57" s="329" t="str">
        <f t="shared" si="13"/>
        <v/>
      </c>
      <c r="EB57" s="77"/>
      <c r="EC57" s="78"/>
      <c r="ED57" s="78"/>
      <c r="EE57" s="79"/>
      <c r="EF57" s="333" t="str">
        <f>IF(EA57="","",'Name List'!$I$4)</f>
        <v/>
      </c>
      <c r="EH57" s="98">
        <v>19</v>
      </c>
      <c r="EI57" s="99">
        <v>14</v>
      </c>
      <c r="EJ57" s="329">
        <f t="shared" si="14"/>
        <v>33</v>
      </c>
      <c r="EK57" s="77">
        <v>0</v>
      </c>
      <c r="EL57" s="78">
        <v>1</v>
      </c>
      <c r="EM57" s="78">
        <v>7</v>
      </c>
      <c r="EN57" s="79">
        <v>1</v>
      </c>
      <c r="EO57" s="333">
        <f>IF(EJ57="","",'Name List'!$I$4)</f>
        <v>5</v>
      </c>
      <c r="EQ57" s="115"/>
      <c r="ER57" s="116"/>
      <c r="ES57" s="117"/>
      <c r="ET57" s="77"/>
      <c r="EU57" s="78"/>
      <c r="EV57" s="78"/>
      <c r="EW57" s="79"/>
      <c r="EX57" s="333" t="str">
        <f>IF(ES57="","",'Name List'!$I$4)</f>
        <v/>
      </c>
      <c r="EZ57" s="68"/>
      <c r="FA57" s="69"/>
      <c r="FB57" s="70"/>
      <c r="FC57" s="77"/>
      <c r="FD57" s="78"/>
      <c r="FE57" s="78"/>
      <c r="FF57" s="79"/>
      <c r="FG57" s="67"/>
      <c r="FI57" s="98">
        <v>12</v>
      </c>
      <c r="FJ57" s="99">
        <v>15</v>
      </c>
      <c r="FK57" s="329">
        <f t="shared" si="16"/>
        <v>27</v>
      </c>
      <c r="FL57" s="77">
        <v>0</v>
      </c>
      <c r="FM57" s="78">
        <v>1</v>
      </c>
      <c r="FN57" s="78">
        <v>4</v>
      </c>
      <c r="FO57" s="79">
        <v>3</v>
      </c>
      <c r="FP57" s="333">
        <f>IF(FK57="","",'Name List'!$I$4)</f>
        <v>5</v>
      </c>
      <c r="FR57" s="98"/>
      <c r="FS57" s="99"/>
      <c r="FT57" s="329" t="str">
        <f t="shared" si="17"/>
        <v/>
      </c>
      <c r="FU57" s="77"/>
      <c r="FV57" s="78"/>
      <c r="FW57" s="78"/>
      <c r="FX57" s="79"/>
      <c r="FY57" s="333" t="str">
        <f>IF(FT57="","",'Name List'!$I$4)</f>
        <v/>
      </c>
      <c r="GA57" s="98">
        <v>14</v>
      </c>
      <c r="GB57" s="99">
        <v>14</v>
      </c>
      <c r="GC57" s="329">
        <f t="shared" si="18"/>
        <v>28</v>
      </c>
      <c r="GD57" s="77">
        <v>0</v>
      </c>
      <c r="GE57" s="78">
        <v>0</v>
      </c>
      <c r="GF57" s="78">
        <v>8</v>
      </c>
      <c r="GG57" s="79">
        <v>1</v>
      </c>
      <c r="GH57" s="333">
        <f>IF(GC57="","",'Name List'!$I$4)</f>
        <v>5</v>
      </c>
      <c r="GJ57" s="98"/>
      <c r="GK57" s="99"/>
      <c r="GL57" s="329" t="str">
        <f t="shared" si="19"/>
        <v/>
      </c>
      <c r="GM57" s="77"/>
      <c r="GN57" s="78"/>
      <c r="GO57" s="78"/>
      <c r="GP57" s="79"/>
      <c r="GQ57" s="333" t="str">
        <f>IF(GL57="","",'Name List'!$I$4)</f>
        <v/>
      </c>
      <c r="GS57" s="68"/>
      <c r="GT57" s="69"/>
      <c r="GU57" s="70"/>
      <c r="GV57" s="77"/>
      <c r="GW57" s="78"/>
      <c r="GX57" s="78"/>
      <c r="GY57" s="79"/>
      <c r="GZ57" s="67"/>
      <c r="HB57" s="98">
        <v>15</v>
      </c>
      <c r="HC57" s="99">
        <v>15</v>
      </c>
      <c r="HD57" s="329">
        <f t="shared" si="21"/>
        <v>30</v>
      </c>
      <c r="HE57" s="77">
        <v>0</v>
      </c>
      <c r="HF57" s="78">
        <v>3</v>
      </c>
      <c r="HG57" s="78">
        <v>5</v>
      </c>
      <c r="HH57" s="79">
        <v>4</v>
      </c>
      <c r="HI57" s="333">
        <f>IF(HD57="","",'Name List'!$I$4)</f>
        <v>5</v>
      </c>
      <c r="HK57" s="71">
        <v>20</v>
      </c>
      <c r="HL57" s="72">
        <v>13</v>
      </c>
      <c r="HM57" s="383">
        <f t="shared" si="22"/>
        <v>33</v>
      </c>
      <c r="HN57" s="77">
        <v>0</v>
      </c>
      <c r="HO57" s="78">
        <v>1</v>
      </c>
      <c r="HP57" s="78">
        <v>8</v>
      </c>
      <c r="HQ57" s="79">
        <v>1</v>
      </c>
      <c r="HR57" s="333">
        <f>IF(HM57="","",'Name List'!$I$4)</f>
        <v>5</v>
      </c>
      <c r="HT57" s="68"/>
      <c r="HU57" s="69"/>
      <c r="HV57" s="70"/>
      <c r="HW57" s="77"/>
      <c r="HX57" s="78"/>
      <c r="HY57" s="78"/>
      <c r="HZ57" s="79"/>
      <c r="IA57" s="67"/>
      <c r="IC57" s="115"/>
      <c r="ID57" s="116"/>
      <c r="IE57" s="117"/>
      <c r="IF57" s="77"/>
      <c r="IG57" s="78"/>
      <c r="IH57" s="78"/>
      <c r="II57" s="79"/>
      <c r="IJ57" s="333" t="str">
        <f>IF(IE57="","",'Name List'!$I$4)</f>
        <v/>
      </c>
      <c r="IL57" s="98"/>
      <c r="IM57" s="99"/>
      <c r="IN57" s="100"/>
      <c r="IO57" s="77"/>
      <c r="IP57" s="78"/>
      <c r="IQ57" s="78"/>
      <c r="IR57" s="79"/>
      <c r="IS57" s="67"/>
      <c r="IU57" s="98"/>
      <c r="IV57" s="99"/>
      <c r="IW57" s="100"/>
      <c r="IX57" s="77"/>
      <c r="IY57" s="78"/>
      <c r="IZ57" s="78"/>
      <c r="JA57" s="79"/>
      <c r="JB57" s="67"/>
      <c r="JD57" s="98"/>
      <c r="JE57" s="99"/>
      <c r="JF57" s="100"/>
      <c r="JG57" s="77"/>
      <c r="JH57" s="78"/>
      <c r="JI57" s="78"/>
      <c r="JJ57" s="79"/>
      <c r="JK57" s="67"/>
      <c r="JM57" s="98"/>
      <c r="JN57" s="99"/>
      <c r="JO57" s="275"/>
      <c r="JP57" s="77"/>
      <c r="JQ57" s="78"/>
      <c r="JR57" s="78"/>
      <c r="JS57" s="79"/>
      <c r="JT57" s="67"/>
      <c r="JV57" s="98"/>
      <c r="JW57" s="99"/>
      <c r="JX57" s="100"/>
      <c r="JY57" s="77"/>
      <c r="JZ57" s="78"/>
      <c r="KA57" s="78"/>
      <c r="KB57" s="79"/>
      <c r="KC57" s="67"/>
      <c r="KE57" s="98"/>
      <c r="KF57" s="99"/>
      <c r="KG57" s="100"/>
      <c r="KH57" s="77"/>
      <c r="KI57" s="78"/>
      <c r="KJ57" s="78"/>
      <c r="KK57" s="79"/>
      <c r="KL57" s="67"/>
      <c r="KN57" s="68"/>
      <c r="KO57" s="69"/>
      <c r="KP57" s="70"/>
      <c r="KQ57" s="77"/>
      <c r="KR57" s="78"/>
      <c r="KS57" s="78"/>
      <c r="KT57" s="79"/>
      <c r="KU57" s="67"/>
      <c r="KW57" s="98"/>
      <c r="KX57" s="99"/>
      <c r="KY57" s="100"/>
      <c r="KZ57" s="77"/>
      <c r="LA57" s="78"/>
      <c r="LB57" s="78"/>
      <c r="LC57" s="79"/>
      <c r="LD57" s="67"/>
      <c r="LF57" s="71"/>
      <c r="LG57" s="72"/>
      <c r="LH57" s="73"/>
      <c r="LI57" s="77"/>
      <c r="LJ57" s="78"/>
      <c r="LK57" s="78"/>
      <c r="LL57" s="79"/>
      <c r="LM57" s="67"/>
      <c r="LO57" s="98"/>
      <c r="LP57" s="99"/>
      <c r="LQ57" s="329"/>
      <c r="LR57" s="77"/>
      <c r="LS57" s="78"/>
      <c r="LT57" s="78"/>
      <c r="LU57" s="79"/>
      <c r="LV57" s="67"/>
      <c r="LX57" s="98"/>
      <c r="LY57" s="99"/>
      <c r="LZ57" s="100"/>
      <c r="MA57" s="77"/>
      <c r="MB57" s="78"/>
      <c r="MC57" s="78"/>
      <c r="MD57" s="79"/>
      <c r="ME57" s="67"/>
      <c r="MG57" s="98"/>
      <c r="MH57" s="99"/>
      <c r="MI57" s="100"/>
      <c r="MJ57" s="77"/>
      <c r="MK57" s="78"/>
      <c r="ML57" s="78"/>
      <c r="MM57" s="79"/>
      <c r="MN57" s="67"/>
      <c r="MP57" s="98"/>
      <c r="MQ57" s="99"/>
      <c r="MR57" s="100"/>
      <c r="MS57" s="77"/>
      <c r="MT57" s="78"/>
      <c r="MU57" s="78"/>
      <c r="MV57" s="79"/>
      <c r="MW57" s="67"/>
      <c r="MY57" s="98"/>
      <c r="MZ57" s="99"/>
      <c r="NA57" s="100"/>
      <c r="NB57" s="77"/>
      <c r="NC57" s="78"/>
      <c r="ND57" s="78"/>
      <c r="NE57" s="79"/>
      <c r="NF57" s="67"/>
      <c r="NH57" s="98"/>
      <c r="NI57" s="99"/>
      <c r="NJ57" s="329"/>
      <c r="NK57" s="77"/>
      <c r="NL57" s="78"/>
      <c r="NM57" s="78"/>
      <c r="NN57" s="79"/>
      <c r="NO57" s="67"/>
      <c r="NQ57" s="98"/>
      <c r="NR57" s="99"/>
      <c r="NS57" s="100"/>
      <c r="NT57" s="77"/>
      <c r="NU57" s="78"/>
      <c r="NV57" s="78"/>
      <c r="NW57" s="79"/>
      <c r="NX57" s="67"/>
      <c r="NZ57" s="71"/>
      <c r="OA57" s="72"/>
      <c r="OB57" s="73"/>
      <c r="OC57" s="77"/>
      <c r="OD57" s="78"/>
      <c r="OE57" s="78"/>
      <c r="OF57" s="79"/>
      <c r="OG57" s="67"/>
      <c r="OI57" s="98"/>
      <c r="OJ57" s="99"/>
      <c r="OK57" s="329"/>
      <c r="OL57" s="77"/>
      <c r="OM57" s="78"/>
      <c r="ON57" s="78"/>
      <c r="OO57" s="79"/>
      <c r="OP57" s="67"/>
      <c r="OR57" s="71"/>
      <c r="OS57" s="72"/>
      <c r="OT57" s="73"/>
      <c r="OU57" s="77"/>
      <c r="OV57" s="78"/>
      <c r="OW57" s="78"/>
      <c r="OX57" s="79"/>
      <c r="OY57" s="67"/>
      <c r="PA57" s="98"/>
      <c r="PB57" s="99"/>
      <c r="PC57" s="100"/>
      <c r="PD57" s="77"/>
      <c r="PE57" s="78"/>
      <c r="PF57" s="78"/>
      <c r="PG57" s="79"/>
      <c r="PH57" s="67"/>
      <c r="PJ57" s="277"/>
      <c r="PK57" s="278"/>
      <c r="PL57" s="279"/>
      <c r="PM57" s="125"/>
      <c r="PN57" s="126"/>
      <c r="PO57" s="126"/>
      <c r="PP57" s="127"/>
      <c r="PQ57" s="128"/>
      <c r="PS57" s="403"/>
      <c r="PT57" s="404"/>
      <c r="PU57" s="405"/>
      <c r="PV57" s="330"/>
      <c r="PW57" s="331"/>
      <c r="PX57" s="331"/>
      <c r="PY57" s="332"/>
      <c r="PZ57" s="333"/>
      <c r="QB57" s="412"/>
      <c r="QC57" s="413"/>
      <c r="QD57" s="414"/>
      <c r="QE57" s="125"/>
      <c r="QF57" s="126"/>
      <c r="QG57" s="126"/>
      <c r="QH57" s="127"/>
      <c r="QI57" s="128"/>
      <c r="QK57" s="283"/>
      <c r="QL57" s="284"/>
      <c r="QM57" s="285"/>
      <c r="QN57" s="125"/>
      <c r="QO57" s="126"/>
      <c r="QP57" s="126"/>
      <c r="QQ57" s="127"/>
      <c r="QR57" s="128" t="str">
        <f>IF(QM57="","",'Name List'!$I$4)</f>
        <v/>
      </c>
      <c r="QS57" s="91"/>
      <c r="QT57" s="107">
        <f t="shared" si="50"/>
        <v>0</v>
      </c>
      <c r="QU57" s="130">
        <f t="shared" si="51"/>
        <v>10</v>
      </c>
      <c r="QV57" s="130">
        <f t="shared" si="52"/>
        <v>87</v>
      </c>
      <c r="QW57" s="108">
        <f t="shared" si="53"/>
        <v>20</v>
      </c>
      <c r="QY57" s="260">
        <f t="shared" si="54"/>
        <v>12</v>
      </c>
      <c r="RA57" s="141">
        <f t="shared" si="55"/>
        <v>20</v>
      </c>
      <c r="RB57" s="106">
        <f t="shared" si="56"/>
        <v>20</v>
      </c>
      <c r="RC57" s="106">
        <f t="shared" si="57"/>
        <v>37</v>
      </c>
      <c r="RD57" s="106">
        <f t="shared" si="58"/>
        <v>12</v>
      </c>
      <c r="RE57" s="106">
        <f t="shared" si="59"/>
        <v>12</v>
      </c>
      <c r="RF57" s="142">
        <f t="shared" si="60"/>
        <v>27</v>
      </c>
      <c r="RG57" s="106"/>
      <c r="RH57" s="139">
        <f t="shared" si="61"/>
        <v>33</v>
      </c>
      <c r="RI57" s="140">
        <f t="shared" si="62"/>
        <v>28</v>
      </c>
      <c r="RJ57" s="106"/>
      <c r="RK57" s="136">
        <f t="shared" si="63"/>
        <v>31.166666666666668</v>
      </c>
      <c r="RL57" s="106"/>
      <c r="RM57" s="137">
        <f t="shared" si="64"/>
        <v>0</v>
      </c>
      <c r="RN57" s="138">
        <f t="shared" si="65"/>
        <v>0</v>
      </c>
      <c r="RO57" s="106"/>
      <c r="RP57" s="259">
        <f t="shared" si="66"/>
        <v>0</v>
      </c>
    </row>
    <row r="58" spans="1:484" x14ac:dyDescent="0.2">
      <c r="A58" s="89" t="str">
        <f>'Name List'!B58</f>
        <v>Russell Turner</v>
      </c>
      <c r="C58" s="98"/>
      <c r="D58" s="99"/>
      <c r="E58" s="329" t="str">
        <f t="shared" si="0"/>
        <v/>
      </c>
      <c r="F58" s="77"/>
      <c r="G58" s="78"/>
      <c r="H58" s="78"/>
      <c r="I58" s="79"/>
      <c r="J58" s="333" t="str">
        <f>IF(E58="","",'Name List'!$I$4)</f>
        <v/>
      </c>
      <c r="L58" s="98"/>
      <c r="M58" s="99"/>
      <c r="N58" s="100"/>
      <c r="O58" s="77"/>
      <c r="P58" s="78"/>
      <c r="Q58" s="78"/>
      <c r="R58" s="79"/>
      <c r="S58" s="67"/>
      <c r="U58" s="71"/>
      <c r="V58" s="72"/>
      <c r="W58" s="396" t="str">
        <f t="shared" si="2"/>
        <v/>
      </c>
      <c r="X58" s="77"/>
      <c r="Y58" s="78"/>
      <c r="Z58" s="78"/>
      <c r="AA58" s="79"/>
      <c r="AB58" s="333" t="str">
        <f>IF(W58="","",'Name List'!$I$4)</f>
        <v/>
      </c>
      <c r="AD58" s="98"/>
      <c r="AE58" s="99"/>
      <c r="AF58" s="329" t="str">
        <f t="shared" si="3"/>
        <v/>
      </c>
      <c r="AG58" s="77"/>
      <c r="AH58" s="78"/>
      <c r="AI58" s="78"/>
      <c r="AJ58" s="79"/>
      <c r="AK58" s="333" t="str">
        <f>IF(AF58="","",'Name List'!$I$4)</f>
        <v/>
      </c>
      <c r="AM58" s="98"/>
      <c r="AN58" s="99"/>
      <c r="AO58" s="329" t="str">
        <f t="shared" si="4"/>
        <v/>
      </c>
      <c r="AP58" s="77"/>
      <c r="AQ58" s="78"/>
      <c r="AR58" s="78"/>
      <c r="AS58" s="79"/>
      <c r="AT58" s="333" t="str">
        <f>IF(AO58="","",'Name List'!$I$4)</f>
        <v/>
      </c>
      <c r="AV58" s="458"/>
      <c r="AW58" s="401"/>
      <c r="AX58" s="400" t="str">
        <f t="shared" si="5"/>
        <v/>
      </c>
      <c r="AY58" s="77"/>
      <c r="AZ58" s="78"/>
      <c r="BA58" s="78"/>
      <c r="BB58" s="79"/>
      <c r="BC58" s="457" t="str">
        <f>IF(AX58="","",'Name List'!$I$4)</f>
        <v/>
      </c>
      <c r="BE58" s="71"/>
      <c r="BF58" s="72"/>
      <c r="BG58" s="383" t="str">
        <f t="shared" si="6"/>
        <v/>
      </c>
      <c r="BH58" s="77"/>
      <c r="BI58" s="78"/>
      <c r="BJ58" s="78"/>
      <c r="BK58" s="79"/>
      <c r="BL58" s="333" t="str">
        <f>IF(BG58="","",'Name List'!$I$4)</f>
        <v/>
      </c>
      <c r="BN58" s="98"/>
      <c r="BO58" s="99"/>
      <c r="BP58" s="100"/>
      <c r="BQ58" s="77"/>
      <c r="BR58" s="78"/>
      <c r="BS58" s="78"/>
      <c r="BT58" s="79"/>
      <c r="BU58" s="67"/>
      <c r="BW58" s="98"/>
      <c r="BX58" s="99"/>
      <c r="BY58" s="329" t="str">
        <f t="shared" si="8"/>
        <v/>
      </c>
      <c r="BZ58" s="77"/>
      <c r="CA58" s="78"/>
      <c r="CB58" s="78"/>
      <c r="CC58" s="79"/>
      <c r="CD58" s="333" t="str">
        <f>IF(BY58="","",'Name List'!$I$4)</f>
        <v/>
      </c>
      <c r="CF58" s="68"/>
      <c r="CG58" s="69"/>
      <c r="CH58" s="282" t="str">
        <f t="shared" si="49"/>
        <v/>
      </c>
      <c r="CI58" s="77"/>
      <c r="CJ58" s="78"/>
      <c r="CK58" s="78"/>
      <c r="CL58" s="79"/>
      <c r="CM58" s="333" t="str">
        <f>IF(CH58="","",'Name List'!$I$4)</f>
        <v/>
      </c>
      <c r="CO58" s="71"/>
      <c r="CP58" s="72"/>
      <c r="CQ58" s="383" t="str">
        <f t="shared" si="9"/>
        <v/>
      </c>
      <c r="CR58" s="77"/>
      <c r="CS58" s="78"/>
      <c r="CT58" s="78"/>
      <c r="CU58" s="79"/>
      <c r="CV58" s="333" t="str">
        <f>IF(CQ58="","",'Name List'!$I$4)</f>
        <v/>
      </c>
      <c r="CX58" s="98">
        <v>18</v>
      </c>
      <c r="CY58" s="99">
        <v>17</v>
      </c>
      <c r="CZ58" s="329">
        <f t="shared" si="10"/>
        <v>35</v>
      </c>
      <c r="DA58" s="77">
        <v>0</v>
      </c>
      <c r="DB58" s="78">
        <v>0</v>
      </c>
      <c r="DC58" s="78">
        <v>11</v>
      </c>
      <c r="DD58" s="79">
        <v>3</v>
      </c>
      <c r="DE58" s="333">
        <f>IF(CZ58="","",'Name List'!$I$4)</f>
        <v>5</v>
      </c>
      <c r="DG58" s="98"/>
      <c r="DH58" s="99"/>
      <c r="DI58" s="329" t="str">
        <f t="shared" si="11"/>
        <v/>
      </c>
      <c r="DJ58" s="77"/>
      <c r="DK58" s="78"/>
      <c r="DL58" s="78"/>
      <c r="DM58" s="79"/>
      <c r="DN58" s="333" t="str">
        <f>IF(DI58="","",'Name List'!$I$4)</f>
        <v/>
      </c>
      <c r="DP58" s="98"/>
      <c r="DQ58" s="99"/>
      <c r="DR58" s="329" t="str">
        <f t="shared" si="12"/>
        <v/>
      </c>
      <c r="DS58" s="77"/>
      <c r="DT58" s="78"/>
      <c r="DU58" s="78"/>
      <c r="DV58" s="79"/>
      <c r="DW58" s="333" t="str">
        <f>IF(DR58="","",'Name List'!$I$4)</f>
        <v/>
      </c>
      <c r="DY58" s="98"/>
      <c r="DZ58" s="99"/>
      <c r="EA58" s="329" t="str">
        <f t="shared" si="13"/>
        <v/>
      </c>
      <c r="EB58" s="77"/>
      <c r="EC58" s="78"/>
      <c r="ED58" s="78"/>
      <c r="EE58" s="79"/>
      <c r="EF58" s="333" t="str">
        <f>IF(EA58="","",'Name List'!$I$4)</f>
        <v/>
      </c>
      <c r="EH58" s="98"/>
      <c r="EI58" s="99"/>
      <c r="EJ58" s="329" t="str">
        <f t="shared" si="14"/>
        <v/>
      </c>
      <c r="EK58" s="77"/>
      <c r="EL58" s="78"/>
      <c r="EM58" s="78"/>
      <c r="EN58" s="79"/>
      <c r="EO58" s="333" t="str">
        <f>IF(EJ58="","",'Name List'!$I$4)</f>
        <v/>
      </c>
      <c r="EQ58" s="115"/>
      <c r="ER58" s="116"/>
      <c r="ES58" s="117"/>
      <c r="ET58" s="77"/>
      <c r="EU58" s="78"/>
      <c r="EV58" s="78"/>
      <c r="EW58" s="79"/>
      <c r="EX58" s="333" t="str">
        <f>IF(ES58="","",'Name List'!$I$4)</f>
        <v/>
      </c>
      <c r="EZ58" s="68"/>
      <c r="FA58" s="69"/>
      <c r="FB58" s="70"/>
      <c r="FC58" s="77"/>
      <c r="FD58" s="78"/>
      <c r="FE58" s="78"/>
      <c r="FF58" s="79"/>
      <c r="FG58" s="67"/>
      <c r="FI58" s="98"/>
      <c r="FJ58" s="99"/>
      <c r="FK58" s="329" t="str">
        <f t="shared" si="16"/>
        <v/>
      </c>
      <c r="FL58" s="77"/>
      <c r="FM58" s="78"/>
      <c r="FN58" s="78"/>
      <c r="FO58" s="79"/>
      <c r="FP58" s="333" t="str">
        <f>IF(FK58="","",'Name List'!$I$4)</f>
        <v/>
      </c>
      <c r="FR58" s="98"/>
      <c r="FS58" s="99"/>
      <c r="FT58" s="329" t="str">
        <f t="shared" si="17"/>
        <v/>
      </c>
      <c r="FU58" s="77"/>
      <c r="FV58" s="78"/>
      <c r="FW58" s="78"/>
      <c r="FX58" s="79"/>
      <c r="FY58" s="333" t="str">
        <f>IF(FT58="","",'Name List'!$I$4)</f>
        <v/>
      </c>
      <c r="GA58" s="98"/>
      <c r="GB58" s="99"/>
      <c r="GC58" s="329" t="str">
        <f t="shared" si="18"/>
        <v/>
      </c>
      <c r="GD58" s="77"/>
      <c r="GE58" s="78"/>
      <c r="GF58" s="78"/>
      <c r="GG58" s="79"/>
      <c r="GH58" s="333" t="str">
        <f>IF(GC58="","",'Name List'!$I$4)</f>
        <v/>
      </c>
      <c r="GJ58" s="98">
        <v>19</v>
      </c>
      <c r="GK58" s="99">
        <v>18</v>
      </c>
      <c r="GL58" s="329">
        <f t="shared" si="19"/>
        <v>37</v>
      </c>
      <c r="GM58" s="77">
        <v>0</v>
      </c>
      <c r="GN58" s="78">
        <v>1</v>
      </c>
      <c r="GO58" s="78">
        <v>11</v>
      </c>
      <c r="GP58" s="79">
        <v>1</v>
      </c>
      <c r="GQ58" s="333">
        <f>IF(GL58="","",'Name List'!$I$4)</f>
        <v>5</v>
      </c>
      <c r="GS58" s="68"/>
      <c r="GT58" s="69"/>
      <c r="GU58" s="70"/>
      <c r="GV58" s="77"/>
      <c r="GW58" s="78"/>
      <c r="GX58" s="78"/>
      <c r="GY58" s="79"/>
      <c r="GZ58" s="67"/>
      <c r="HB58" s="98"/>
      <c r="HC58" s="99"/>
      <c r="HD58" s="329" t="str">
        <f t="shared" si="21"/>
        <v/>
      </c>
      <c r="HE58" s="77"/>
      <c r="HF58" s="78"/>
      <c r="HG58" s="78"/>
      <c r="HH58" s="79"/>
      <c r="HI58" s="333" t="str">
        <f>IF(HD58="","",'Name List'!$I$4)</f>
        <v/>
      </c>
      <c r="HK58" s="71"/>
      <c r="HL58" s="72"/>
      <c r="HM58" s="383" t="str">
        <f t="shared" si="22"/>
        <v/>
      </c>
      <c r="HN58" s="77"/>
      <c r="HO58" s="78"/>
      <c r="HP58" s="78"/>
      <c r="HQ58" s="79"/>
      <c r="HR58" s="333" t="str">
        <f>IF(HM58="","",'Name List'!$I$4)</f>
        <v/>
      </c>
      <c r="HT58" s="68"/>
      <c r="HU58" s="69"/>
      <c r="HV58" s="70"/>
      <c r="HW58" s="77"/>
      <c r="HX58" s="78"/>
      <c r="HY58" s="78"/>
      <c r="HZ58" s="79"/>
      <c r="IA58" s="67"/>
      <c r="IC58" s="115"/>
      <c r="ID58" s="116"/>
      <c r="IE58" s="117"/>
      <c r="IF58" s="77"/>
      <c r="IG58" s="78"/>
      <c r="IH58" s="78"/>
      <c r="II58" s="79"/>
      <c r="IJ58" s="333" t="str">
        <f>IF(IE58="","",'Name List'!$I$4)</f>
        <v/>
      </c>
      <c r="IL58" s="98"/>
      <c r="IM58" s="99"/>
      <c r="IN58" s="100"/>
      <c r="IO58" s="77"/>
      <c r="IP58" s="78"/>
      <c r="IQ58" s="78"/>
      <c r="IR58" s="79"/>
      <c r="IS58" s="67"/>
      <c r="IU58" s="98"/>
      <c r="IV58" s="99"/>
      <c r="IW58" s="100"/>
      <c r="IX58" s="77"/>
      <c r="IY58" s="78"/>
      <c r="IZ58" s="78"/>
      <c r="JA58" s="79"/>
      <c r="JB58" s="67"/>
      <c r="JD58" s="98"/>
      <c r="JE58" s="99"/>
      <c r="JF58" s="100"/>
      <c r="JG58" s="77"/>
      <c r="JH58" s="78"/>
      <c r="JI58" s="78"/>
      <c r="JJ58" s="79"/>
      <c r="JK58" s="67"/>
      <c r="JM58" s="98"/>
      <c r="JN58" s="99"/>
      <c r="JO58" s="275"/>
      <c r="JP58" s="77"/>
      <c r="JQ58" s="78"/>
      <c r="JR58" s="78"/>
      <c r="JS58" s="79"/>
      <c r="JT58" s="67"/>
      <c r="JV58" s="98"/>
      <c r="JW58" s="99"/>
      <c r="JX58" s="100"/>
      <c r="JY58" s="77"/>
      <c r="JZ58" s="78"/>
      <c r="KA58" s="78"/>
      <c r="KB58" s="79"/>
      <c r="KC58" s="67"/>
      <c r="KE58" s="98"/>
      <c r="KF58" s="99"/>
      <c r="KG58" s="100"/>
      <c r="KH58" s="77"/>
      <c r="KI58" s="78"/>
      <c r="KJ58" s="78"/>
      <c r="KK58" s="79"/>
      <c r="KL58" s="67"/>
      <c r="KN58" s="68"/>
      <c r="KO58" s="69"/>
      <c r="KP58" s="70"/>
      <c r="KQ58" s="77"/>
      <c r="KR58" s="78"/>
      <c r="KS58" s="78"/>
      <c r="KT58" s="79"/>
      <c r="KU58" s="67"/>
      <c r="KW58" s="98"/>
      <c r="KX58" s="99"/>
      <c r="KY58" s="100"/>
      <c r="KZ58" s="77"/>
      <c r="LA58" s="78"/>
      <c r="LB58" s="78"/>
      <c r="LC58" s="79"/>
      <c r="LD58" s="67"/>
      <c r="LF58" s="71"/>
      <c r="LG58" s="72"/>
      <c r="LH58" s="73"/>
      <c r="LI58" s="77"/>
      <c r="LJ58" s="78"/>
      <c r="LK58" s="78"/>
      <c r="LL58" s="79"/>
      <c r="LM58" s="67"/>
      <c r="LO58" s="98"/>
      <c r="LP58" s="99"/>
      <c r="LQ58" s="329"/>
      <c r="LR58" s="77"/>
      <c r="LS58" s="78"/>
      <c r="LT58" s="78"/>
      <c r="LU58" s="79"/>
      <c r="LV58" s="67"/>
      <c r="LX58" s="98"/>
      <c r="LY58" s="99"/>
      <c r="LZ58" s="100"/>
      <c r="MA58" s="77"/>
      <c r="MB58" s="78"/>
      <c r="MC58" s="78"/>
      <c r="MD58" s="79"/>
      <c r="ME58" s="67"/>
      <c r="MG58" s="98"/>
      <c r="MH58" s="99"/>
      <c r="MI58" s="100"/>
      <c r="MJ58" s="77"/>
      <c r="MK58" s="78"/>
      <c r="ML58" s="78"/>
      <c r="MM58" s="79"/>
      <c r="MN58" s="67"/>
      <c r="MP58" s="98"/>
      <c r="MQ58" s="99"/>
      <c r="MR58" s="100"/>
      <c r="MS58" s="77"/>
      <c r="MT58" s="78"/>
      <c r="MU58" s="78"/>
      <c r="MV58" s="79"/>
      <c r="MW58" s="67"/>
      <c r="MY58" s="98"/>
      <c r="MZ58" s="99"/>
      <c r="NA58" s="100"/>
      <c r="NB58" s="77"/>
      <c r="NC58" s="78"/>
      <c r="ND58" s="78"/>
      <c r="NE58" s="79"/>
      <c r="NF58" s="67"/>
      <c r="NH58" s="98"/>
      <c r="NI58" s="99"/>
      <c r="NJ58" s="329"/>
      <c r="NK58" s="77"/>
      <c r="NL58" s="78"/>
      <c r="NM58" s="78"/>
      <c r="NN58" s="79"/>
      <c r="NO58" s="67"/>
      <c r="NQ58" s="98"/>
      <c r="NR58" s="99"/>
      <c r="NS58" s="100"/>
      <c r="NT58" s="77"/>
      <c r="NU58" s="78"/>
      <c r="NV58" s="78"/>
      <c r="NW58" s="79"/>
      <c r="NX58" s="67"/>
      <c r="NZ58" s="71"/>
      <c r="OA58" s="72"/>
      <c r="OB58" s="73"/>
      <c r="OC58" s="77"/>
      <c r="OD58" s="78"/>
      <c r="OE58" s="78"/>
      <c r="OF58" s="79"/>
      <c r="OG58" s="67"/>
      <c r="OI58" s="98"/>
      <c r="OJ58" s="99"/>
      <c r="OK58" s="329"/>
      <c r="OL58" s="77"/>
      <c r="OM58" s="78"/>
      <c r="ON58" s="78"/>
      <c r="OO58" s="79"/>
      <c r="OP58" s="67"/>
      <c r="OR58" s="71"/>
      <c r="OS58" s="72"/>
      <c r="OT58" s="73"/>
      <c r="OU58" s="77"/>
      <c r="OV58" s="78"/>
      <c r="OW58" s="78"/>
      <c r="OX58" s="79"/>
      <c r="OY58" s="67"/>
      <c r="PA58" s="98"/>
      <c r="PB58" s="99"/>
      <c r="PC58" s="100"/>
      <c r="PD58" s="77"/>
      <c r="PE58" s="78"/>
      <c r="PF58" s="78"/>
      <c r="PG58" s="79"/>
      <c r="PH58" s="67"/>
      <c r="PJ58" s="277"/>
      <c r="PK58" s="278"/>
      <c r="PL58" s="279"/>
      <c r="PM58" s="125"/>
      <c r="PN58" s="126"/>
      <c r="PO58" s="126"/>
      <c r="PP58" s="127"/>
      <c r="PQ58" s="128"/>
      <c r="PS58" s="403"/>
      <c r="PT58" s="404"/>
      <c r="PU58" s="405"/>
      <c r="PV58" s="330"/>
      <c r="PW58" s="331"/>
      <c r="PX58" s="331"/>
      <c r="PY58" s="332"/>
      <c r="PZ58" s="333"/>
      <c r="QB58" s="412"/>
      <c r="QC58" s="413"/>
      <c r="QD58" s="414"/>
      <c r="QE58" s="125"/>
      <c r="QF58" s="126"/>
      <c r="QG58" s="126"/>
      <c r="QH58" s="127"/>
      <c r="QI58" s="128"/>
      <c r="QK58" s="283"/>
      <c r="QL58" s="284"/>
      <c r="QM58" s="285"/>
      <c r="QN58" s="125"/>
      <c r="QO58" s="126"/>
      <c r="QP58" s="126"/>
      <c r="QQ58" s="127"/>
      <c r="QR58" s="128" t="str">
        <f>IF(QM58="","",'Name List'!$I$4)</f>
        <v/>
      </c>
      <c r="QS58" s="91"/>
      <c r="QT58" s="107">
        <f t="shared" si="50"/>
        <v>0</v>
      </c>
      <c r="QU58" s="130">
        <f t="shared" si="51"/>
        <v>1</v>
      </c>
      <c r="QV58" s="130">
        <f t="shared" si="52"/>
        <v>22</v>
      </c>
      <c r="QW58" s="108">
        <f t="shared" si="53"/>
        <v>4</v>
      </c>
      <c r="QY58" s="260">
        <f t="shared" si="54"/>
        <v>2</v>
      </c>
      <c r="RA58" s="141">
        <f t="shared" si="55"/>
        <v>19</v>
      </c>
      <c r="RB58" s="106">
        <f t="shared" si="56"/>
        <v>18</v>
      </c>
      <c r="RC58" s="106">
        <f t="shared" si="57"/>
        <v>37</v>
      </c>
      <c r="RD58" s="106">
        <f t="shared" si="58"/>
        <v>18</v>
      </c>
      <c r="RE58" s="106">
        <f t="shared" si="59"/>
        <v>17</v>
      </c>
      <c r="RF58" s="142">
        <f t="shared" si="60"/>
        <v>35</v>
      </c>
      <c r="RG58" s="106"/>
      <c r="RH58" s="139">
        <f t="shared" si="61"/>
        <v>0</v>
      </c>
      <c r="RI58" s="140">
        <f t="shared" si="62"/>
        <v>0</v>
      </c>
      <c r="RJ58" s="106"/>
      <c r="RK58" s="136">
        <f t="shared" si="63"/>
        <v>36</v>
      </c>
      <c r="RL58" s="106"/>
      <c r="RM58" s="137">
        <f t="shared" si="64"/>
        <v>0</v>
      </c>
      <c r="RN58" s="138">
        <f t="shared" si="65"/>
        <v>0</v>
      </c>
      <c r="RO58" s="106"/>
      <c r="RP58" s="259">
        <f t="shared" si="66"/>
        <v>0</v>
      </c>
    </row>
    <row r="59" spans="1:484" x14ac:dyDescent="0.2">
      <c r="A59" s="89" t="str">
        <f>'Name List'!B59</f>
        <v>Peter Vallely</v>
      </c>
      <c r="C59" s="98"/>
      <c r="D59" s="99"/>
      <c r="E59" s="329" t="str">
        <f t="shared" si="0"/>
        <v/>
      </c>
      <c r="F59" s="77"/>
      <c r="G59" s="78"/>
      <c r="H59" s="78"/>
      <c r="I59" s="79"/>
      <c r="J59" s="333" t="str">
        <f>IF(E59="","",'Name List'!$I$4)</f>
        <v/>
      </c>
      <c r="L59" s="98"/>
      <c r="M59" s="99"/>
      <c r="N59" s="100"/>
      <c r="O59" s="77"/>
      <c r="P59" s="78"/>
      <c r="Q59" s="78"/>
      <c r="R59" s="79"/>
      <c r="S59" s="67"/>
      <c r="U59" s="71">
        <v>14</v>
      </c>
      <c r="V59" s="72">
        <v>16</v>
      </c>
      <c r="W59" s="396">
        <f t="shared" si="2"/>
        <v>30</v>
      </c>
      <c r="X59" s="77">
        <v>0</v>
      </c>
      <c r="Y59" s="78">
        <v>2</v>
      </c>
      <c r="Z59" s="78">
        <v>5</v>
      </c>
      <c r="AA59" s="79">
        <v>1</v>
      </c>
      <c r="AB59" s="333">
        <f>IF(W59="","",'Name List'!$I$4)</f>
        <v>5</v>
      </c>
      <c r="AD59" s="98">
        <v>18</v>
      </c>
      <c r="AE59" s="99">
        <v>21</v>
      </c>
      <c r="AF59" s="329">
        <f t="shared" si="3"/>
        <v>39</v>
      </c>
      <c r="AG59" s="77">
        <v>0</v>
      </c>
      <c r="AH59" s="78">
        <v>3</v>
      </c>
      <c r="AI59" s="78">
        <v>10</v>
      </c>
      <c r="AJ59" s="79">
        <v>0</v>
      </c>
      <c r="AK59" s="333">
        <f>IF(AF59="","",'Name List'!$I$4)</f>
        <v>5</v>
      </c>
      <c r="AM59" s="98"/>
      <c r="AN59" s="99"/>
      <c r="AO59" s="329" t="str">
        <f t="shared" si="4"/>
        <v/>
      </c>
      <c r="AP59" s="77"/>
      <c r="AQ59" s="78"/>
      <c r="AR59" s="78"/>
      <c r="AS59" s="79"/>
      <c r="AT59" s="333" t="str">
        <f>IF(AO59="","",'Name List'!$I$4)</f>
        <v/>
      </c>
      <c r="AV59" s="458"/>
      <c r="AW59" s="401"/>
      <c r="AX59" s="400" t="str">
        <f t="shared" si="5"/>
        <v/>
      </c>
      <c r="AY59" s="77"/>
      <c r="AZ59" s="78"/>
      <c r="BA59" s="78"/>
      <c r="BB59" s="79"/>
      <c r="BC59" s="457" t="str">
        <f>IF(AX59="","",'Name List'!$I$4)</f>
        <v/>
      </c>
      <c r="BE59" s="71">
        <v>18</v>
      </c>
      <c r="BF59" s="72">
        <v>15</v>
      </c>
      <c r="BG59" s="383">
        <f t="shared" si="6"/>
        <v>33</v>
      </c>
      <c r="BH59" s="77">
        <v>0</v>
      </c>
      <c r="BI59" s="78">
        <v>0</v>
      </c>
      <c r="BJ59" s="78">
        <v>12</v>
      </c>
      <c r="BK59" s="79">
        <v>1</v>
      </c>
      <c r="BL59" s="333">
        <f>IF(BG59="","",'Name List'!$I$4)</f>
        <v>5</v>
      </c>
      <c r="BN59" s="98"/>
      <c r="BO59" s="99"/>
      <c r="BP59" s="100"/>
      <c r="BQ59" s="77"/>
      <c r="BR59" s="78"/>
      <c r="BS59" s="78"/>
      <c r="BT59" s="79"/>
      <c r="BU59" s="67"/>
      <c r="BW59" s="98"/>
      <c r="BX59" s="99"/>
      <c r="BY59" s="329" t="str">
        <f t="shared" si="8"/>
        <v/>
      </c>
      <c r="BZ59" s="77"/>
      <c r="CA59" s="78"/>
      <c r="CB59" s="78"/>
      <c r="CC59" s="79"/>
      <c r="CD59" s="333" t="str">
        <f>IF(BY59="","",'Name List'!$I$4)</f>
        <v/>
      </c>
      <c r="CF59" s="68">
        <v>14</v>
      </c>
      <c r="CG59" s="69">
        <v>17</v>
      </c>
      <c r="CH59" s="282">
        <f t="shared" si="49"/>
        <v>31</v>
      </c>
      <c r="CI59" s="77">
        <v>0</v>
      </c>
      <c r="CJ59" s="78">
        <v>1</v>
      </c>
      <c r="CK59" s="78">
        <v>9</v>
      </c>
      <c r="CL59" s="79">
        <v>3</v>
      </c>
      <c r="CM59" s="333">
        <f>IF(CH59="","",'Name List'!$I$4)</f>
        <v>5</v>
      </c>
      <c r="CO59" s="71">
        <v>14</v>
      </c>
      <c r="CP59" s="72">
        <v>19</v>
      </c>
      <c r="CQ59" s="383">
        <f t="shared" si="9"/>
        <v>33</v>
      </c>
      <c r="CR59" s="77">
        <v>0</v>
      </c>
      <c r="CS59" s="78">
        <v>0</v>
      </c>
      <c r="CT59" s="78">
        <v>11</v>
      </c>
      <c r="CU59" s="79">
        <v>1</v>
      </c>
      <c r="CV59" s="333">
        <f>IF(CQ59="","",'Name List'!$I$4)</f>
        <v>5</v>
      </c>
      <c r="CX59" s="98"/>
      <c r="CY59" s="99"/>
      <c r="CZ59" s="329" t="str">
        <f t="shared" si="10"/>
        <v/>
      </c>
      <c r="DA59" s="77"/>
      <c r="DB59" s="78"/>
      <c r="DC59" s="78"/>
      <c r="DD59" s="79"/>
      <c r="DE59" s="333" t="str">
        <f>IF(CZ59="","",'Name List'!$I$4)</f>
        <v/>
      </c>
      <c r="DG59" s="98">
        <v>17</v>
      </c>
      <c r="DH59" s="99">
        <v>20</v>
      </c>
      <c r="DI59" s="329">
        <f t="shared" si="11"/>
        <v>37</v>
      </c>
      <c r="DJ59" s="77">
        <v>0</v>
      </c>
      <c r="DK59" s="78">
        <v>3</v>
      </c>
      <c r="DL59" s="78">
        <v>9</v>
      </c>
      <c r="DM59" s="79">
        <v>0</v>
      </c>
      <c r="DN59" s="333">
        <f>IF(DI59="","",'Name List'!$I$4)</f>
        <v>5</v>
      </c>
      <c r="DP59" s="98"/>
      <c r="DQ59" s="99"/>
      <c r="DR59" s="329" t="str">
        <f t="shared" si="12"/>
        <v/>
      </c>
      <c r="DS59" s="77"/>
      <c r="DT59" s="78"/>
      <c r="DU59" s="78"/>
      <c r="DV59" s="79"/>
      <c r="DW59" s="333" t="str">
        <f>IF(DR59="","",'Name List'!$I$4)</f>
        <v/>
      </c>
      <c r="DY59" s="98">
        <v>20</v>
      </c>
      <c r="DZ59" s="99">
        <v>17</v>
      </c>
      <c r="EA59" s="329">
        <f t="shared" si="13"/>
        <v>37</v>
      </c>
      <c r="EB59" s="77">
        <v>0</v>
      </c>
      <c r="EC59" s="78">
        <v>2</v>
      </c>
      <c r="ED59" s="78">
        <v>11</v>
      </c>
      <c r="EE59" s="79">
        <v>0</v>
      </c>
      <c r="EF59" s="333">
        <f>IF(EA59="","",'Name List'!$I$4)</f>
        <v>5</v>
      </c>
      <c r="EH59" s="98">
        <v>15</v>
      </c>
      <c r="EI59" s="99">
        <v>16</v>
      </c>
      <c r="EJ59" s="329">
        <f t="shared" si="14"/>
        <v>31</v>
      </c>
      <c r="EK59" s="77">
        <v>0</v>
      </c>
      <c r="EL59" s="78">
        <v>1</v>
      </c>
      <c r="EM59" s="78">
        <v>10</v>
      </c>
      <c r="EN59" s="79">
        <v>2</v>
      </c>
      <c r="EO59" s="333">
        <f>IF(EJ59="","",'Name List'!$I$4)</f>
        <v>5</v>
      </c>
      <c r="EQ59" s="115"/>
      <c r="ER59" s="116"/>
      <c r="ES59" s="117"/>
      <c r="ET59" s="77"/>
      <c r="EU59" s="78"/>
      <c r="EV59" s="78"/>
      <c r="EW59" s="79"/>
      <c r="EX59" s="333" t="str">
        <f>IF(ES59="","",'Name List'!$I$4)</f>
        <v/>
      </c>
      <c r="EZ59" s="68"/>
      <c r="FA59" s="69"/>
      <c r="FB59" s="70"/>
      <c r="FC59" s="77"/>
      <c r="FD59" s="78"/>
      <c r="FE59" s="78"/>
      <c r="FF59" s="79"/>
      <c r="FG59" s="67"/>
      <c r="FI59" s="98">
        <v>13</v>
      </c>
      <c r="FJ59" s="99">
        <v>18</v>
      </c>
      <c r="FK59" s="329">
        <f t="shared" si="16"/>
        <v>31</v>
      </c>
      <c r="FL59" s="77">
        <v>0</v>
      </c>
      <c r="FM59" s="78">
        <v>2</v>
      </c>
      <c r="FN59" s="78">
        <v>8</v>
      </c>
      <c r="FO59" s="79">
        <v>2</v>
      </c>
      <c r="FP59" s="333">
        <f>IF(FK59="","",'Name List'!$I$4)</f>
        <v>5</v>
      </c>
      <c r="FR59" s="98"/>
      <c r="FS59" s="99"/>
      <c r="FT59" s="329" t="str">
        <f t="shared" si="17"/>
        <v/>
      </c>
      <c r="FU59" s="77"/>
      <c r="FV59" s="78"/>
      <c r="FW59" s="78"/>
      <c r="FX59" s="79"/>
      <c r="FY59" s="333" t="str">
        <f>IF(FT59="","",'Name List'!$I$4)</f>
        <v/>
      </c>
      <c r="GA59" s="98"/>
      <c r="GB59" s="99"/>
      <c r="GC59" s="329" t="str">
        <f t="shared" si="18"/>
        <v/>
      </c>
      <c r="GD59" s="77"/>
      <c r="GE59" s="78"/>
      <c r="GF59" s="78"/>
      <c r="GG59" s="79"/>
      <c r="GH59" s="333" t="str">
        <f>IF(GC59="","",'Name List'!$I$4)</f>
        <v/>
      </c>
      <c r="GJ59" s="98">
        <v>17</v>
      </c>
      <c r="GK59" s="99">
        <v>20</v>
      </c>
      <c r="GL59" s="329">
        <f t="shared" si="19"/>
        <v>37</v>
      </c>
      <c r="GM59" s="77">
        <v>0</v>
      </c>
      <c r="GN59" s="78">
        <v>4</v>
      </c>
      <c r="GO59" s="78">
        <v>8</v>
      </c>
      <c r="GP59" s="79">
        <v>1</v>
      </c>
      <c r="GQ59" s="333">
        <f>IF(GL59="","",'Name List'!$I$4)</f>
        <v>5</v>
      </c>
      <c r="GS59" s="68"/>
      <c r="GT59" s="69"/>
      <c r="GU59" s="70"/>
      <c r="GV59" s="77"/>
      <c r="GW59" s="78"/>
      <c r="GX59" s="78"/>
      <c r="GY59" s="79"/>
      <c r="GZ59" s="67"/>
      <c r="HB59" s="98">
        <v>15</v>
      </c>
      <c r="HC59" s="99">
        <v>15</v>
      </c>
      <c r="HD59" s="329">
        <f t="shared" si="21"/>
        <v>30</v>
      </c>
      <c r="HE59" s="77">
        <v>0</v>
      </c>
      <c r="HF59" s="78">
        <v>0</v>
      </c>
      <c r="HG59" s="78">
        <v>11</v>
      </c>
      <c r="HH59" s="79">
        <v>3</v>
      </c>
      <c r="HI59" s="333">
        <f>IF(HD59="","",'Name List'!$I$4)</f>
        <v>5</v>
      </c>
      <c r="HK59" s="71"/>
      <c r="HL59" s="72"/>
      <c r="HM59" s="383" t="str">
        <f t="shared" si="22"/>
        <v/>
      </c>
      <c r="HN59" s="77"/>
      <c r="HO59" s="78"/>
      <c r="HP59" s="78"/>
      <c r="HQ59" s="79"/>
      <c r="HR59" s="333" t="str">
        <f>IF(HM59="","",'Name List'!$I$4)</f>
        <v/>
      </c>
      <c r="HT59" s="68"/>
      <c r="HU59" s="69"/>
      <c r="HV59" s="70"/>
      <c r="HW59" s="77"/>
      <c r="HX59" s="78"/>
      <c r="HY59" s="78"/>
      <c r="HZ59" s="79"/>
      <c r="IA59" s="67"/>
      <c r="IC59" s="115"/>
      <c r="ID59" s="116"/>
      <c r="IE59" s="117"/>
      <c r="IF59" s="77"/>
      <c r="IG59" s="78"/>
      <c r="IH59" s="78"/>
      <c r="II59" s="79"/>
      <c r="IJ59" s="333" t="str">
        <f>IF(IE59="","",'Name List'!$I$4)</f>
        <v/>
      </c>
      <c r="IL59" s="98"/>
      <c r="IM59" s="99"/>
      <c r="IN59" s="100"/>
      <c r="IO59" s="77"/>
      <c r="IP59" s="78"/>
      <c r="IQ59" s="78"/>
      <c r="IR59" s="79"/>
      <c r="IS59" s="67"/>
      <c r="IU59" s="98"/>
      <c r="IV59" s="99"/>
      <c r="IW59" s="100"/>
      <c r="IX59" s="77"/>
      <c r="IY59" s="78"/>
      <c r="IZ59" s="78"/>
      <c r="JA59" s="79"/>
      <c r="JB59" s="67"/>
      <c r="JD59" s="98"/>
      <c r="JE59" s="99"/>
      <c r="JF59" s="100"/>
      <c r="JG59" s="77"/>
      <c r="JH59" s="78"/>
      <c r="JI59" s="78"/>
      <c r="JJ59" s="79"/>
      <c r="JK59" s="67"/>
      <c r="JM59" s="98"/>
      <c r="JN59" s="99"/>
      <c r="JO59" s="275"/>
      <c r="JP59" s="77"/>
      <c r="JQ59" s="78"/>
      <c r="JR59" s="78"/>
      <c r="JS59" s="79"/>
      <c r="JT59" s="67"/>
      <c r="JV59" s="98"/>
      <c r="JW59" s="99"/>
      <c r="JX59" s="100"/>
      <c r="JY59" s="77"/>
      <c r="JZ59" s="78"/>
      <c r="KA59" s="78"/>
      <c r="KB59" s="79"/>
      <c r="KC59" s="67"/>
      <c r="KE59" s="98"/>
      <c r="KF59" s="99"/>
      <c r="KG59" s="100"/>
      <c r="KH59" s="77"/>
      <c r="KI59" s="78"/>
      <c r="KJ59" s="78"/>
      <c r="KK59" s="79"/>
      <c r="KL59" s="67"/>
      <c r="KN59" s="68"/>
      <c r="KO59" s="69"/>
      <c r="KP59" s="70"/>
      <c r="KQ59" s="77"/>
      <c r="KR59" s="78"/>
      <c r="KS59" s="78"/>
      <c r="KT59" s="79"/>
      <c r="KU59" s="67"/>
      <c r="KW59" s="98"/>
      <c r="KX59" s="99"/>
      <c r="KY59" s="100"/>
      <c r="KZ59" s="77"/>
      <c r="LA59" s="78"/>
      <c r="LB59" s="78"/>
      <c r="LC59" s="79"/>
      <c r="LD59" s="67"/>
      <c r="LF59" s="71"/>
      <c r="LG59" s="72"/>
      <c r="LH59" s="73"/>
      <c r="LI59" s="77"/>
      <c r="LJ59" s="78"/>
      <c r="LK59" s="78"/>
      <c r="LL59" s="79"/>
      <c r="LM59" s="67"/>
      <c r="LO59" s="98"/>
      <c r="LP59" s="99"/>
      <c r="LQ59" s="329"/>
      <c r="LR59" s="77"/>
      <c r="LS59" s="78"/>
      <c r="LT59" s="78"/>
      <c r="LU59" s="79"/>
      <c r="LV59" s="67"/>
      <c r="LX59" s="98"/>
      <c r="LY59" s="99"/>
      <c r="LZ59" s="100"/>
      <c r="MA59" s="77"/>
      <c r="MB59" s="78"/>
      <c r="MC59" s="78"/>
      <c r="MD59" s="79"/>
      <c r="ME59" s="67"/>
      <c r="MG59" s="98"/>
      <c r="MH59" s="99"/>
      <c r="MI59" s="100"/>
      <c r="MJ59" s="77"/>
      <c r="MK59" s="78"/>
      <c r="ML59" s="78"/>
      <c r="MM59" s="79"/>
      <c r="MN59" s="67"/>
      <c r="MP59" s="98"/>
      <c r="MQ59" s="99"/>
      <c r="MR59" s="100"/>
      <c r="MS59" s="77"/>
      <c r="MT59" s="78"/>
      <c r="MU59" s="78"/>
      <c r="MV59" s="79"/>
      <c r="MW59" s="67"/>
      <c r="MY59" s="98"/>
      <c r="MZ59" s="99"/>
      <c r="NA59" s="100"/>
      <c r="NB59" s="77"/>
      <c r="NC59" s="78"/>
      <c r="ND59" s="78"/>
      <c r="NE59" s="79"/>
      <c r="NF59" s="67"/>
      <c r="NH59" s="98"/>
      <c r="NI59" s="99"/>
      <c r="NJ59" s="329"/>
      <c r="NK59" s="77"/>
      <c r="NL59" s="78"/>
      <c r="NM59" s="78"/>
      <c r="NN59" s="79"/>
      <c r="NO59" s="67"/>
      <c r="NQ59" s="98"/>
      <c r="NR59" s="99"/>
      <c r="NS59" s="100"/>
      <c r="NT59" s="77"/>
      <c r="NU59" s="78"/>
      <c r="NV59" s="78"/>
      <c r="NW59" s="79"/>
      <c r="NX59" s="67"/>
      <c r="NZ59" s="71"/>
      <c r="OA59" s="72"/>
      <c r="OB59" s="73"/>
      <c r="OC59" s="77"/>
      <c r="OD59" s="78"/>
      <c r="OE59" s="78"/>
      <c r="OF59" s="79"/>
      <c r="OG59" s="67"/>
      <c r="OI59" s="98"/>
      <c r="OJ59" s="99"/>
      <c r="OK59" s="329"/>
      <c r="OL59" s="77"/>
      <c r="OM59" s="78"/>
      <c r="ON59" s="78"/>
      <c r="OO59" s="79"/>
      <c r="OP59" s="67"/>
      <c r="OR59" s="71"/>
      <c r="OS59" s="72"/>
      <c r="OT59" s="73"/>
      <c r="OU59" s="77"/>
      <c r="OV59" s="78"/>
      <c r="OW59" s="78"/>
      <c r="OX59" s="79"/>
      <c r="OY59" s="67"/>
      <c r="PA59" s="98"/>
      <c r="PB59" s="99"/>
      <c r="PC59" s="100"/>
      <c r="PD59" s="77"/>
      <c r="PE59" s="78"/>
      <c r="PF59" s="78"/>
      <c r="PG59" s="79"/>
      <c r="PH59" s="67"/>
      <c r="PJ59" s="277"/>
      <c r="PK59" s="278"/>
      <c r="PL59" s="279"/>
      <c r="PM59" s="125"/>
      <c r="PN59" s="126"/>
      <c r="PO59" s="126"/>
      <c r="PP59" s="127"/>
      <c r="PQ59" s="128"/>
      <c r="PS59" s="403"/>
      <c r="PT59" s="404"/>
      <c r="PU59" s="405"/>
      <c r="PV59" s="330"/>
      <c r="PW59" s="331"/>
      <c r="PX59" s="331"/>
      <c r="PY59" s="332"/>
      <c r="PZ59" s="333"/>
      <c r="QB59" s="412"/>
      <c r="QC59" s="413"/>
      <c r="QD59" s="414"/>
      <c r="QE59" s="125"/>
      <c r="QF59" s="126"/>
      <c r="QG59" s="126"/>
      <c r="QH59" s="127"/>
      <c r="QI59" s="128"/>
      <c r="QK59" s="283"/>
      <c r="QL59" s="284"/>
      <c r="QM59" s="285"/>
      <c r="QN59" s="125"/>
      <c r="QO59" s="126"/>
      <c r="QP59" s="126"/>
      <c r="QQ59" s="127"/>
      <c r="QR59" s="128" t="str">
        <f>IF(QM59="","",'Name List'!$I$4)</f>
        <v/>
      </c>
      <c r="QS59" s="91"/>
      <c r="QT59" s="107">
        <f t="shared" si="50"/>
        <v>0</v>
      </c>
      <c r="QU59" s="130">
        <f t="shared" si="51"/>
        <v>18</v>
      </c>
      <c r="QV59" s="130">
        <f t="shared" si="52"/>
        <v>104</v>
      </c>
      <c r="QW59" s="108">
        <f t="shared" si="53"/>
        <v>14</v>
      </c>
      <c r="QY59" s="260">
        <f t="shared" si="54"/>
        <v>11</v>
      </c>
      <c r="RA59" s="141">
        <f t="shared" si="55"/>
        <v>20</v>
      </c>
      <c r="RB59" s="106">
        <f t="shared" si="56"/>
        <v>21</v>
      </c>
      <c r="RC59" s="106">
        <f t="shared" si="57"/>
        <v>39</v>
      </c>
      <c r="RD59" s="106">
        <f t="shared" si="58"/>
        <v>13</v>
      </c>
      <c r="RE59" s="106">
        <f t="shared" si="59"/>
        <v>16</v>
      </c>
      <c r="RF59" s="142">
        <f t="shared" si="60"/>
        <v>31</v>
      </c>
      <c r="RG59" s="106"/>
      <c r="RH59" s="139">
        <f t="shared" si="61"/>
        <v>33</v>
      </c>
      <c r="RI59" s="140">
        <f t="shared" si="62"/>
        <v>30</v>
      </c>
      <c r="RJ59" s="106"/>
      <c r="RK59" s="136">
        <f t="shared" si="63"/>
        <v>33.545454545454547</v>
      </c>
      <c r="RL59" s="106"/>
      <c r="RM59" s="137">
        <f t="shared" si="64"/>
        <v>0</v>
      </c>
      <c r="RN59" s="138">
        <f t="shared" si="65"/>
        <v>0</v>
      </c>
      <c r="RO59" s="106"/>
      <c r="RP59" s="259">
        <f t="shared" si="66"/>
        <v>0</v>
      </c>
    </row>
    <row r="60" spans="1:484" x14ac:dyDescent="0.2">
      <c r="A60" s="89" t="str">
        <f>'Name List'!B60</f>
        <v>Ryan Vaughan</v>
      </c>
      <c r="C60" s="98"/>
      <c r="D60" s="99"/>
      <c r="E60" s="329" t="str">
        <f t="shared" si="0"/>
        <v/>
      </c>
      <c r="F60" s="77"/>
      <c r="G60" s="78"/>
      <c r="H60" s="78"/>
      <c r="I60" s="79"/>
      <c r="J60" s="333" t="str">
        <f>IF(E60="","",'Name List'!$I$4)</f>
        <v/>
      </c>
      <c r="L60" s="98"/>
      <c r="M60" s="99"/>
      <c r="N60" s="100"/>
      <c r="O60" s="77"/>
      <c r="P60" s="78"/>
      <c r="Q60" s="78"/>
      <c r="R60" s="79"/>
      <c r="S60" s="67"/>
      <c r="U60" s="71">
        <v>16</v>
      </c>
      <c r="V60" s="72">
        <v>16</v>
      </c>
      <c r="W60" s="396">
        <f t="shared" si="2"/>
        <v>32</v>
      </c>
      <c r="X60" s="77">
        <v>0</v>
      </c>
      <c r="Y60" s="78">
        <v>0</v>
      </c>
      <c r="Z60" s="78">
        <v>5</v>
      </c>
      <c r="AA60" s="79">
        <v>4</v>
      </c>
      <c r="AB60" s="333">
        <f>IF(W60="","",'Name List'!$I$4)</f>
        <v>5</v>
      </c>
      <c r="AD60" s="98"/>
      <c r="AE60" s="99"/>
      <c r="AF60" s="329" t="str">
        <f t="shared" si="3"/>
        <v/>
      </c>
      <c r="AG60" s="77"/>
      <c r="AH60" s="78"/>
      <c r="AI60" s="78"/>
      <c r="AJ60" s="79"/>
      <c r="AK60" s="333" t="str">
        <f>IF(AF60="","",'Name List'!$I$4)</f>
        <v/>
      </c>
      <c r="AM60" s="98"/>
      <c r="AN60" s="99"/>
      <c r="AO60" s="329" t="str">
        <f t="shared" si="4"/>
        <v/>
      </c>
      <c r="AP60" s="77"/>
      <c r="AQ60" s="78"/>
      <c r="AR60" s="78"/>
      <c r="AS60" s="79"/>
      <c r="AT60" s="333" t="str">
        <f>IF(AO60="","",'Name List'!$I$4)</f>
        <v/>
      </c>
      <c r="AV60" s="458"/>
      <c r="AW60" s="401"/>
      <c r="AX60" s="400" t="str">
        <f t="shared" si="5"/>
        <v/>
      </c>
      <c r="AY60" s="77"/>
      <c r="AZ60" s="78"/>
      <c r="BA60" s="78"/>
      <c r="BB60" s="79"/>
      <c r="BC60" s="457" t="str">
        <f>IF(AX60="","",'Name List'!$I$4)</f>
        <v/>
      </c>
      <c r="BE60" s="71"/>
      <c r="BF60" s="72"/>
      <c r="BG60" s="383" t="str">
        <f t="shared" si="6"/>
        <v/>
      </c>
      <c r="BH60" s="77"/>
      <c r="BI60" s="78"/>
      <c r="BJ60" s="78"/>
      <c r="BK60" s="79"/>
      <c r="BL60" s="333" t="str">
        <f>IF(BG60="","",'Name List'!$I$4)</f>
        <v/>
      </c>
      <c r="BN60" s="98"/>
      <c r="BO60" s="99"/>
      <c r="BP60" s="100"/>
      <c r="BQ60" s="77"/>
      <c r="BR60" s="78"/>
      <c r="BS60" s="78"/>
      <c r="BT60" s="79"/>
      <c r="BU60" s="67"/>
      <c r="BW60" s="98"/>
      <c r="BX60" s="99"/>
      <c r="BY60" s="329" t="str">
        <f t="shared" si="8"/>
        <v/>
      </c>
      <c r="BZ60" s="77"/>
      <c r="CA60" s="78"/>
      <c r="CB60" s="78"/>
      <c r="CC60" s="79"/>
      <c r="CD60" s="333" t="str">
        <f>IF(BY60="","",'Name List'!$I$4)</f>
        <v/>
      </c>
      <c r="CF60" s="68"/>
      <c r="CG60" s="69"/>
      <c r="CH60" s="282" t="str">
        <f t="shared" si="49"/>
        <v/>
      </c>
      <c r="CI60" s="77"/>
      <c r="CJ60" s="78"/>
      <c r="CK60" s="78"/>
      <c r="CL60" s="79"/>
      <c r="CM60" s="333" t="str">
        <f>IF(CH60="","",'Name List'!$I$4)</f>
        <v/>
      </c>
      <c r="CO60" s="71"/>
      <c r="CP60" s="72"/>
      <c r="CQ60" s="383" t="str">
        <f t="shared" si="9"/>
        <v/>
      </c>
      <c r="CR60" s="77"/>
      <c r="CS60" s="78"/>
      <c r="CT60" s="78"/>
      <c r="CU60" s="79"/>
      <c r="CV60" s="333" t="str">
        <f>IF(CQ60="","",'Name List'!$I$4)</f>
        <v/>
      </c>
      <c r="CX60" s="98"/>
      <c r="CY60" s="99"/>
      <c r="CZ60" s="329" t="str">
        <f t="shared" si="10"/>
        <v/>
      </c>
      <c r="DA60" s="77"/>
      <c r="DB60" s="78"/>
      <c r="DC60" s="78"/>
      <c r="DD60" s="79"/>
      <c r="DE60" s="333" t="str">
        <f>IF(CZ60="","",'Name List'!$I$4)</f>
        <v/>
      </c>
      <c r="DG60" s="98"/>
      <c r="DH60" s="99"/>
      <c r="DI60" s="329" t="str">
        <f t="shared" si="11"/>
        <v/>
      </c>
      <c r="DJ60" s="77"/>
      <c r="DK60" s="78"/>
      <c r="DL60" s="78"/>
      <c r="DM60" s="79"/>
      <c r="DN60" s="333" t="str">
        <f>IF(DI60="","",'Name List'!$I$4)</f>
        <v/>
      </c>
      <c r="DP60" s="98"/>
      <c r="DQ60" s="99"/>
      <c r="DR60" s="329" t="str">
        <f t="shared" si="12"/>
        <v/>
      </c>
      <c r="DS60" s="77"/>
      <c r="DT60" s="78"/>
      <c r="DU60" s="78"/>
      <c r="DV60" s="79"/>
      <c r="DW60" s="333" t="str">
        <f>IF(DR60="","",'Name List'!$I$4)</f>
        <v/>
      </c>
      <c r="DY60" s="98"/>
      <c r="DZ60" s="99"/>
      <c r="EA60" s="329" t="str">
        <f t="shared" si="13"/>
        <v/>
      </c>
      <c r="EB60" s="77"/>
      <c r="EC60" s="78"/>
      <c r="ED60" s="78"/>
      <c r="EE60" s="79"/>
      <c r="EF60" s="333" t="str">
        <f>IF(EA60="","",'Name List'!$I$4)</f>
        <v/>
      </c>
      <c r="EH60" s="98"/>
      <c r="EI60" s="99"/>
      <c r="EJ60" s="329" t="str">
        <f t="shared" si="14"/>
        <v/>
      </c>
      <c r="EK60" s="77"/>
      <c r="EL60" s="78"/>
      <c r="EM60" s="78"/>
      <c r="EN60" s="79"/>
      <c r="EO60" s="333" t="str">
        <f>IF(EJ60="","",'Name List'!$I$4)</f>
        <v/>
      </c>
      <c r="EQ60" s="115"/>
      <c r="ER60" s="116"/>
      <c r="ES60" s="117"/>
      <c r="ET60" s="77"/>
      <c r="EU60" s="78"/>
      <c r="EV60" s="78"/>
      <c r="EW60" s="79"/>
      <c r="EX60" s="333" t="str">
        <f>IF(ES60="","",'Name List'!$I$4)</f>
        <v/>
      </c>
      <c r="EZ60" s="68"/>
      <c r="FA60" s="69"/>
      <c r="FB60" s="70"/>
      <c r="FC60" s="77"/>
      <c r="FD60" s="78"/>
      <c r="FE60" s="78"/>
      <c r="FF60" s="79"/>
      <c r="FG60" s="67"/>
      <c r="FI60" s="98"/>
      <c r="FJ60" s="99"/>
      <c r="FK60" s="329" t="str">
        <f t="shared" si="16"/>
        <v/>
      </c>
      <c r="FL60" s="77"/>
      <c r="FM60" s="78"/>
      <c r="FN60" s="78"/>
      <c r="FO60" s="79"/>
      <c r="FP60" s="333" t="str">
        <f>IF(FK60="","",'Name List'!$I$4)</f>
        <v/>
      </c>
      <c r="FR60" s="98"/>
      <c r="FS60" s="99"/>
      <c r="FT60" s="329" t="str">
        <f t="shared" si="17"/>
        <v/>
      </c>
      <c r="FU60" s="77"/>
      <c r="FV60" s="78"/>
      <c r="FW60" s="78"/>
      <c r="FX60" s="79"/>
      <c r="FY60" s="333" t="str">
        <f>IF(FT60="","",'Name List'!$I$4)</f>
        <v/>
      </c>
      <c r="GA60" s="98">
        <v>17</v>
      </c>
      <c r="GB60" s="99">
        <v>17</v>
      </c>
      <c r="GC60" s="329">
        <f t="shared" si="18"/>
        <v>34</v>
      </c>
      <c r="GD60" s="77">
        <v>0</v>
      </c>
      <c r="GE60" s="78">
        <v>2</v>
      </c>
      <c r="GF60" s="78">
        <v>6</v>
      </c>
      <c r="GG60" s="79">
        <v>3</v>
      </c>
      <c r="GH60" s="333">
        <f>IF(GC60="","",'Name List'!$I$4)</f>
        <v>5</v>
      </c>
      <c r="GJ60" s="98"/>
      <c r="GK60" s="99"/>
      <c r="GL60" s="329" t="str">
        <f t="shared" si="19"/>
        <v/>
      </c>
      <c r="GM60" s="77"/>
      <c r="GN60" s="78"/>
      <c r="GO60" s="78"/>
      <c r="GP60" s="79"/>
      <c r="GQ60" s="333" t="str">
        <f>IF(GL60="","",'Name List'!$I$4)</f>
        <v/>
      </c>
      <c r="GS60" s="68"/>
      <c r="GT60" s="69"/>
      <c r="GU60" s="70"/>
      <c r="GV60" s="77"/>
      <c r="GW60" s="78"/>
      <c r="GX60" s="78"/>
      <c r="GY60" s="79"/>
      <c r="GZ60" s="67"/>
      <c r="HB60" s="98"/>
      <c r="HC60" s="99"/>
      <c r="HD60" s="329" t="str">
        <f t="shared" si="21"/>
        <v/>
      </c>
      <c r="HE60" s="77"/>
      <c r="HF60" s="78"/>
      <c r="HG60" s="78"/>
      <c r="HH60" s="79"/>
      <c r="HI60" s="333" t="str">
        <f>IF(HD60="","",'Name List'!$I$4)</f>
        <v/>
      </c>
      <c r="HK60" s="71">
        <v>19</v>
      </c>
      <c r="HL60" s="72">
        <v>19</v>
      </c>
      <c r="HM60" s="383">
        <f t="shared" si="22"/>
        <v>38</v>
      </c>
      <c r="HN60" s="77">
        <v>0</v>
      </c>
      <c r="HO60" s="78">
        <v>0</v>
      </c>
      <c r="HP60" s="78">
        <v>8</v>
      </c>
      <c r="HQ60" s="79">
        <v>2</v>
      </c>
      <c r="HR60" s="333">
        <f>IF(HM60="","",'Name List'!$I$4)</f>
        <v>5</v>
      </c>
      <c r="HT60" s="68"/>
      <c r="HU60" s="69"/>
      <c r="HV60" s="70"/>
      <c r="HW60" s="77"/>
      <c r="HX60" s="78"/>
      <c r="HY60" s="78"/>
      <c r="HZ60" s="79"/>
      <c r="IA60" s="67"/>
      <c r="IC60" s="115"/>
      <c r="ID60" s="116"/>
      <c r="IE60" s="117"/>
      <c r="IF60" s="77"/>
      <c r="IG60" s="78"/>
      <c r="IH60" s="78"/>
      <c r="II60" s="79"/>
      <c r="IJ60" s="333" t="str">
        <f>IF(IE60="","",'Name List'!$I$4)</f>
        <v/>
      </c>
      <c r="IL60" s="98"/>
      <c r="IM60" s="99"/>
      <c r="IN60" s="100"/>
      <c r="IO60" s="77"/>
      <c r="IP60" s="78"/>
      <c r="IQ60" s="78"/>
      <c r="IR60" s="79"/>
      <c r="IS60" s="67"/>
      <c r="IU60" s="98"/>
      <c r="IV60" s="99"/>
      <c r="IW60" s="100"/>
      <c r="IX60" s="77"/>
      <c r="IY60" s="78"/>
      <c r="IZ60" s="78"/>
      <c r="JA60" s="79"/>
      <c r="JB60" s="67"/>
      <c r="JD60" s="98"/>
      <c r="JE60" s="99"/>
      <c r="JF60" s="100"/>
      <c r="JG60" s="77"/>
      <c r="JH60" s="78"/>
      <c r="JI60" s="78"/>
      <c r="JJ60" s="79"/>
      <c r="JK60" s="67"/>
      <c r="JM60" s="98"/>
      <c r="JN60" s="99"/>
      <c r="JO60" s="275"/>
      <c r="JP60" s="77"/>
      <c r="JQ60" s="78"/>
      <c r="JR60" s="78"/>
      <c r="JS60" s="79"/>
      <c r="JT60" s="67"/>
      <c r="JV60" s="98"/>
      <c r="JW60" s="99"/>
      <c r="JX60" s="100"/>
      <c r="JY60" s="77"/>
      <c r="JZ60" s="78"/>
      <c r="KA60" s="78"/>
      <c r="KB60" s="79"/>
      <c r="KC60" s="67"/>
      <c r="KE60" s="98"/>
      <c r="KF60" s="99"/>
      <c r="KG60" s="100"/>
      <c r="KH60" s="77"/>
      <c r="KI60" s="78"/>
      <c r="KJ60" s="78"/>
      <c r="KK60" s="79"/>
      <c r="KL60" s="67"/>
      <c r="KN60" s="68"/>
      <c r="KO60" s="69"/>
      <c r="KP60" s="70"/>
      <c r="KQ60" s="77"/>
      <c r="KR60" s="78"/>
      <c r="KS60" s="78"/>
      <c r="KT60" s="79"/>
      <c r="KU60" s="67"/>
      <c r="KW60" s="98"/>
      <c r="KX60" s="99"/>
      <c r="KY60" s="100"/>
      <c r="KZ60" s="77"/>
      <c r="LA60" s="78"/>
      <c r="LB60" s="78"/>
      <c r="LC60" s="79"/>
      <c r="LD60" s="67"/>
      <c r="LF60" s="71"/>
      <c r="LG60" s="72"/>
      <c r="LH60" s="73"/>
      <c r="LI60" s="77"/>
      <c r="LJ60" s="78"/>
      <c r="LK60" s="78"/>
      <c r="LL60" s="79"/>
      <c r="LM60" s="67"/>
      <c r="LO60" s="98"/>
      <c r="LP60" s="99"/>
      <c r="LQ60" s="329"/>
      <c r="LR60" s="77"/>
      <c r="LS60" s="78"/>
      <c r="LT60" s="78"/>
      <c r="LU60" s="79"/>
      <c r="LV60" s="67"/>
      <c r="LX60" s="98"/>
      <c r="LY60" s="99"/>
      <c r="LZ60" s="100"/>
      <c r="MA60" s="77"/>
      <c r="MB60" s="78"/>
      <c r="MC60" s="78"/>
      <c r="MD60" s="79"/>
      <c r="ME60" s="67"/>
      <c r="MG60" s="98"/>
      <c r="MH60" s="99"/>
      <c r="MI60" s="100"/>
      <c r="MJ60" s="77"/>
      <c r="MK60" s="78"/>
      <c r="ML60" s="78"/>
      <c r="MM60" s="79"/>
      <c r="MN60" s="67"/>
      <c r="MP60" s="98"/>
      <c r="MQ60" s="99"/>
      <c r="MR60" s="100"/>
      <c r="MS60" s="77"/>
      <c r="MT60" s="78"/>
      <c r="MU60" s="78"/>
      <c r="MV60" s="79"/>
      <c r="MW60" s="67"/>
      <c r="MY60" s="98"/>
      <c r="MZ60" s="99"/>
      <c r="NA60" s="100"/>
      <c r="NB60" s="77"/>
      <c r="NC60" s="78"/>
      <c r="ND60" s="78"/>
      <c r="NE60" s="79"/>
      <c r="NF60" s="67"/>
      <c r="NH60" s="98"/>
      <c r="NI60" s="99"/>
      <c r="NJ60" s="329"/>
      <c r="NK60" s="77"/>
      <c r="NL60" s="78"/>
      <c r="NM60" s="78"/>
      <c r="NN60" s="79"/>
      <c r="NO60" s="67"/>
      <c r="NQ60" s="98"/>
      <c r="NR60" s="99"/>
      <c r="NS60" s="100"/>
      <c r="NT60" s="77"/>
      <c r="NU60" s="78"/>
      <c r="NV60" s="78"/>
      <c r="NW60" s="79"/>
      <c r="NX60" s="67"/>
      <c r="NZ60" s="71"/>
      <c r="OA60" s="72"/>
      <c r="OB60" s="73"/>
      <c r="OC60" s="77"/>
      <c r="OD60" s="78"/>
      <c r="OE60" s="78"/>
      <c r="OF60" s="79"/>
      <c r="OG60" s="67"/>
      <c r="OI60" s="98"/>
      <c r="OJ60" s="99"/>
      <c r="OK60" s="329"/>
      <c r="OL60" s="77"/>
      <c r="OM60" s="78"/>
      <c r="ON60" s="78"/>
      <c r="OO60" s="79"/>
      <c r="OP60" s="67"/>
      <c r="OR60" s="71"/>
      <c r="OS60" s="72"/>
      <c r="OT60" s="73"/>
      <c r="OU60" s="77"/>
      <c r="OV60" s="78"/>
      <c r="OW60" s="78"/>
      <c r="OX60" s="79"/>
      <c r="OY60" s="67"/>
      <c r="PA60" s="98"/>
      <c r="PB60" s="99"/>
      <c r="PC60" s="100"/>
      <c r="PD60" s="77"/>
      <c r="PE60" s="78"/>
      <c r="PF60" s="78"/>
      <c r="PG60" s="79"/>
      <c r="PH60" s="67"/>
      <c r="PJ60" s="277"/>
      <c r="PK60" s="278"/>
      <c r="PL60" s="279"/>
      <c r="PM60" s="125"/>
      <c r="PN60" s="126"/>
      <c r="PO60" s="126"/>
      <c r="PP60" s="127"/>
      <c r="PQ60" s="128"/>
      <c r="PS60" s="403"/>
      <c r="PT60" s="404"/>
      <c r="PU60" s="405"/>
      <c r="PV60" s="330"/>
      <c r="PW60" s="331"/>
      <c r="PX60" s="331"/>
      <c r="PY60" s="332"/>
      <c r="PZ60" s="333"/>
      <c r="QB60" s="412"/>
      <c r="QC60" s="413"/>
      <c r="QD60" s="414"/>
      <c r="QE60" s="125"/>
      <c r="QF60" s="126"/>
      <c r="QG60" s="126"/>
      <c r="QH60" s="127"/>
      <c r="QI60" s="128"/>
      <c r="QK60" s="283"/>
      <c r="QL60" s="284"/>
      <c r="QM60" s="285"/>
      <c r="QN60" s="125"/>
      <c r="QO60" s="126"/>
      <c r="QP60" s="126"/>
      <c r="QQ60" s="127"/>
      <c r="QR60" s="128" t="str">
        <f>IF(QM60="","",'Name List'!$I$4)</f>
        <v/>
      </c>
      <c r="QS60" s="91"/>
      <c r="QT60" s="107">
        <f t="shared" si="50"/>
        <v>0</v>
      </c>
      <c r="QU60" s="130">
        <f t="shared" si="51"/>
        <v>2</v>
      </c>
      <c r="QV60" s="130">
        <f t="shared" si="52"/>
        <v>19</v>
      </c>
      <c r="QW60" s="108">
        <f t="shared" si="53"/>
        <v>9</v>
      </c>
      <c r="QY60" s="260">
        <f t="shared" si="54"/>
        <v>3</v>
      </c>
      <c r="RA60" s="141">
        <f t="shared" si="55"/>
        <v>19</v>
      </c>
      <c r="RB60" s="106">
        <f t="shared" si="56"/>
        <v>19</v>
      </c>
      <c r="RC60" s="106">
        <f t="shared" si="57"/>
        <v>38</v>
      </c>
      <c r="RD60" s="106">
        <f t="shared" si="58"/>
        <v>17</v>
      </c>
      <c r="RE60" s="106">
        <f t="shared" si="59"/>
        <v>17</v>
      </c>
      <c r="RF60" s="142">
        <f t="shared" si="60"/>
        <v>34</v>
      </c>
      <c r="RG60" s="106"/>
      <c r="RH60" s="139">
        <f t="shared" si="61"/>
        <v>32</v>
      </c>
      <c r="RI60" s="140">
        <f t="shared" si="62"/>
        <v>32</v>
      </c>
      <c r="RJ60" s="106"/>
      <c r="RK60" s="136">
        <f t="shared" si="63"/>
        <v>34.666666666666664</v>
      </c>
      <c r="RL60" s="106"/>
      <c r="RM60" s="137">
        <f t="shared" si="64"/>
        <v>0</v>
      </c>
      <c r="RN60" s="138">
        <f t="shared" si="65"/>
        <v>0</v>
      </c>
      <c r="RO60" s="106"/>
      <c r="RP60" s="259">
        <f t="shared" si="66"/>
        <v>0</v>
      </c>
    </row>
    <row r="61" spans="1:484" x14ac:dyDescent="0.2">
      <c r="A61" s="89" t="str">
        <f>'Name List'!B61</f>
        <v>Jason Wale</v>
      </c>
      <c r="C61" s="98"/>
      <c r="D61" s="99"/>
      <c r="E61" s="329" t="str">
        <f t="shared" si="0"/>
        <v/>
      </c>
      <c r="F61" s="77"/>
      <c r="G61" s="78"/>
      <c r="H61" s="78"/>
      <c r="I61" s="79"/>
      <c r="J61" s="333" t="str">
        <f>IF(E61="","",'Name List'!$I$4)</f>
        <v/>
      </c>
      <c r="L61" s="98"/>
      <c r="M61" s="99"/>
      <c r="N61" s="100"/>
      <c r="O61" s="77"/>
      <c r="P61" s="78"/>
      <c r="Q61" s="78"/>
      <c r="R61" s="79"/>
      <c r="S61" s="67"/>
      <c r="U61" s="71">
        <v>15</v>
      </c>
      <c r="V61" s="72">
        <v>18</v>
      </c>
      <c r="W61" s="396">
        <f t="shared" si="2"/>
        <v>33</v>
      </c>
      <c r="X61" s="77">
        <v>0</v>
      </c>
      <c r="Y61" s="78">
        <v>1</v>
      </c>
      <c r="Z61" s="78">
        <v>7</v>
      </c>
      <c r="AA61" s="79">
        <v>1</v>
      </c>
      <c r="AB61" s="333">
        <f>IF(W61="","",'Name List'!$I$4)</f>
        <v>5</v>
      </c>
      <c r="AD61" s="98">
        <v>17</v>
      </c>
      <c r="AE61" s="99">
        <v>23</v>
      </c>
      <c r="AF61" s="329">
        <f t="shared" si="3"/>
        <v>40</v>
      </c>
      <c r="AG61" s="77">
        <v>0</v>
      </c>
      <c r="AH61" s="78">
        <v>4</v>
      </c>
      <c r="AI61" s="78">
        <v>7</v>
      </c>
      <c r="AJ61" s="79">
        <v>1</v>
      </c>
      <c r="AK61" s="333">
        <f>IF(AF61="","",'Name List'!$I$4)</f>
        <v>5</v>
      </c>
      <c r="AM61" s="98">
        <v>16</v>
      </c>
      <c r="AN61" s="99">
        <v>11</v>
      </c>
      <c r="AO61" s="329">
        <f t="shared" si="4"/>
        <v>27</v>
      </c>
      <c r="AP61" s="77">
        <v>0</v>
      </c>
      <c r="AQ61" s="78">
        <v>0</v>
      </c>
      <c r="AR61" s="78">
        <v>6</v>
      </c>
      <c r="AS61" s="79">
        <v>2</v>
      </c>
      <c r="AT61" s="333">
        <f>IF(AO61="","",'Name List'!$I$4)</f>
        <v>5</v>
      </c>
      <c r="AV61" s="458"/>
      <c r="AW61" s="401"/>
      <c r="AX61" s="400" t="str">
        <f t="shared" si="5"/>
        <v/>
      </c>
      <c r="AY61" s="77"/>
      <c r="AZ61" s="78"/>
      <c r="BA61" s="78"/>
      <c r="BB61" s="79"/>
      <c r="BC61" s="457" t="str">
        <f>IF(AX61="","",'Name List'!$I$4)</f>
        <v/>
      </c>
      <c r="BE61" s="71">
        <v>18</v>
      </c>
      <c r="BF61" s="72">
        <v>16</v>
      </c>
      <c r="BG61" s="383">
        <f t="shared" si="6"/>
        <v>34</v>
      </c>
      <c r="BH61" s="77">
        <v>0</v>
      </c>
      <c r="BI61" s="78">
        <v>0</v>
      </c>
      <c r="BJ61" s="78">
        <v>12</v>
      </c>
      <c r="BK61" s="79">
        <v>3</v>
      </c>
      <c r="BL61" s="333">
        <f>IF(BG61="","",'Name List'!$I$4)</f>
        <v>5</v>
      </c>
      <c r="BN61" s="98"/>
      <c r="BO61" s="99"/>
      <c r="BP61" s="100"/>
      <c r="BQ61" s="77"/>
      <c r="BR61" s="78"/>
      <c r="BS61" s="78"/>
      <c r="BT61" s="79"/>
      <c r="BU61" s="67"/>
      <c r="BW61" s="98"/>
      <c r="BX61" s="99"/>
      <c r="BY61" s="329" t="str">
        <f t="shared" si="8"/>
        <v/>
      </c>
      <c r="BZ61" s="77"/>
      <c r="CA61" s="78"/>
      <c r="CB61" s="78"/>
      <c r="CC61" s="79"/>
      <c r="CD61" s="333" t="str">
        <f>IF(BY61="","",'Name List'!$I$4)</f>
        <v/>
      </c>
      <c r="CF61" s="68">
        <v>15</v>
      </c>
      <c r="CG61" s="69">
        <v>13</v>
      </c>
      <c r="CH61" s="282">
        <f t="shared" si="49"/>
        <v>28</v>
      </c>
      <c r="CI61" s="77">
        <v>0</v>
      </c>
      <c r="CJ61" s="78">
        <v>1</v>
      </c>
      <c r="CK61" s="78">
        <v>9</v>
      </c>
      <c r="CL61" s="79">
        <v>4</v>
      </c>
      <c r="CM61" s="333">
        <f>IF(CH61="","",'Name List'!$I$4)</f>
        <v>5</v>
      </c>
      <c r="CO61" s="71">
        <v>17</v>
      </c>
      <c r="CP61" s="72">
        <v>19</v>
      </c>
      <c r="CQ61" s="383">
        <f t="shared" si="9"/>
        <v>36</v>
      </c>
      <c r="CR61" s="77">
        <v>0</v>
      </c>
      <c r="CS61" s="78">
        <v>2</v>
      </c>
      <c r="CT61" s="78">
        <v>10</v>
      </c>
      <c r="CU61" s="79">
        <v>3</v>
      </c>
      <c r="CV61" s="333">
        <f>IF(CQ61="","",'Name List'!$I$4)</f>
        <v>5</v>
      </c>
      <c r="CX61" s="98">
        <v>15</v>
      </c>
      <c r="CY61" s="99">
        <v>17</v>
      </c>
      <c r="CZ61" s="329">
        <f t="shared" si="10"/>
        <v>32</v>
      </c>
      <c r="DA61" s="77">
        <v>0</v>
      </c>
      <c r="DB61" s="78">
        <v>1</v>
      </c>
      <c r="DC61" s="78">
        <v>7</v>
      </c>
      <c r="DD61" s="79">
        <v>1</v>
      </c>
      <c r="DE61" s="333">
        <f>IF(CZ61="","",'Name List'!$I$4)</f>
        <v>5</v>
      </c>
      <c r="DG61" s="98"/>
      <c r="DH61" s="99"/>
      <c r="DI61" s="329" t="str">
        <f t="shared" si="11"/>
        <v/>
      </c>
      <c r="DJ61" s="77"/>
      <c r="DK61" s="78"/>
      <c r="DL61" s="78"/>
      <c r="DM61" s="79"/>
      <c r="DN61" s="333" t="str">
        <f>IF(DI61="","",'Name List'!$I$4)</f>
        <v/>
      </c>
      <c r="DP61" s="98">
        <v>11</v>
      </c>
      <c r="DQ61" s="99">
        <v>15</v>
      </c>
      <c r="DR61" s="329">
        <f t="shared" si="12"/>
        <v>26</v>
      </c>
      <c r="DS61" s="77">
        <v>0</v>
      </c>
      <c r="DT61" s="78">
        <v>0</v>
      </c>
      <c r="DU61" s="78">
        <v>6</v>
      </c>
      <c r="DV61" s="79">
        <v>1</v>
      </c>
      <c r="DW61" s="333">
        <f>IF(DR61="","",'Name List'!$I$4)</f>
        <v>5</v>
      </c>
      <c r="DY61" s="98">
        <v>17</v>
      </c>
      <c r="DZ61" s="99">
        <v>18</v>
      </c>
      <c r="EA61" s="329">
        <f t="shared" si="13"/>
        <v>35</v>
      </c>
      <c r="EB61" s="77">
        <v>0</v>
      </c>
      <c r="EC61" s="78">
        <v>3</v>
      </c>
      <c r="ED61" s="78">
        <v>7</v>
      </c>
      <c r="EE61" s="79">
        <v>2</v>
      </c>
      <c r="EF61" s="333">
        <f>IF(EA61="","",'Name List'!$I$4)</f>
        <v>5</v>
      </c>
      <c r="EH61" s="98"/>
      <c r="EI61" s="99"/>
      <c r="EJ61" s="329" t="str">
        <f t="shared" si="14"/>
        <v/>
      </c>
      <c r="EK61" s="77"/>
      <c r="EL61" s="78"/>
      <c r="EM61" s="78"/>
      <c r="EN61" s="79"/>
      <c r="EO61" s="333" t="str">
        <f>IF(EJ61="","",'Name List'!$I$4)</f>
        <v/>
      </c>
      <c r="EQ61" s="115"/>
      <c r="ER61" s="116"/>
      <c r="ES61" s="117"/>
      <c r="ET61" s="77"/>
      <c r="EU61" s="78"/>
      <c r="EV61" s="78"/>
      <c r="EW61" s="79"/>
      <c r="EX61" s="333" t="str">
        <f>IF(ES61="","",'Name List'!$I$4)</f>
        <v/>
      </c>
      <c r="EZ61" s="68"/>
      <c r="FA61" s="69"/>
      <c r="FB61" s="70"/>
      <c r="FC61" s="77"/>
      <c r="FD61" s="78"/>
      <c r="FE61" s="78"/>
      <c r="FF61" s="79"/>
      <c r="FG61" s="67"/>
      <c r="FI61" s="98"/>
      <c r="FJ61" s="99"/>
      <c r="FK61" s="329" t="str">
        <f t="shared" si="16"/>
        <v/>
      </c>
      <c r="FL61" s="77"/>
      <c r="FM61" s="78"/>
      <c r="FN61" s="78"/>
      <c r="FO61" s="79"/>
      <c r="FP61" s="333" t="str">
        <f>IF(FK61="","",'Name List'!$I$4)</f>
        <v/>
      </c>
      <c r="FR61" s="98"/>
      <c r="FS61" s="99"/>
      <c r="FT61" s="329" t="str">
        <f t="shared" si="17"/>
        <v/>
      </c>
      <c r="FU61" s="77"/>
      <c r="FV61" s="78"/>
      <c r="FW61" s="78"/>
      <c r="FX61" s="79"/>
      <c r="FY61" s="333" t="str">
        <f>IF(FT61="","",'Name List'!$I$4)</f>
        <v/>
      </c>
      <c r="GA61" s="98"/>
      <c r="GB61" s="99"/>
      <c r="GC61" s="329" t="str">
        <f t="shared" si="18"/>
        <v/>
      </c>
      <c r="GD61" s="77"/>
      <c r="GE61" s="78"/>
      <c r="GF61" s="78"/>
      <c r="GG61" s="79"/>
      <c r="GH61" s="333" t="str">
        <f>IF(GC61="","",'Name List'!$I$4)</f>
        <v/>
      </c>
      <c r="GJ61" s="98"/>
      <c r="GK61" s="99"/>
      <c r="GL61" s="329" t="str">
        <f t="shared" si="19"/>
        <v/>
      </c>
      <c r="GM61" s="77"/>
      <c r="GN61" s="78"/>
      <c r="GO61" s="78"/>
      <c r="GP61" s="79"/>
      <c r="GQ61" s="333" t="str">
        <f>IF(GL61="","",'Name List'!$I$4)</f>
        <v/>
      </c>
      <c r="GS61" s="68"/>
      <c r="GT61" s="69"/>
      <c r="GU61" s="70"/>
      <c r="GV61" s="77"/>
      <c r="GW61" s="78"/>
      <c r="GX61" s="78"/>
      <c r="GY61" s="79"/>
      <c r="GZ61" s="67"/>
      <c r="HB61" s="98">
        <v>17</v>
      </c>
      <c r="HC61" s="99">
        <v>16</v>
      </c>
      <c r="HD61" s="329">
        <f t="shared" si="21"/>
        <v>33</v>
      </c>
      <c r="HE61" s="77">
        <v>0</v>
      </c>
      <c r="HF61" s="78">
        <v>2</v>
      </c>
      <c r="HG61" s="78">
        <v>7</v>
      </c>
      <c r="HH61" s="79">
        <v>3</v>
      </c>
      <c r="HI61" s="333">
        <f>IF(HD61="","",'Name List'!$I$4)</f>
        <v>5</v>
      </c>
      <c r="HK61" s="71"/>
      <c r="HL61" s="72"/>
      <c r="HM61" s="383" t="str">
        <f t="shared" si="22"/>
        <v/>
      </c>
      <c r="HN61" s="77"/>
      <c r="HO61" s="78"/>
      <c r="HP61" s="78"/>
      <c r="HQ61" s="79"/>
      <c r="HR61" s="333" t="str">
        <f>IF(HM61="","",'Name List'!$I$4)</f>
        <v/>
      </c>
      <c r="HT61" s="68"/>
      <c r="HU61" s="69"/>
      <c r="HV61" s="70"/>
      <c r="HW61" s="77"/>
      <c r="HX61" s="78"/>
      <c r="HY61" s="78"/>
      <c r="HZ61" s="79"/>
      <c r="IA61" s="67"/>
      <c r="IC61" s="115"/>
      <c r="ID61" s="116"/>
      <c r="IE61" s="117"/>
      <c r="IF61" s="77"/>
      <c r="IG61" s="78"/>
      <c r="IH61" s="78"/>
      <c r="II61" s="79"/>
      <c r="IJ61" s="333" t="str">
        <f>IF(IE61="","",'Name List'!$I$4)</f>
        <v/>
      </c>
      <c r="IL61" s="98"/>
      <c r="IM61" s="99"/>
      <c r="IN61" s="100"/>
      <c r="IO61" s="77"/>
      <c r="IP61" s="78"/>
      <c r="IQ61" s="78"/>
      <c r="IR61" s="79"/>
      <c r="IS61" s="67"/>
      <c r="IU61" s="98"/>
      <c r="IV61" s="99"/>
      <c r="IW61" s="100"/>
      <c r="IX61" s="77"/>
      <c r="IY61" s="78"/>
      <c r="IZ61" s="78"/>
      <c r="JA61" s="79"/>
      <c r="JB61" s="67"/>
      <c r="JD61" s="98"/>
      <c r="JE61" s="99"/>
      <c r="JF61" s="100"/>
      <c r="JG61" s="77"/>
      <c r="JH61" s="78"/>
      <c r="JI61" s="78"/>
      <c r="JJ61" s="79"/>
      <c r="JK61" s="67"/>
      <c r="JM61" s="98"/>
      <c r="JN61" s="99"/>
      <c r="JO61" s="275"/>
      <c r="JP61" s="77"/>
      <c r="JQ61" s="78"/>
      <c r="JR61" s="78"/>
      <c r="JS61" s="79"/>
      <c r="JT61" s="67"/>
      <c r="JV61" s="98"/>
      <c r="JW61" s="99"/>
      <c r="JX61" s="100"/>
      <c r="JY61" s="77"/>
      <c r="JZ61" s="78"/>
      <c r="KA61" s="78"/>
      <c r="KB61" s="79"/>
      <c r="KC61" s="67"/>
      <c r="KE61" s="98"/>
      <c r="KF61" s="99"/>
      <c r="KG61" s="100"/>
      <c r="KH61" s="77"/>
      <c r="KI61" s="78"/>
      <c r="KJ61" s="78"/>
      <c r="KK61" s="79"/>
      <c r="KL61" s="67"/>
      <c r="KN61" s="68"/>
      <c r="KO61" s="69"/>
      <c r="KP61" s="70"/>
      <c r="KQ61" s="77"/>
      <c r="KR61" s="78"/>
      <c r="KS61" s="78"/>
      <c r="KT61" s="79"/>
      <c r="KU61" s="67"/>
      <c r="KW61" s="98"/>
      <c r="KX61" s="99"/>
      <c r="KY61" s="100"/>
      <c r="KZ61" s="77"/>
      <c r="LA61" s="78"/>
      <c r="LB61" s="78"/>
      <c r="LC61" s="79"/>
      <c r="LD61" s="67"/>
      <c r="LF61" s="71"/>
      <c r="LG61" s="72"/>
      <c r="LH61" s="73"/>
      <c r="LI61" s="77"/>
      <c r="LJ61" s="78"/>
      <c r="LK61" s="78"/>
      <c r="LL61" s="79"/>
      <c r="LM61" s="67"/>
      <c r="LO61" s="98"/>
      <c r="LP61" s="99"/>
      <c r="LQ61" s="329"/>
      <c r="LR61" s="77"/>
      <c r="LS61" s="78"/>
      <c r="LT61" s="78"/>
      <c r="LU61" s="79"/>
      <c r="LV61" s="67"/>
      <c r="LX61" s="98"/>
      <c r="LY61" s="99"/>
      <c r="LZ61" s="100"/>
      <c r="MA61" s="77"/>
      <c r="MB61" s="78"/>
      <c r="MC61" s="78"/>
      <c r="MD61" s="79"/>
      <c r="ME61" s="67"/>
      <c r="MG61" s="98"/>
      <c r="MH61" s="99"/>
      <c r="MI61" s="100"/>
      <c r="MJ61" s="77"/>
      <c r="MK61" s="78"/>
      <c r="ML61" s="78"/>
      <c r="MM61" s="79"/>
      <c r="MN61" s="67"/>
      <c r="MP61" s="98"/>
      <c r="MQ61" s="99"/>
      <c r="MR61" s="100"/>
      <c r="MS61" s="77"/>
      <c r="MT61" s="78"/>
      <c r="MU61" s="78"/>
      <c r="MV61" s="79"/>
      <c r="MW61" s="67"/>
      <c r="MY61" s="98"/>
      <c r="MZ61" s="99"/>
      <c r="NA61" s="100"/>
      <c r="NB61" s="77"/>
      <c r="NC61" s="78"/>
      <c r="ND61" s="78"/>
      <c r="NE61" s="79"/>
      <c r="NF61" s="67"/>
      <c r="NH61" s="98"/>
      <c r="NI61" s="99"/>
      <c r="NJ61" s="329"/>
      <c r="NK61" s="77"/>
      <c r="NL61" s="78"/>
      <c r="NM61" s="78"/>
      <c r="NN61" s="79"/>
      <c r="NO61" s="67"/>
      <c r="NQ61" s="98"/>
      <c r="NR61" s="99"/>
      <c r="NS61" s="100"/>
      <c r="NT61" s="77"/>
      <c r="NU61" s="78"/>
      <c r="NV61" s="78"/>
      <c r="NW61" s="79"/>
      <c r="NX61" s="67"/>
      <c r="NZ61" s="71"/>
      <c r="OA61" s="72"/>
      <c r="OB61" s="73"/>
      <c r="OC61" s="77"/>
      <c r="OD61" s="78"/>
      <c r="OE61" s="78"/>
      <c r="OF61" s="79"/>
      <c r="OG61" s="67"/>
      <c r="OI61" s="98"/>
      <c r="OJ61" s="99"/>
      <c r="OK61" s="329"/>
      <c r="OL61" s="77"/>
      <c r="OM61" s="78"/>
      <c r="ON61" s="78"/>
      <c r="OO61" s="79"/>
      <c r="OP61" s="67"/>
      <c r="OR61" s="71"/>
      <c r="OS61" s="72"/>
      <c r="OT61" s="73"/>
      <c r="OU61" s="77"/>
      <c r="OV61" s="78"/>
      <c r="OW61" s="78"/>
      <c r="OX61" s="79"/>
      <c r="OY61" s="67"/>
      <c r="PA61" s="98"/>
      <c r="PB61" s="99"/>
      <c r="PC61" s="100"/>
      <c r="PD61" s="77"/>
      <c r="PE61" s="78"/>
      <c r="PF61" s="78"/>
      <c r="PG61" s="79"/>
      <c r="PH61" s="67"/>
      <c r="PJ61" s="277"/>
      <c r="PK61" s="278"/>
      <c r="PL61" s="279"/>
      <c r="PM61" s="125"/>
      <c r="PN61" s="126"/>
      <c r="PO61" s="126"/>
      <c r="PP61" s="127"/>
      <c r="PQ61" s="128"/>
      <c r="PS61" s="403"/>
      <c r="PT61" s="404"/>
      <c r="PU61" s="405"/>
      <c r="PV61" s="330"/>
      <c r="PW61" s="331"/>
      <c r="PX61" s="331"/>
      <c r="PY61" s="332"/>
      <c r="PZ61" s="333"/>
      <c r="QB61" s="412"/>
      <c r="QC61" s="413"/>
      <c r="QD61" s="414"/>
      <c r="QE61" s="125"/>
      <c r="QF61" s="126"/>
      <c r="QG61" s="126"/>
      <c r="QH61" s="127"/>
      <c r="QI61" s="128"/>
      <c r="QK61" s="283"/>
      <c r="QL61" s="284"/>
      <c r="QM61" s="285"/>
      <c r="QN61" s="125"/>
      <c r="QO61" s="126"/>
      <c r="QP61" s="126"/>
      <c r="QQ61" s="127"/>
      <c r="QR61" s="128" t="str">
        <f>IF(QM61="","",'Name List'!$I$4)</f>
        <v/>
      </c>
      <c r="QS61" s="91"/>
      <c r="QT61" s="107">
        <f t="shared" si="50"/>
        <v>0</v>
      </c>
      <c r="QU61" s="130">
        <f t="shared" si="51"/>
        <v>14</v>
      </c>
      <c r="QV61" s="130">
        <f t="shared" si="52"/>
        <v>78</v>
      </c>
      <c r="QW61" s="108">
        <f t="shared" si="53"/>
        <v>21</v>
      </c>
      <c r="QY61" s="260">
        <f t="shared" si="54"/>
        <v>10</v>
      </c>
      <c r="RA61" s="141">
        <f t="shared" si="55"/>
        <v>17</v>
      </c>
      <c r="RB61" s="106">
        <f t="shared" si="56"/>
        <v>23</v>
      </c>
      <c r="RC61" s="106">
        <f t="shared" si="57"/>
        <v>40</v>
      </c>
      <c r="RD61" s="106">
        <f t="shared" si="58"/>
        <v>11</v>
      </c>
      <c r="RE61" s="106">
        <f t="shared" si="59"/>
        <v>11</v>
      </c>
      <c r="RF61" s="142">
        <f t="shared" si="60"/>
        <v>26</v>
      </c>
      <c r="RG61" s="106"/>
      <c r="RH61" s="139">
        <f t="shared" si="61"/>
        <v>36</v>
      </c>
      <c r="RI61" s="140">
        <f t="shared" si="62"/>
        <v>33</v>
      </c>
      <c r="RJ61" s="106"/>
      <c r="RK61" s="136">
        <f t="shared" si="63"/>
        <v>32.4</v>
      </c>
      <c r="RL61" s="106"/>
      <c r="RM61" s="137">
        <f t="shared" si="64"/>
        <v>0</v>
      </c>
      <c r="RN61" s="138">
        <f t="shared" si="65"/>
        <v>0</v>
      </c>
      <c r="RO61" s="106"/>
      <c r="RP61" s="259">
        <f t="shared" si="66"/>
        <v>0</v>
      </c>
    </row>
    <row r="62" spans="1:484" x14ac:dyDescent="0.2">
      <c r="A62" s="89" t="str">
        <f>'Name List'!B62</f>
        <v>Terry Walker</v>
      </c>
      <c r="C62" s="98"/>
      <c r="D62" s="99"/>
      <c r="E62" s="329" t="str">
        <f t="shared" si="0"/>
        <v/>
      </c>
      <c r="F62" s="77"/>
      <c r="G62" s="78"/>
      <c r="H62" s="78"/>
      <c r="I62" s="79"/>
      <c r="J62" s="333" t="str">
        <f>IF(E62="","",'Name List'!$I$4)</f>
        <v/>
      </c>
      <c r="L62" s="98"/>
      <c r="M62" s="99"/>
      <c r="N62" s="100"/>
      <c r="O62" s="77"/>
      <c r="P62" s="78"/>
      <c r="Q62" s="78"/>
      <c r="R62" s="79"/>
      <c r="S62" s="67"/>
      <c r="U62" s="71"/>
      <c r="V62" s="72"/>
      <c r="W62" s="396" t="str">
        <f t="shared" si="2"/>
        <v/>
      </c>
      <c r="X62" s="77"/>
      <c r="Y62" s="78"/>
      <c r="Z62" s="78"/>
      <c r="AA62" s="79"/>
      <c r="AB62" s="333" t="str">
        <f>IF(W62="","",'Name List'!$I$4)</f>
        <v/>
      </c>
      <c r="AD62" s="98"/>
      <c r="AE62" s="99"/>
      <c r="AF62" s="329" t="str">
        <f t="shared" si="3"/>
        <v/>
      </c>
      <c r="AG62" s="77"/>
      <c r="AH62" s="78"/>
      <c r="AI62" s="78"/>
      <c r="AJ62" s="79"/>
      <c r="AK62" s="333" t="str">
        <f>IF(AF62="","",'Name List'!$I$4)</f>
        <v/>
      </c>
      <c r="AM62" s="98">
        <v>12</v>
      </c>
      <c r="AN62" s="99">
        <v>15</v>
      </c>
      <c r="AO62" s="329">
        <f t="shared" si="4"/>
        <v>27</v>
      </c>
      <c r="AP62" s="77">
        <v>0</v>
      </c>
      <c r="AQ62" s="78">
        <v>0</v>
      </c>
      <c r="AR62" s="78">
        <v>8</v>
      </c>
      <c r="AS62" s="79">
        <v>2</v>
      </c>
      <c r="AT62" s="333">
        <f>IF(AO62="","",'Name List'!$I$4)</f>
        <v>5</v>
      </c>
      <c r="AV62" s="458"/>
      <c r="AW62" s="401"/>
      <c r="AX62" s="400" t="str">
        <f t="shared" si="5"/>
        <v/>
      </c>
      <c r="AY62" s="77"/>
      <c r="AZ62" s="78"/>
      <c r="BA62" s="78"/>
      <c r="BB62" s="79"/>
      <c r="BC62" s="457" t="str">
        <f>IF(AX62="","",'Name List'!$I$4)</f>
        <v/>
      </c>
      <c r="BE62" s="71">
        <v>17</v>
      </c>
      <c r="BF62" s="72">
        <v>15</v>
      </c>
      <c r="BG62" s="383">
        <f t="shared" si="6"/>
        <v>32</v>
      </c>
      <c r="BH62" s="77">
        <v>0</v>
      </c>
      <c r="BI62" s="78">
        <v>0</v>
      </c>
      <c r="BJ62" s="78">
        <v>9</v>
      </c>
      <c r="BK62" s="79">
        <v>2</v>
      </c>
      <c r="BL62" s="333">
        <f>IF(BG62="","",'Name List'!$I$4)</f>
        <v>5</v>
      </c>
      <c r="BN62" s="98"/>
      <c r="BO62" s="99"/>
      <c r="BP62" s="100"/>
      <c r="BQ62" s="77"/>
      <c r="BR62" s="78"/>
      <c r="BS62" s="78"/>
      <c r="BT62" s="79"/>
      <c r="BU62" s="67"/>
      <c r="BW62" s="98"/>
      <c r="BX62" s="99"/>
      <c r="BY62" s="329" t="str">
        <f t="shared" si="8"/>
        <v/>
      </c>
      <c r="BZ62" s="77"/>
      <c r="CA62" s="78"/>
      <c r="CB62" s="78"/>
      <c r="CC62" s="79"/>
      <c r="CD62" s="333" t="str">
        <f>IF(BY62="","",'Name List'!$I$4)</f>
        <v/>
      </c>
      <c r="CF62" s="68"/>
      <c r="CG62" s="69"/>
      <c r="CH62" s="282" t="str">
        <f t="shared" si="49"/>
        <v/>
      </c>
      <c r="CI62" s="77"/>
      <c r="CJ62" s="78"/>
      <c r="CK62" s="78"/>
      <c r="CL62" s="79"/>
      <c r="CM62" s="333" t="str">
        <f>IF(CH62="","",'Name List'!$I$4)</f>
        <v/>
      </c>
      <c r="CO62" s="71">
        <v>13</v>
      </c>
      <c r="CP62" s="72">
        <v>13</v>
      </c>
      <c r="CQ62" s="383">
        <f t="shared" si="9"/>
        <v>26</v>
      </c>
      <c r="CR62" s="77">
        <v>0</v>
      </c>
      <c r="CS62" s="78">
        <v>2</v>
      </c>
      <c r="CT62" s="78">
        <v>3</v>
      </c>
      <c r="CU62" s="79">
        <v>2</v>
      </c>
      <c r="CV62" s="333">
        <f>IF(CQ62="","",'Name List'!$I$4)</f>
        <v>5</v>
      </c>
      <c r="CX62" s="98"/>
      <c r="CY62" s="99"/>
      <c r="CZ62" s="329" t="str">
        <f t="shared" si="10"/>
        <v/>
      </c>
      <c r="DA62" s="77"/>
      <c r="DB62" s="78"/>
      <c r="DC62" s="78"/>
      <c r="DD62" s="79"/>
      <c r="DE62" s="333" t="str">
        <f>IF(CZ62="","",'Name List'!$I$4)</f>
        <v/>
      </c>
      <c r="DG62" s="98">
        <v>11</v>
      </c>
      <c r="DH62" s="99">
        <v>15</v>
      </c>
      <c r="DI62" s="329">
        <f t="shared" si="11"/>
        <v>26</v>
      </c>
      <c r="DJ62" s="77">
        <v>0</v>
      </c>
      <c r="DK62" s="78">
        <v>0</v>
      </c>
      <c r="DL62" s="78">
        <v>5</v>
      </c>
      <c r="DM62" s="79">
        <v>4</v>
      </c>
      <c r="DN62" s="333">
        <f>IF(DI62="","",'Name List'!$I$4)</f>
        <v>5</v>
      </c>
      <c r="DP62" s="98"/>
      <c r="DQ62" s="99"/>
      <c r="DR62" s="329" t="str">
        <f t="shared" si="12"/>
        <v/>
      </c>
      <c r="DS62" s="77"/>
      <c r="DT62" s="78"/>
      <c r="DU62" s="78"/>
      <c r="DV62" s="79"/>
      <c r="DW62" s="333" t="str">
        <f>IF(DR62="","",'Name List'!$I$4)</f>
        <v/>
      </c>
      <c r="DY62" s="98"/>
      <c r="DZ62" s="99"/>
      <c r="EA62" s="329" t="str">
        <f t="shared" si="13"/>
        <v/>
      </c>
      <c r="EB62" s="77"/>
      <c r="EC62" s="78"/>
      <c r="ED62" s="78"/>
      <c r="EE62" s="79"/>
      <c r="EF62" s="333" t="str">
        <f>IF(EA62="","",'Name List'!$I$4)</f>
        <v/>
      </c>
      <c r="EH62" s="98"/>
      <c r="EI62" s="99"/>
      <c r="EJ62" s="329" t="str">
        <f t="shared" si="14"/>
        <v/>
      </c>
      <c r="EK62" s="77"/>
      <c r="EL62" s="78"/>
      <c r="EM62" s="78"/>
      <c r="EN62" s="79"/>
      <c r="EO62" s="333" t="str">
        <f>IF(EJ62="","",'Name List'!$I$4)</f>
        <v/>
      </c>
      <c r="EQ62" s="115"/>
      <c r="ER62" s="116"/>
      <c r="ES62" s="117"/>
      <c r="ET62" s="77"/>
      <c r="EU62" s="78"/>
      <c r="EV62" s="78"/>
      <c r="EW62" s="79"/>
      <c r="EX62" s="333" t="str">
        <f>IF(ES62="","",'Name List'!$I$4)</f>
        <v/>
      </c>
      <c r="EZ62" s="68"/>
      <c r="FA62" s="69"/>
      <c r="FB62" s="70"/>
      <c r="FC62" s="77"/>
      <c r="FD62" s="78"/>
      <c r="FE62" s="78"/>
      <c r="FF62" s="79"/>
      <c r="FG62" s="67"/>
      <c r="FI62" s="98"/>
      <c r="FJ62" s="99"/>
      <c r="FK62" s="329" t="str">
        <f t="shared" si="16"/>
        <v/>
      </c>
      <c r="FL62" s="77"/>
      <c r="FM62" s="78"/>
      <c r="FN62" s="78"/>
      <c r="FO62" s="79"/>
      <c r="FP62" s="333" t="str">
        <f>IF(FK62="","",'Name List'!$I$4)</f>
        <v/>
      </c>
      <c r="FR62" s="98"/>
      <c r="FS62" s="99"/>
      <c r="FT62" s="329" t="str">
        <f t="shared" si="17"/>
        <v/>
      </c>
      <c r="FU62" s="77"/>
      <c r="FV62" s="78"/>
      <c r="FW62" s="78"/>
      <c r="FX62" s="79"/>
      <c r="FY62" s="333" t="str">
        <f>IF(FT62="","",'Name List'!$I$4)</f>
        <v/>
      </c>
      <c r="GA62" s="98"/>
      <c r="GB62" s="99"/>
      <c r="GC62" s="329" t="str">
        <f t="shared" si="18"/>
        <v/>
      </c>
      <c r="GD62" s="77"/>
      <c r="GE62" s="78"/>
      <c r="GF62" s="78"/>
      <c r="GG62" s="79"/>
      <c r="GH62" s="333" t="str">
        <f>IF(GC62="","",'Name List'!$I$4)</f>
        <v/>
      </c>
      <c r="GJ62" s="98"/>
      <c r="GK62" s="99"/>
      <c r="GL62" s="329" t="str">
        <f t="shared" si="19"/>
        <v/>
      </c>
      <c r="GM62" s="77"/>
      <c r="GN62" s="78"/>
      <c r="GO62" s="78"/>
      <c r="GP62" s="79"/>
      <c r="GQ62" s="333" t="str">
        <f>IF(GL62="","",'Name List'!$I$4)</f>
        <v/>
      </c>
      <c r="GS62" s="68"/>
      <c r="GT62" s="69"/>
      <c r="GU62" s="70"/>
      <c r="GV62" s="77"/>
      <c r="GW62" s="78"/>
      <c r="GX62" s="78"/>
      <c r="GY62" s="79"/>
      <c r="GZ62" s="67"/>
      <c r="HB62" s="98">
        <v>8</v>
      </c>
      <c r="HC62" s="99">
        <v>16</v>
      </c>
      <c r="HD62" s="329">
        <f t="shared" si="21"/>
        <v>24</v>
      </c>
      <c r="HE62" s="77">
        <v>0</v>
      </c>
      <c r="HF62" s="78">
        <v>0</v>
      </c>
      <c r="HG62" s="78">
        <v>6</v>
      </c>
      <c r="HH62" s="79">
        <v>6</v>
      </c>
      <c r="HI62" s="333">
        <f>IF(HD62="","",'Name List'!$I$4)</f>
        <v>5</v>
      </c>
      <c r="HK62" s="71"/>
      <c r="HL62" s="72"/>
      <c r="HM62" s="383" t="str">
        <f t="shared" si="22"/>
        <v/>
      </c>
      <c r="HN62" s="77"/>
      <c r="HO62" s="78"/>
      <c r="HP62" s="78"/>
      <c r="HQ62" s="79"/>
      <c r="HR62" s="333" t="str">
        <f>IF(HM62="","",'Name List'!$I$4)</f>
        <v/>
      </c>
      <c r="HT62" s="68"/>
      <c r="HU62" s="69"/>
      <c r="HV62" s="70"/>
      <c r="HW62" s="77"/>
      <c r="HX62" s="78"/>
      <c r="HY62" s="78"/>
      <c r="HZ62" s="79"/>
      <c r="IA62" s="67"/>
      <c r="IC62" s="115"/>
      <c r="ID62" s="116"/>
      <c r="IE62" s="117"/>
      <c r="IF62" s="77"/>
      <c r="IG62" s="78"/>
      <c r="IH62" s="78"/>
      <c r="II62" s="79"/>
      <c r="IJ62" s="333" t="str">
        <f>IF(IE62="","",'Name List'!$I$4)</f>
        <v/>
      </c>
      <c r="IL62" s="98"/>
      <c r="IM62" s="99"/>
      <c r="IN62" s="100"/>
      <c r="IO62" s="77"/>
      <c r="IP62" s="78"/>
      <c r="IQ62" s="78"/>
      <c r="IR62" s="79"/>
      <c r="IS62" s="67"/>
      <c r="IU62" s="98"/>
      <c r="IV62" s="99"/>
      <c r="IW62" s="100"/>
      <c r="IX62" s="77"/>
      <c r="IY62" s="78"/>
      <c r="IZ62" s="78"/>
      <c r="JA62" s="79"/>
      <c r="JB62" s="67"/>
      <c r="JD62" s="98"/>
      <c r="JE62" s="99"/>
      <c r="JF62" s="100"/>
      <c r="JG62" s="77"/>
      <c r="JH62" s="78"/>
      <c r="JI62" s="78"/>
      <c r="JJ62" s="79"/>
      <c r="JK62" s="67"/>
      <c r="JM62" s="98"/>
      <c r="JN62" s="99"/>
      <c r="JO62" s="275"/>
      <c r="JP62" s="77"/>
      <c r="JQ62" s="78"/>
      <c r="JR62" s="78"/>
      <c r="JS62" s="79"/>
      <c r="JT62" s="67"/>
      <c r="JV62" s="98"/>
      <c r="JW62" s="99"/>
      <c r="JX62" s="100"/>
      <c r="JY62" s="77"/>
      <c r="JZ62" s="78"/>
      <c r="KA62" s="78"/>
      <c r="KB62" s="79"/>
      <c r="KC62" s="67"/>
      <c r="KE62" s="98"/>
      <c r="KF62" s="99"/>
      <c r="KG62" s="100"/>
      <c r="KH62" s="77"/>
      <c r="KI62" s="78"/>
      <c r="KJ62" s="78"/>
      <c r="KK62" s="79"/>
      <c r="KL62" s="67"/>
      <c r="KN62" s="68"/>
      <c r="KO62" s="69"/>
      <c r="KP62" s="70"/>
      <c r="KQ62" s="77"/>
      <c r="KR62" s="78"/>
      <c r="KS62" s="78"/>
      <c r="KT62" s="79"/>
      <c r="KU62" s="67"/>
      <c r="KW62" s="98"/>
      <c r="KX62" s="99"/>
      <c r="KY62" s="100"/>
      <c r="KZ62" s="77"/>
      <c r="LA62" s="78"/>
      <c r="LB62" s="78"/>
      <c r="LC62" s="79"/>
      <c r="LD62" s="67"/>
      <c r="LF62" s="71"/>
      <c r="LG62" s="72"/>
      <c r="LH62" s="73"/>
      <c r="LI62" s="77"/>
      <c r="LJ62" s="78"/>
      <c r="LK62" s="78"/>
      <c r="LL62" s="79"/>
      <c r="LM62" s="67"/>
      <c r="LO62" s="98"/>
      <c r="LP62" s="99"/>
      <c r="LQ62" s="329"/>
      <c r="LR62" s="77"/>
      <c r="LS62" s="78"/>
      <c r="LT62" s="78"/>
      <c r="LU62" s="79"/>
      <c r="LV62" s="67"/>
      <c r="LX62" s="98"/>
      <c r="LY62" s="99"/>
      <c r="LZ62" s="100"/>
      <c r="MA62" s="77"/>
      <c r="MB62" s="78"/>
      <c r="MC62" s="78"/>
      <c r="MD62" s="79"/>
      <c r="ME62" s="67"/>
      <c r="MG62" s="98"/>
      <c r="MH62" s="99"/>
      <c r="MI62" s="100"/>
      <c r="MJ62" s="77"/>
      <c r="MK62" s="78"/>
      <c r="ML62" s="78"/>
      <c r="MM62" s="79"/>
      <c r="MN62" s="67"/>
      <c r="MP62" s="98"/>
      <c r="MQ62" s="99"/>
      <c r="MR62" s="100"/>
      <c r="MS62" s="77"/>
      <c r="MT62" s="78"/>
      <c r="MU62" s="78"/>
      <c r="MV62" s="79"/>
      <c r="MW62" s="67"/>
      <c r="MY62" s="98"/>
      <c r="MZ62" s="99"/>
      <c r="NA62" s="100"/>
      <c r="NB62" s="77"/>
      <c r="NC62" s="78"/>
      <c r="ND62" s="78"/>
      <c r="NE62" s="79"/>
      <c r="NF62" s="67"/>
      <c r="NH62" s="98"/>
      <c r="NI62" s="99"/>
      <c r="NJ62" s="329"/>
      <c r="NK62" s="77"/>
      <c r="NL62" s="78"/>
      <c r="NM62" s="78"/>
      <c r="NN62" s="79"/>
      <c r="NO62" s="67"/>
      <c r="NQ62" s="98"/>
      <c r="NR62" s="99"/>
      <c r="NS62" s="100"/>
      <c r="NT62" s="77"/>
      <c r="NU62" s="78"/>
      <c r="NV62" s="78"/>
      <c r="NW62" s="79"/>
      <c r="NX62" s="67"/>
      <c r="NZ62" s="71"/>
      <c r="OA62" s="72"/>
      <c r="OB62" s="73"/>
      <c r="OC62" s="77"/>
      <c r="OD62" s="78"/>
      <c r="OE62" s="78"/>
      <c r="OF62" s="79"/>
      <c r="OG62" s="67"/>
      <c r="OI62" s="98"/>
      <c r="OJ62" s="99"/>
      <c r="OK62" s="329"/>
      <c r="OL62" s="77"/>
      <c r="OM62" s="78"/>
      <c r="ON62" s="78"/>
      <c r="OO62" s="79"/>
      <c r="OP62" s="67"/>
      <c r="OR62" s="71"/>
      <c r="OS62" s="72"/>
      <c r="OT62" s="73"/>
      <c r="OU62" s="77"/>
      <c r="OV62" s="78"/>
      <c r="OW62" s="78"/>
      <c r="OX62" s="79"/>
      <c r="OY62" s="67"/>
      <c r="PA62" s="98"/>
      <c r="PB62" s="99"/>
      <c r="PC62" s="100"/>
      <c r="PD62" s="77"/>
      <c r="PE62" s="78"/>
      <c r="PF62" s="78"/>
      <c r="PG62" s="79"/>
      <c r="PH62" s="67"/>
      <c r="PJ62" s="277"/>
      <c r="PK62" s="278"/>
      <c r="PL62" s="279"/>
      <c r="PM62" s="125"/>
      <c r="PN62" s="126"/>
      <c r="PO62" s="126"/>
      <c r="PP62" s="127"/>
      <c r="PQ62" s="128"/>
      <c r="PS62" s="403"/>
      <c r="PT62" s="404"/>
      <c r="PU62" s="405"/>
      <c r="PV62" s="330"/>
      <c r="PW62" s="331"/>
      <c r="PX62" s="331"/>
      <c r="PY62" s="332"/>
      <c r="PZ62" s="333"/>
      <c r="QB62" s="412"/>
      <c r="QC62" s="413"/>
      <c r="QD62" s="414"/>
      <c r="QE62" s="125"/>
      <c r="QF62" s="126"/>
      <c r="QG62" s="126"/>
      <c r="QH62" s="127"/>
      <c r="QI62" s="128"/>
      <c r="QK62" s="283"/>
      <c r="QL62" s="284"/>
      <c r="QM62" s="285"/>
      <c r="QN62" s="125"/>
      <c r="QO62" s="126"/>
      <c r="QP62" s="126"/>
      <c r="QQ62" s="127"/>
      <c r="QR62" s="128" t="str">
        <f>IF(QM62="","",'Name List'!$I$4)</f>
        <v/>
      </c>
      <c r="QS62" s="91"/>
      <c r="QT62" s="107">
        <f t="shared" si="50"/>
        <v>0</v>
      </c>
      <c r="QU62" s="130">
        <f t="shared" si="51"/>
        <v>2</v>
      </c>
      <c r="QV62" s="130">
        <f t="shared" si="52"/>
        <v>31</v>
      </c>
      <c r="QW62" s="108">
        <f t="shared" si="53"/>
        <v>16</v>
      </c>
      <c r="QY62" s="260">
        <f t="shared" si="54"/>
        <v>5</v>
      </c>
      <c r="RA62" s="141">
        <f t="shared" si="55"/>
        <v>12</v>
      </c>
      <c r="RB62" s="106">
        <f t="shared" si="56"/>
        <v>15</v>
      </c>
      <c r="RC62" s="106">
        <f t="shared" si="57"/>
        <v>27</v>
      </c>
      <c r="RD62" s="106">
        <f t="shared" si="58"/>
        <v>11</v>
      </c>
      <c r="RE62" s="106">
        <f t="shared" si="59"/>
        <v>15</v>
      </c>
      <c r="RF62" s="142">
        <f t="shared" si="60"/>
        <v>26</v>
      </c>
      <c r="RG62" s="106"/>
      <c r="RH62" s="139">
        <f t="shared" si="61"/>
        <v>32</v>
      </c>
      <c r="RI62" s="140">
        <f t="shared" si="62"/>
        <v>24</v>
      </c>
      <c r="RJ62" s="106"/>
      <c r="RK62" s="136">
        <f t="shared" si="63"/>
        <v>27</v>
      </c>
      <c r="RL62" s="106"/>
      <c r="RM62" s="137">
        <f t="shared" si="64"/>
        <v>0</v>
      </c>
      <c r="RN62" s="138">
        <f t="shared" si="65"/>
        <v>0</v>
      </c>
      <c r="RO62" s="106"/>
      <c r="RP62" s="259">
        <f t="shared" si="66"/>
        <v>0</v>
      </c>
    </row>
    <row r="63" spans="1:484" x14ac:dyDescent="0.2">
      <c r="A63" s="89" t="str">
        <f>'Name List'!B63</f>
        <v>Finn Wheeler</v>
      </c>
      <c r="C63" s="98"/>
      <c r="D63" s="99"/>
      <c r="E63" s="329" t="str">
        <f t="shared" si="0"/>
        <v/>
      </c>
      <c r="F63" s="77"/>
      <c r="G63" s="78"/>
      <c r="H63" s="78"/>
      <c r="I63" s="79"/>
      <c r="J63" s="333" t="str">
        <f>IF(E63="","",'Name List'!$I$4)</f>
        <v/>
      </c>
      <c r="L63" s="98"/>
      <c r="M63" s="99"/>
      <c r="N63" s="100"/>
      <c r="O63" s="77"/>
      <c r="P63" s="78"/>
      <c r="Q63" s="78"/>
      <c r="R63" s="79"/>
      <c r="S63" s="67"/>
      <c r="U63" s="71"/>
      <c r="V63" s="72"/>
      <c r="W63" s="396" t="str">
        <f t="shared" si="2"/>
        <v/>
      </c>
      <c r="X63" s="77"/>
      <c r="Y63" s="78"/>
      <c r="Z63" s="78"/>
      <c r="AA63" s="79"/>
      <c r="AB63" s="333" t="str">
        <f>IF(W63="","",'Name List'!$I$4)</f>
        <v/>
      </c>
      <c r="AD63" s="98"/>
      <c r="AE63" s="99"/>
      <c r="AF63" s="329" t="str">
        <f t="shared" si="3"/>
        <v/>
      </c>
      <c r="AG63" s="77"/>
      <c r="AH63" s="78"/>
      <c r="AI63" s="78"/>
      <c r="AJ63" s="79"/>
      <c r="AK63" s="333" t="str">
        <f>IF(AF63="","",'Name List'!$I$4)</f>
        <v/>
      </c>
      <c r="AM63" s="98">
        <v>14</v>
      </c>
      <c r="AN63" s="99">
        <v>10</v>
      </c>
      <c r="AO63" s="329">
        <f t="shared" si="4"/>
        <v>24</v>
      </c>
      <c r="AP63" s="77">
        <v>0</v>
      </c>
      <c r="AQ63" s="78">
        <v>0</v>
      </c>
      <c r="AR63" s="78">
        <v>6</v>
      </c>
      <c r="AS63" s="79">
        <v>3</v>
      </c>
      <c r="AT63" s="333">
        <f>IF(AO63="","",'Name List'!$I$4)</f>
        <v>5</v>
      </c>
      <c r="AV63" s="458"/>
      <c r="AW63" s="401"/>
      <c r="AX63" s="400" t="str">
        <f t="shared" si="5"/>
        <v/>
      </c>
      <c r="AY63" s="77"/>
      <c r="AZ63" s="78"/>
      <c r="BA63" s="78"/>
      <c r="BB63" s="79"/>
      <c r="BC63" s="457" t="str">
        <f>IF(AX63="","",'Name List'!$I$4)</f>
        <v/>
      </c>
      <c r="BE63" s="71"/>
      <c r="BF63" s="72"/>
      <c r="BG63" s="383" t="str">
        <f t="shared" si="6"/>
        <v/>
      </c>
      <c r="BH63" s="77"/>
      <c r="BI63" s="78"/>
      <c r="BJ63" s="78"/>
      <c r="BK63" s="79"/>
      <c r="BL63" s="333" t="str">
        <f>IF(BG63="","",'Name List'!$I$4)</f>
        <v/>
      </c>
      <c r="BN63" s="98"/>
      <c r="BO63" s="99"/>
      <c r="BP63" s="100"/>
      <c r="BQ63" s="77"/>
      <c r="BR63" s="78"/>
      <c r="BS63" s="78"/>
      <c r="BT63" s="79"/>
      <c r="BU63" s="67"/>
      <c r="BW63" s="98">
        <v>18</v>
      </c>
      <c r="BX63" s="99">
        <v>17</v>
      </c>
      <c r="BY63" s="329">
        <f t="shared" si="8"/>
        <v>35</v>
      </c>
      <c r="BZ63" s="77">
        <v>0</v>
      </c>
      <c r="CA63" s="78">
        <v>2</v>
      </c>
      <c r="CB63" s="78">
        <v>9</v>
      </c>
      <c r="CC63" s="79">
        <v>1</v>
      </c>
      <c r="CD63" s="333">
        <f>IF(BY63="","",'Name List'!$I$4)</f>
        <v>5</v>
      </c>
      <c r="CF63" s="68"/>
      <c r="CG63" s="69"/>
      <c r="CH63" s="282" t="str">
        <f t="shared" si="49"/>
        <v/>
      </c>
      <c r="CI63" s="77"/>
      <c r="CJ63" s="78"/>
      <c r="CK63" s="78"/>
      <c r="CL63" s="79"/>
      <c r="CM63" s="333" t="str">
        <f>IF(CH63="","",'Name List'!$I$4)</f>
        <v/>
      </c>
      <c r="CO63" s="71"/>
      <c r="CP63" s="72"/>
      <c r="CQ63" s="383" t="str">
        <f t="shared" si="9"/>
        <v/>
      </c>
      <c r="CR63" s="77"/>
      <c r="CS63" s="78"/>
      <c r="CT63" s="78"/>
      <c r="CU63" s="79"/>
      <c r="CV63" s="333" t="str">
        <f>IF(CQ63="","",'Name List'!$I$4)</f>
        <v/>
      </c>
      <c r="CX63" s="98">
        <v>14</v>
      </c>
      <c r="CY63" s="99">
        <v>14</v>
      </c>
      <c r="CZ63" s="329">
        <f t="shared" si="10"/>
        <v>28</v>
      </c>
      <c r="DA63" s="77">
        <v>0</v>
      </c>
      <c r="DB63" s="78">
        <v>0</v>
      </c>
      <c r="DC63" s="78">
        <v>7</v>
      </c>
      <c r="DD63" s="79">
        <v>4</v>
      </c>
      <c r="DE63" s="333">
        <f>IF(CZ63="","",'Name List'!$I$4)</f>
        <v>5</v>
      </c>
      <c r="DG63" s="98"/>
      <c r="DH63" s="99"/>
      <c r="DI63" s="329" t="str">
        <f t="shared" si="11"/>
        <v/>
      </c>
      <c r="DJ63" s="77"/>
      <c r="DK63" s="78"/>
      <c r="DL63" s="78"/>
      <c r="DM63" s="79"/>
      <c r="DN63" s="333" t="str">
        <f>IF(DI63="","",'Name List'!$I$4)</f>
        <v/>
      </c>
      <c r="DP63" s="98"/>
      <c r="DQ63" s="99"/>
      <c r="DR63" s="329" t="str">
        <f t="shared" si="12"/>
        <v/>
      </c>
      <c r="DS63" s="77"/>
      <c r="DT63" s="78"/>
      <c r="DU63" s="78"/>
      <c r="DV63" s="79"/>
      <c r="DW63" s="333" t="str">
        <f>IF(DR63="","",'Name List'!$I$4)</f>
        <v/>
      </c>
      <c r="DY63" s="98"/>
      <c r="DZ63" s="99"/>
      <c r="EA63" s="329" t="str">
        <f t="shared" si="13"/>
        <v/>
      </c>
      <c r="EB63" s="77"/>
      <c r="EC63" s="78"/>
      <c r="ED63" s="78"/>
      <c r="EE63" s="79"/>
      <c r="EF63" s="333" t="str">
        <f>IF(EA63="","",'Name List'!$I$4)</f>
        <v/>
      </c>
      <c r="EH63" s="98"/>
      <c r="EI63" s="99"/>
      <c r="EJ63" s="329" t="str">
        <f t="shared" si="14"/>
        <v/>
      </c>
      <c r="EK63" s="77"/>
      <c r="EL63" s="78"/>
      <c r="EM63" s="78"/>
      <c r="EN63" s="79"/>
      <c r="EO63" s="333" t="str">
        <f>IF(EJ63="","",'Name List'!$I$4)</f>
        <v/>
      </c>
      <c r="EQ63" s="115"/>
      <c r="ER63" s="116"/>
      <c r="ES63" s="117"/>
      <c r="ET63" s="77"/>
      <c r="EU63" s="78"/>
      <c r="EV63" s="78"/>
      <c r="EW63" s="79"/>
      <c r="EX63" s="333" t="str">
        <f>IF(ES63="","",'Name List'!$I$4)</f>
        <v/>
      </c>
      <c r="EZ63" s="68"/>
      <c r="FA63" s="69"/>
      <c r="FB63" s="70"/>
      <c r="FC63" s="77"/>
      <c r="FD63" s="78"/>
      <c r="FE63" s="78"/>
      <c r="FF63" s="79"/>
      <c r="FG63" s="67"/>
      <c r="FI63" s="98"/>
      <c r="FJ63" s="99"/>
      <c r="FK63" s="329" t="str">
        <f t="shared" si="16"/>
        <v/>
      </c>
      <c r="FL63" s="77"/>
      <c r="FM63" s="78"/>
      <c r="FN63" s="78"/>
      <c r="FO63" s="79"/>
      <c r="FP63" s="333" t="str">
        <f>IF(FK63="","",'Name List'!$I$4)</f>
        <v/>
      </c>
      <c r="FR63" s="98"/>
      <c r="FS63" s="99"/>
      <c r="FT63" s="329" t="str">
        <f t="shared" si="17"/>
        <v/>
      </c>
      <c r="FU63" s="77"/>
      <c r="FV63" s="78"/>
      <c r="FW63" s="78"/>
      <c r="FX63" s="79"/>
      <c r="FY63" s="333" t="str">
        <f>IF(FT63="","",'Name List'!$I$4)</f>
        <v/>
      </c>
      <c r="GA63" s="98"/>
      <c r="GB63" s="99"/>
      <c r="GC63" s="329" t="str">
        <f t="shared" si="18"/>
        <v/>
      </c>
      <c r="GD63" s="77"/>
      <c r="GE63" s="78"/>
      <c r="GF63" s="78"/>
      <c r="GG63" s="79"/>
      <c r="GH63" s="333" t="str">
        <f>IF(GC63="","",'Name List'!$I$4)</f>
        <v/>
      </c>
      <c r="GJ63" s="98"/>
      <c r="GK63" s="99"/>
      <c r="GL63" s="329" t="str">
        <f t="shared" si="19"/>
        <v/>
      </c>
      <c r="GM63" s="77"/>
      <c r="GN63" s="78"/>
      <c r="GO63" s="78"/>
      <c r="GP63" s="79"/>
      <c r="GQ63" s="333" t="str">
        <f>IF(GL63="","",'Name List'!$I$4)</f>
        <v/>
      </c>
      <c r="GS63" s="68"/>
      <c r="GT63" s="69"/>
      <c r="GU63" s="70"/>
      <c r="GV63" s="77"/>
      <c r="GW63" s="78"/>
      <c r="GX63" s="78"/>
      <c r="GY63" s="79"/>
      <c r="GZ63" s="67"/>
      <c r="HB63" s="98"/>
      <c r="HC63" s="99"/>
      <c r="HD63" s="329" t="str">
        <f t="shared" si="21"/>
        <v/>
      </c>
      <c r="HE63" s="77"/>
      <c r="HF63" s="78"/>
      <c r="HG63" s="78"/>
      <c r="HH63" s="79"/>
      <c r="HI63" s="333" t="str">
        <f>IF(HD63="","",'Name List'!$I$4)</f>
        <v/>
      </c>
      <c r="HK63" s="71"/>
      <c r="HL63" s="72"/>
      <c r="HM63" s="383" t="str">
        <f t="shared" si="22"/>
        <v/>
      </c>
      <c r="HN63" s="77"/>
      <c r="HO63" s="78"/>
      <c r="HP63" s="78"/>
      <c r="HQ63" s="79"/>
      <c r="HR63" s="333" t="str">
        <f>IF(HM63="","",'Name List'!$I$4)</f>
        <v/>
      </c>
      <c r="HT63" s="68"/>
      <c r="HU63" s="69"/>
      <c r="HV63" s="70"/>
      <c r="HW63" s="77"/>
      <c r="HX63" s="78"/>
      <c r="HY63" s="78"/>
      <c r="HZ63" s="79"/>
      <c r="IA63" s="67"/>
      <c r="IC63" s="115"/>
      <c r="ID63" s="116"/>
      <c r="IE63" s="117"/>
      <c r="IF63" s="77"/>
      <c r="IG63" s="78"/>
      <c r="IH63" s="78"/>
      <c r="II63" s="79"/>
      <c r="IJ63" s="333" t="str">
        <f>IF(IE63="","",'Name List'!$I$4)</f>
        <v/>
      </c>
      <c r="IL63" s="98"/>
      <c r="IM63" s="99"/>
      <c r="IN63" s="100"/>
      <c r="IO63" s="77"/>
      <c r="IP63" s="78"/>
      <c r="IQ63" s="78"/>
      <c r="IR63" s="79"/>
      <c r="IS63" s="67"/>
      <c r="IU63" s="98"/>
      <c r="IV63" s="99"/>
      <c r="IW63" s="100"/>
      <c r="IX63" s="77"/>
      <c r="IY63" s="78"/>
      <c r="IZ63" s="78"/>
      <c r="JA63" s="79"/>
      <c r="JB63" s="67"/>
      <c r="JD63" s="98"/>
      <c r="JE63" s="99"/>
      <c r="JF63" s="100"/>
      <c r="JG63" s="77"/>
      <c r="JH63" s="78"/>
      <c r="JI63" s="78"/>
      <c r="JJ63" s="79"/>
      <c r="JK63" s="67"/>
      <c r="JM63" s="98"/>
      <c r="JN63" s="99"/>
      <c r="JO63" s="275"/>
      <c r="JP63" s="77"/>
      <c r="JQ63" s="78"/>
      <c r="JR63" s="78"/>
      <c r="JS63" s="79"/>
      <c r="JT63" s="67"/>
      <c r="JV63" s="98"/>
      <c r="JW63" s="99"/>
      <c r="JX63" s="100"/>
      <c r="JY63" s="77"/>
      <c r="JZ63" s="78"/>
      <c r="KA63" s="78"/>
      <c r="KB63" s="79"/>
      <c r="KC63" s="67"/>
      <c r="KE63" s="98"/>
      <c r="KF63" s="99"/>
      <c r="KG63" s="100"/>
      <c r="KH63" s="77"/>
      <c r="KI63" s="78"/>
      <c r="KJ63" s="78"/>
      <c r="KK63" s="79"/>
      <c r="KL63" s="67"/>
      <c r="KN63" s="68"/>
      <c r="KO63" s="69"/>
      <c r="KP63" s="70"/>
      <c r="KQ63" s="77"/>
      <c r="KR63" s="78"/>
      <c r="KS63" s="78"/>
      <c r="KT63" s="79"/>
      <c r="KU63" s="67"/>
      <c r="KW63" s="98"/>
      <c r="KX63" s="99"/>
      <c r="KY63" s="100"/>
      <c r="KZ63" s="77"/>
      <c r="LA63" s="78"/>
      <c r="LB63" s="78"/>
      <c r="LC63" s="79"/>
      <c r="LD63" s="67"/>
      <c r="LF63" s="71"/>
      <c r="LG63" s="72"/>
      <c r="LH63" s="73"/>
      <c r="LI63" s="77"/>
      <c r="LJ63" s="78"/>
      <c r="LK63" s="78"/>
      <c r="LL63" s="79"/>
      <c r="LM63" s="67"/>
      <c r="LO63" s="98"/>
      <c r="LP63" s="99"/>
      <c r="LQ63" s="329"/>
      <c r="LR63" s="77"/>
      <c r="LS63" s="78"/>
      <c r="LT63" s="78"/>
      <c r="LU63" s="79"/>
      <c r="LV63" s="67"/>
      <c r="LX63" s="98"/>
      <c r="LY63" s="99"/>
      <c r="LZ63" s="100"/>
      <c r="MA63" s="77"/>
      <c r="MB63" s="78"/>
      <c r="MC63" s="78"/>
      <c r="MD63" s="79"/>
      <c r="ME63" s="67"/>
      <c r="MG63" s="98"/>
      <c r="MH63" s="99"/>
      <c r="MI63" s="100"/>
      <c r="MJ63" s="77"/>
      <c r="MK63" s="78"/>
      <c r="ML63" s="78"/>
      <c r="MM63" s="79"/>
      <c r="MN63" s="67"/>
      <c r="MP63" s="98"/>
      <c r="MQ63" s="99"/>
      <c r="MR63" s="100"/>
      <c r="MS63" s="77"/>
      <c r="MT63" s="78"/>
      <c r="MU63" s="78"/>
      <c r="MV63" s="79"/>
      <c r="MW63" s="67"/>
      <c r="MY63" s="98"/>
      <c r="MZ63" s="99"/>
      <c r="NA63" s="100"/>
      <c r="NB63" s="77"/>
      <c r="NC63" s="78"/>
      <c r="ND63" s="78"/>
      <c r="NE63" s="79"/>
      <c r="NF63" s="67"/>
      <c r="NH63" s="98"/>
      <c r="NI63" s="99"/>
      <c r="NJ63" s="329"/>
      <c r="NK63" s="77"/>
      <c r="NL63" s="78"/>
      <c r="NM63" s="78"/>
      <c r="NN63" s="79"/>
      <c r="NO63" s="67"/>
      <c r="NQ63" s="98"/>
      <c r="NR63" s="99"/>
      <c r="NS63" s="100"/>
      <c r="NT63" s="77"/>
      <c r="NU63" s="78"/>
      <c r="NV63" s="78"/>
      <c r="NW63" s="79"/>
      <c r="NX63" s="67"/>
      <c r="NZ63" s="71"/>
      <c r="OA63" s="72"/>
      <c r="OB63" s="73"/>
      <c r="OC63" s="77"/>
      <c r="OD63" s="78"/>
      <c r="OE63" s="78"/>
      <c r="OF63" s="79"/>
      <c r="OG63" s="67"/>
      <c r="OI63" s="98"/>
      <c r="OJ63" s="99"/>
      <c r="OK63" s="329"/>
      <c r="OL63" s="77"/>
      <c r="OM63" s="78"/>
      <c r="ON63" s="78"/>
      <c r="OO63" s="79"/>
      <c r="OP63" s="67"/>
      <c r="OR63" s="71"/>
      <c r="OS63" s="72"/>
      <c r="OT63" s="73"/>
      <c r="OU63" s="77"/>
      <c r="OV63" s="78"/>
      <c r="OW63" s="78"/>
      <c r="OX63" s="79"/>
      <c r="OY63" s="67"/>
      <c r="PA63" s="98"/>
      <c r="PB63" s="99"/>
      <c r="PC63" s="100"/>
      <c r="PD63" s="77"/>
      <c r="PE63" s="78"/>
      <c r="PF63" s="78"/>
      <c r="PG63" s="79"/>
      <c r="PH63" s="67"/>
      <c r="PJ63" s="277"/>
      <c r="PK63" s="278"/>
      <c r="PL63" s="279"/>
      <c r="PM63" s="125"/>
      <c r="PN63" s="126"/>
      <c r="PO63" s="126"/>
      <c r="PP63" s="127"/>
      <c r="PQ63" s="128"/>
      <c r="PS63" s="403"/>
      <c r="PT63" s="404"/>
      <c r="PU63" s="405"/>
      <c r="PV63" s="330"/>
      <c r="PW63" s="331"/>
      <c r="PX63" s="331"/>
      <c r="PY63" s="332"/>
      <c r="PZ63" s="333"/>
      <c r="QB63" s="412"/>
      <c r="QC63" s="413"/>
      <c r="QD63" s="414"/>
      <c r="QE63" s="125"/>
      <c r="QF63" s="126"/>
      <c r="QG63" s="126"/>
      <c r="QH63" s="127"/>
      <c r="QI63" s="128"/>
      <c r="QK63" s="283"/>
      <c r="QL63" s="284"/>
      <c r="QM63" s="285"/>
      <c r="QN63" s="125"/>
      <c r="QO63" s="126"/>
      <c r="QP63" s="126"/>
      <c r="QQ63" s="127"/>
      <c r="QR63" s="128" t="str">
        <f>IF(QM63="","",'Name List'!$I$4)</f>
        <v/>
      </c>
      <c r="QS63" s="91"/>
      <c r="QT63" s="107">
        <f t="shared" si="50"/>
        <v>0</v>
      </c>
      <c r="QU63" s="130">
        <f t="shared" si="51"/>
        <v>2</v>
      </c>
      <c r="QV63" s="130">
        <f t="shared" si="52"/>
        <v>22</v>
      </c>
      <c r="QW63" s="108">
        <f t="shared" si="53"/>
        <v>8</v>
      </c>
      <c r="QY63" s="260">
        <f t="shared" si="54"/>
        <v>3</v>
      </c>
      <c r="RA63" s="141">
        <f t="shared" si="55"/>
        <v>18</v>
      </c>
      <c r="RB63" s="106">
        <f t="shared" si="56"/>
        <v>17</v>
      </c>
      <c r="RC63" s="106">
        <f t="shared" si="57"/>
        <v>35</v>
      </c>
      <c r="RD63" s="106">
        <f t="shared" si="58"/>
        <v>14</v>
      </c>
      <c r="RE63" s="106">
        <f t="shared" si="59"/>
        <v>10</v>
      </c>
      <c r="RF63" s="142">
        <f t="shared" si="60"/>
        <v>24</v>
      </c>
      <c r="RG63" s="106"/>
      <c r="RH63" s="139">
        <f t="shared" si="61"/>
        <v>0</v>
      </c>
      <c r="RI63" s="140">
        <f t="shared" si="62"/>
        <v>0</v>
      </c>
      <c r="RJ63" s="106"/>
      <c r="RK63" s="136">
        <f t="shared" si="63"/>
        <v>29</v>
      </c>
      <c r="RL63" s="106"/>
      <c r="RM63" s="137">
        <f t="shared" si="64"/>
        <v>0</v>
      </c>
      <c r="RN63" s="138">
        <f t="shared" si="65"/>
        <v>0</v>
      </c>
      <c r="RO63" s="106"/>
      <c r="RP63" s="259">
        <f t="shared" si="66"/>
        <v>0</v>
      </c>
    </row>
    <row r="64" spans="1:484" x14ac:dyDescent="0.2">
      <c r="A64" s="89" t="str">
        <f>'Name List'!B64</f>
        <v>Steve Wheeler</v>
      </c>
      <c r="C64" s="98"/>
      <c r="D64" s="99"/>
      <c r="E64" s="329" t="str">
        <f t="shared" si="0"/>
        <v/>
      </c>
      <c r="F64" s="77"/>
      <c r="G64" s="78"/>
      <c r="H64" s="78"/>
      <c r="I64" s="79"/>
      <c r="J64" s="333" t="str">
        <f>IF(E64="","",'Name List'!$I$4)</f>
        <v/>
      </c>
      <c r="L64" s="98"/>
      <c r="M64" s="99"/>
      <c r="N64" s="100"/>
      <c r="O64" s="77"/>
      <c r="P64" s="78"/>
      <c r="Q64" s="78"/>
      <c r="R64" s="79"/>
      <c r="S64" s="67"/>
      <c r="U64" s="71"/>
      <c r="V64" s="72"/>
      <c r="W64" s="396" t="str">
        <f t="shared" si="2"/>
        <v/>
      </c>
      <c r="X64" s="77"/>
      <c r="Y64" s="78"/>
      <c r="Z64" s="78"/>
      <c r="AA64" s="79"/>
      <c r="AB64" s="333" t="str">
        <f>IF(W64="","",'Name List'!$I$4)</f>
        <v/>
      </c>
      <c r="AD64" s="98">
        <v>16</v>
      </c>
      <c r="AE64" s="99">
        <v>15</v>
      </c>
      <c r="AF64" s="329">
        <f t="shared" si="3"/>
        <v>31</v>
      </c>
      <c r="AG64" s="77">
        <v>0</v>
      </c>
      <c r="AH64" s="78">
        <v>1</v>
      </c>
      <c r="AI64" s="78">
        <v>6</v>
      </c>
      <c r="AJ64" s="79">
        <v>3</v>
      </c>
      <c r="AK64" s="333">
        <f>IF(AF64="","",'Name List'!$I$4)</f>
        <v>5</v>
      </c>
      <c r="AM64" s="98"/>
      <c r="AN64" s="99"/>
      <c r="AO64" s="329" t="str">
        <f t="shared" si="4"/>
        <v/>
      </c>
      <c r="AP64" s="77"/>
      <c r="AQ64" s="78"/>
      <c r="AR64" s="78"/>
      <c r="AS64" s="79"/>
      <c r="AT64" s="333" t="str">
        <f>IF(AO64="","",'Name List'!$I$4)</f>
        <v/>
      </c>
      <c r="AV64" s="458"/>
      <c r="AW64" s="401"/>
      <c r="AX64" s="400" t="str">
        <f t="shared" si="5"/>
        <v/>
      </c>
      <c r="AY64" s="77"/>
      <c r="AZ64" s="78"/>
      <c r="BA64" s="78"/>
      <c r="BB64" s="79"/>
      <c r="BC64" s="457" t="str">
        <f>IF(AX64="","",'Name List'!$I$4)</f>
        <v/>
      </c>
      <c r="BE64" s="71"/>
      <c r="BF64" s="72"/>
      <c r="BG64" s="383" t="str">
        <f t="shared" si="6"/>
        <v/>
      </c>
      <c r="BH64" s="77"/>
      <c r="BI64" s="78"/>
      <c r="BJ64" s="78"/>
      <c r="BK64" s="79"/>
      <c r="BL64" s="333" t="str">
        <f>IF(BG64="","",'Name List'!$I$4)</f>
        <v/>
      </c>
      <c r="BN64" s="98"/>
      <c r="BO64" s="99"/>
      <c r="BP64" s="100"/>
      <c r="BQ64" s="77"/>
      <c r="BR64" s="78"/>
      <c r="BS64" s="78"/>
      <c r="BT64" s="79"/>
      <c r="BU64" s="67"/>
      <c r="BW64" s="98">
        <v>16</v>
      </c>
      <c r="BX64" s="99">
        <v>16</v>
      </c>
      <c r="BY64" s="329">
        <f t="shared" si="8"/>
        <v>32</v>
      </c>
      <c r="BZ64" s="77">
        <v>0</v>
      </c>
      <c r="CA64" s="78">
        <v>1</v>
      </c>
      <c r="CB64" s="78">
        <v>7</v>
      </c>
      <c r="CC64" s="79">
        <v>3</v>
      </c>
      <c r="CD64" s="333">
        <f>IF(BY64="","",'Name List'!$I$4)</f>
        <v>5</v>
      </c>
      <c r="CF64" s="68"/>
      <c r="CG64" s="69"/>
      <c r="CH64" s="282" t="str">
        <f t="shared" si="49"/>
        <v/>
      </c>
      <c r="CI64" s="77"/>
      <c r="CJ64" s="78"/>
      <c r="CK64" s="78"/>
      <c r="CL64" s="79"/>
      <c r="CM64" s="333" t="str">
        <f>IF(CH64="","",'Name List'!$I$4)</f>
        <v/>
      </c>
      <c r="CO64" s="71"/>
      <c r="CP64" s="72"/>
      <c r="CQ64" s="383" t="str">
        <f t="shared" si="9"/>
        <v/>
      </c>
      <c r="CR64" s="77"/>
      <c r="CS64" s="78"/>
      <c r="CT64" s="78"/>
      <c r="CU64" s="79"/>
      <c r="CV64" s="333" t="str">
        <f>IF(CQ64="","",'Name List'!$I$4)</f>
        <v/>
      </c>
      <c r="CX64" s="98">
        <v>10</v>
      </c>
      <c r="CY64" s="99">
        <v>14</v>
      </c>
      <c r="CZ64" s="329">
        <f t="shared" si="10"/>
        <v>24</v>
      </c>
      <c r="DA64" s="77">
        <v>0</v>
      </c>
      <c r="DB64" s="78">
        <v>0</v>
      </c>
      <c r="DC64" s="78">
        <v>5</v>
      </c>
      <c r="DD64" s="79">
        <v>7</v>
      </c>
      <c r="DE64" s="333">
        <f>IF(CZ64="","",'Name List'!$I$4)</f>
        <v>5</v>
      </c>
      <c r="DG64" s="98"/>
      <c r="DH64" s="99"/>
      <c r="DI64" s="329" t="str">
        <f t="shared" si="11"/>
        <v/>
      </c>
      <c r="DJ64" s="77"/>
      <c r="DK64" s="78"/>
      <c r="DL64" s="78"/>
      <c r="DM64" s="79"/>
      <c r="DN64" s="333" t="str">
        <f>IF(DI64="","",'Name List'!$I$4)</f>
        <v/>
      </c>
      <c r="DP64" s="98"/>
      <c r="DQ64" s="99"/>
      <c r="DR64" s="329" t="str">
        <f t="shared" si="12"/>
        <v/>
      </c>
      <c r="DS64" s="77"/>
      <c r="DT64" s="78"/>
      <c r="DU64" s="78"/>
      <c r="DV64" s="79"/>
      <c r="DW64" s="333" t="str">
        <f>IF(DR64="","",'Name List'!$I$4)</f>
        <v/>
      </c>
      <c r="DY64" s="98"/>
      <c r="DZ64" s="99"/>
      <c r="EA64" s="329" t="str">
        <f t="shared" si="13"/>
        <v/>
      </c>
      <c r="EB64" s="77"/>
      <c r="EC64" s="78"/>
      <c r="ED64" s="78"/>
      <c r="EE64" s="79"/>
      <c r="EF64" s="333" t="str">
        <f>IF(EA64="","",'Name List'!$I$4)</f>
        <v/>
      </c>
      <c r="EH64" s="98"/>
      <c r="EI64" s="99"/>
      <c r="EJ64" s="329" t="str">
        <f t="shared" si="14"/>
        <v/>
      </c>
      <c r="EK64" s="77"/>
      <c r="EL64" s="78"/>
      <c r="EM64" s="78"/>
      <c r="EN64" s="79"/>
      <c r="EO64" s="333" t="str">
        <f>IF(EJ64="","",'Name List'!$I$4)</f>
        <v/>
      </c>
      <c r="EQ64" s="115"/>
      <c r="ER64" s="116"/>
      <c r="ES64" s="117"/>
      <c r="ET64" s="77"/>
      <c r="EU64" s="78"/>
      <c r="EV64" s="78"/>
      <c r="EW64" s="79"/>
      <c r="EX64" s="333" t="str">
        <f>IF(ES64="","",'Name List'!$I$4)</f>
        <v/>
      </c>
      <c r="EZ64" s="68"/>
      <c r="FA64" s="69"/>
      <c r="FB64" s="70"/>
      <c r="FC64" s="77"/>
      <c r="FD64" s="78"/>
      <c r="FE64" s="78"/>
      <c r="FF64" s="79"/>
      <c r="FG64" s="67"/>
      <c r="FI64" s="98"/>
      <c r="FJ64" s="99"/>
      <c r="FK64" s="329" t="str">
        <f t="shared" si="16"/>
        <v/>
      </c>
      <c r="FL64" s="77"/>
      <c r="FM64" s="78"/>
      <c r="FN64" s="78"/>
      <c r="FO64" s="79"/>
      <c r="FP64" s="333" t="str">
        <f>IF(FK64="","",'Name List'!$I$4)</f>
        <v/>
      </c>
      <c r="FR64" s="98"/>
      <c r="FS64" s="99"/>
      <c r="FT64" s="329" t="str">
        <f t="shared" si="17"/>
        <v/>
      </c>
      <c r="FU64" s="77"/>
      <c r="FV64" s="78"/>
      <c r="FW64" s="78"/>
      <c r="FX64" s="79"/>
      <c r="FY64" s="333" t="str">
        <f>IF(FT64="","",'Name List'!$I$4)</f>
        <v/>
      </c>
      <c r="GA64" s="98"/>
      <c r="GB64" s="99"/>
      <c r="GC64" s="329" t="str">
        <f t="shared" si="18"/>
        <v/>
      </c>
      <c r="GD64" s="77"/>
      <c r="GE64" s="78"/>
      <c r="GF64" s="78"/>
      <c r="GG64" s="79"/>
      <c r="GH64" s="333" t="str">
        <f>IF(GC64="","",'Name List'!$I$4)</f>
        <v/>
      </c>
      <c r="GJ64" s="98"/>
      <c r="GK64" s="99"/>
      <c r="GL64" s="329" t="str">
        <f t="shared" si="19"/>
        <v/>
      </c>
      <c r="GM64" s="77"/>
      <c r="GN64" s="78"/>
      <c r="GO64" s="78"/>
      <c r="GP64" s="79"/>
      <c r="GQ64" s="333" t="str">
        <f>IF(GL64="","",'Name List'!$I$4)</f>
        <v/>
      </c>
      <c r="GS64" s="68"/>
      <c r="GT64" s="69"/>
      <c r="GU64" s="70"/>
      <c r="GV64" s="77"/>
      <c r="GW64" s="78"/>
      <c r="GX64" s="78"/>
      <c r="GY64" s="79"/>
      <c r="GZ64" s="67"/>
      <c r="HB64" s="98"/>
      <c r="HC64" s="99"/>
      <c r="HD64" s="329" t="str">
        <f t="shared" si="21"/>
        <v/>
      </c>
      <c r="HE64" s="77"/>
      <c r="HF64" s="78"/>
      <c r="HG64" s="78"/>
      <c r="HH64" s="79"/>
      <c r="HI64" s="333" t="str">
        <f>IF(HD64="","",'Name List'!$I$4)</f>
        <v/>
      </c>
      <c r="HK64" s="71"/>
      <c r="HL64" s="72"/>
      <c r="HM64" s="383" t="str">
        <f t="shared" si="22"/>
        <v/>
      </c>
      <c r="HN64" s="77"/>
      <c r="HO64" s="78"/>
      <c r="HP64" s="78"/>
      <c r="HQ64" s="79"/>
      <c r="HR64" s="333" t="str">
        <f>IF(HM64="","",'Name List'!$I$4)</f>
        <v/>
      </c>
      <c r="HT64" s="68"/>
      <c r="HU64" s="69"/>
      <c r="HV64" s="70"/>
      <c r="HW64" s="77"/>
      <c r="HX64" s="78"/>
      <c r="HY64" s="78"/>
      <c r="HZ64" s="79"/>
      <c r="IA64" s="67"/>
      <c r="IC64" s="115"/>
      <c r="ID64" s="116"/>
      <c r="IE64" s="117"/>
      <c r="IF64" s="77"/>
      <c r="IG64" s="78"/>
      <c r="IH64" s="78"/>
      <c r="II64" s="79"/>
      <c r="IJ64" s="333" t="str">
        <f>IF(IE64="","",'Name List'!$I$4)</f>
        <v/>
      </c>
      <c r="IL64" s="98"/>
      <c r="IM64" s="99"/>
      <c r="IN64" s="100"/>
      <c r="IO64" s="77"/>
      <c r="IP64" s="78"/>
      <c r="IQ64" s="78"/>
      <c r="IR64" s="79"/>
      <c r="IS64" s="67"/>
      <c r="IU64" s="98"/>
      <c r="IV64" s="99"/>
      <c r="IW64" s="100"/>
      <c r="IX64" s="77"/>
      <c r="IY64" s="78"/>
      <c r="IZ64" s="78"/>
      <c r="JA64" s="79"/>
      <c r="JB64" s="67"/>
      <c r="JD64" s="98"/>
      <c r="JE64" s="99"/>
      <c r="JF64" s="100"/>
      <c r="JG64" s="77"/>
      <c r="JH64" s="78"/>
      <c r="JI64" s="78"/>
      <c r="JJ64" s="79"/>
      <c r="JK64" s="67"/>
      <c r="JM64" s="98"/>
      <c r="JN64" s="99"/>
      <c r="JO64" s="275"/>
      <c r="JP64" s="77"/>
      <c r="JQ64" s="78"/>
      <c r="JR64" s="78"/>
      <c r="JS64" s="79"/>
      <c r="JT64" s="67"/>
      <c r="JV64" s="98"/>
      <c r="JW64" s="99"/>
      <c r="JX64" s="100"/>
      <c r="JY64" s="77"/>
      <c r="JZ64" s="78"/>
      <c r="KA64" s="78"/>
      <c r="KB64" s="79"/>
      <c r="KC64" s="67"/>
      <c r="KE64" s="98"/>
      <c r="KF64" s="99"/>
      <c r="KG64" s="100"/>
      <c r="KH64" s="77"/>
      <c r="KI64" s="78"/>
      <c r="KJ64" s="78"/>
      <c r="KK64" s="79"/>
      <c r="KL64" s="67"/>
      <c r="KN64" s="68"/>
      <c r="KO64" s="69"/>
      <c r="KP64" s="70"/>
      <c r="KQ64" s="77"/>
      <c r="KR64" s="78"/>
      <c r="KS64" s="78"/>
      <c r="KT64" s="79"/>
      <c r="KU64" s="67"/>
      <c r="KW64" s="98"/>
      <c r="KX64" s="99"/>
      <c r="KY64" s="100"/>
      <c r="KZ64" s="77"/>
      <c r="LA64" s="78"/>
      <c r="LB64" s="78"/>
      <c r="LC64" s="79"/>
      <c r="LD64" s="67"/>
      <c r="LF64" s="71"/>
      <c r="LG64" s="72"/>
      <c r="LH64" s="73"/>
      <c r="LI64" s="77"/>
      <c r="LJ64" s="78"/>
      <c r="LK64" s="78"/>
      <c r="LL64" s="79"/>
      <c r="LM64" s="67"/>
      <c r="LO64" s="98"/>
      <c r="LP64" s="99"/>
      <c r="LQ64" s="329"/>
      <c r="LR64" s="77"/>
      <c r="LS64" s="78"/>
      <c r="LT64" s="78"/>
      <c r="LU64" s="79"/>
      <c r="LV64" s="67"/>
      <c r="LX64" s="98"/>
      <c r="LY64" s="99"/>
      <c r="LZ64" s="100"/>
      <c r="MA64" s="77"/>
      <c r="MB64" s="78"/>
      <c r="MC64" s="78"/>
      <c r="MD64" s="79"/>
      <c r="ME64" s="67"/>
      <c r="MG64" s="98"/>
      <c r="MH64" s="99"/>
      <c r="MI64" s="100"/>
      <c r="MJ64" s="77"/>
      <c r="MK64" s="78"/>
      <c r="ML64" s="78"/>
      <c r="MM64" s="79"/>
      <c r="MN64" s="67"/>
      <c r="MP64" s="98"/>
      <c r="MQ64" s="99"/>
      <c r="MR64" s="100"/>
      <c r="MS64" s="77"/>
      <c r="MT64" s="78"/>
      <c r="MU64" s="78"/>
      <c r="MV64" s="79"/>
      <c r="MW64" s="67"/>
      <c r="MY64" s="98"/>
      <c r="MZ64" s="99"/>
      <c r="NA64" s="100"/>
      <c r="NB64" s="77"/>
      <c r="NC64" s="78"/>
      <c r="ND64" s="78"/>
      <c r="NE64" s="79"/>
      <c r="NF64" s="67"/>
      <c r="NH64" s="98"/>
      <c r="NI64" s="99"/>
      <c r="NJ64" s="329"/>
      <c r="NK64" s="77"/>
      <c r="NL64" s="78"/>
      <c r="NM64" s="78"/>
      <c r="NN64" s="79"/>
      <c r="NO64" s="67"/>
      <c r="NQ64" s="98"/>
      <c r="NR64" s="99"/>
      <c r="NS64" s="100"/>
      <c r="NT64" s="77"/>
      <c r="NU64" s="78"/>
      <c r="NV64" s="78"/>
      <c r="NW64" s="79"/>
      <c r="NX64" s="67"/>
      <c r="NZ64" s="71"/>
      <c r="OA64" s="72"/>
      <c r="OB64" s="73"/>
      <c r="OC64" s="77"/>
      <c r="OD64" s="78"/>
      <c r="OE64" s="78"/>
      <c r="OF64" s="79"/>
      <c r="OG64" s="67"/>
      <c r="OI64" s="98"/>
      <c r="OJ64" s="99"/>
      <c r="OK64" s="329"/>
      <c r="OL64" s="77"/>
      <c r="OM64" s="78"/>
      <c r="ON64" s="78"/>
      <c r="OO64" s="79"/>
      <c r="OP64" s="67"/>
      <c r="OR64" s="71"/>
      <c r="OS64" s="72"/>
      <c r="OT64" s="73"/>
      <c r="OU64" s="77"/>
      <c r="OV64" s="78"/>
      <c r="OW64" s="78"/>
      <c r="OX64" s="79"/>
      <c r="OY64" s="67"/>
      <c r="PA64" s="98"/>
      <c r="PB64" s="99"/>
      <c r="PC64" s="100"/>
      <c r="PD64" s="77"/>
      <c r="PE64" s="78"/>
      <c r="PF64" s="78"/>
      <c r="PG64" s="79"/>
      <c r="PH64" s="67"/>
      <c r="PJ64" s="277"/>
      <c r="PK64" s="278"/>
      <c r="PL64" s="279"/>
      <c r="PM64" s="125"/>
      <c r="PN64" s="126"/>
      <c r="PO64" s="126"/>
      <c r="PP64" s="127"/>
      <c r="PQ64" s="128"/>
      <c r="PS64" s="403"/>
      <c r="PT64" s="404"/>
      <c r="PU64" s="405"/>
      <c r="PV64" s="330"/>
      <c r="PW64" s="331"/>
      <c r="PX64" s="331"/>
      <c r="PY64" s="332"/>
      <c r="PZ64" s="333"/>
      <c r="QB64" s="412"/>
      <c r="QC64" s="413"/>
      <c r="QD64" s="414"/>
      <c r="QE64" s="125"/>
      <c r="QF64" s="126"/>
      <c r="QG64" s="126"/>
      <c r="QH64" s="127"/>
      <c r="QI64" s="128"/>
      <c r="QK64" s="283"/>
      <c r="QL64" s="284"/>
      <c r="QM64" s="285"/>
      <c r="QN64" s="125"/>
      <c r="QO64" s="126"/>
      <c r="QP64" s="126"/>
      <c r="QQ64" s="127"/>
      <c r="QR64" s="128" t="str">
        <f>IF(QM64="","",'Name List'!$I$4)</f>
        <v/>
      </c>
      <c r="QS64" s="91"/>
      <c r="QT64" s="107">
        <f t="shared" si="50"/>
        <v>0</v>
      </c>
      <c r="QU64" s="130">
        <f t="shared" si="51"/>
        <v>2</v>
      </c>
      <c r="QV64" s="130">
        <f t="shared" si="52"/>
        <v>18</v>
      </c>
      <c r="QW64" s="108">
        <f t="shared" si="53"/>
        <v>13</v>
      </c>
      <c r="QY64" s="260">
        <f t="shared" si="54"/>
        <v>3</v>
      </c>
      <c r="RA64" s="141">
        <f t="shared" si="55"/>
        <v>16</v>
      </c>
      <c r="RB64" s="106">
        <f t="shared" si="56"/>
        <v>16</v>
      </c>
      <c r="RC64" s="106">
        <f t="shared" si="57"/>
        <v>32</v>
      </c>
      <c r="RD64" s="106">
        <f t="shared" si="58"/>
        <v>10</v>
      </c>
      <c r="RE64" s="106">
        <f t="shared" si="59"/>
        <v>14</v>
      </c>
      <c r="RF64" s="142">
        <f t="shared" si="60"/>
        <v>24</v>
      </c>
      <c r="RG64" s="106"/>
      <c r="RH64" s="139">
        <f t="shared" si="61"/>
        <v>0</v>
      </c>
      <c r="RI64" s="140">
        <f t="shared" si="62"/>
        <v>0</v>
      </c>
      <c r="RJ64" s="106"/>
      <c r="RK64" s="136">
        <f t="shared" si="63"/>
        <v>29</v>
      </c>
      <c r="RL64" s="106"/>
      <c r="RM64" s="137">
        <f t="shared" si="64"/>
        <v>0</v>
      </c>
      <c r="RN64" s="138">
        <f t="shared" si="65"/>
        <v>0</v>
      </c>
      <c r="RO64" s="106"/>
      <c r="RP64" s="259">
        <f t="shared" si="66"/>
        <v>0</v>
      </c>
    </row>
    <row r="65" spans="1:484" x14ac:dyDescent="0.2">
      <c r="A65" s="89" t="str">
        <f>'Name List'!B65</f>
        <v>Brad Whitehead</v>
      </c>
      <c r="C65" s="98"/>
      <c r="D65" s="99"/>
      <c r="E65" s="329" t="str">
        <f t="shared" si="0"/>
        <v/>
      </c>
      <c r="F65" s="77"/>
      <c r="G65" s="78"/>
      <c r="H65" s="78"/>
      <c r="I65" s="79"/>
      <c r="J65" s="333" t="str">
        <f>IF(E65="","",'Name List'!$I$4)</f>
        <v/>
      </c>
      <c r="L65" s="98"/>
      <c r="M65" s="99"/>
      <c r="N65" s="100"/>
      <c r="O65" s="77"/>
      <c r="P65" s="78"/>
      <c r="Q65" s="78"/>
      <c r="R65" s="79"/>
      <c r="S65" s="67"/>
      <c r="U65" s="71">
        <v>16</v>
      </c>
      <c r="V65" s="72">
        <v>16</v>
      </c>
      <c r="W65" s="396">
        <f t="shared" si="2"/>
        <v>32</v>
      </c>
      <c r="X65" s="77">
        <v>0</v>
      </c>
      <c r="Y65" s="78">
        <v>2</v>
      </c>
      <c r="Z65" s="78">
        <v>6</v>
      </c>
      <c r="AA65" s="79">
        <v>0</v>
      </c>
      <c r="AB65" s="333">
        <f>IF(W65="","",'Name List'!$I$4)</f>
        <v>5</v>
      </c>
      <c r="AD65" s="98">
        <v>17</v>
      </c>
      <c r="AE65" s="99">
        <v>14</v>
      </c>
      <c r="AF65" s="329">
        <f t="shared" si="3"/>
        <v>31</v>
      </c>
      <c r="AG65" s="77">
        <v>0</v>
      </c>
      <c r="AH65" s="78">
        <v>4</v>
      </c>
      <c r="AI65" s="78">
        <v>3</v>
      </c>
      <c r="AJ65" s="79">
        <v>1</v>
      </c>
      <c r="AK65" s="333">
        <f>IF(AF65="","",'Name List'!$I$4)</f>
        <v>5</v>
      </c>
      <c r="AM65" s="98">
        <v>20</v>
      </c>
      <c r="AN65" s="99">
        <v>14</v>
      </c>
      <c r="AO65" s="329">
        <f t="shared" si="4"/>
        <v>34</v>
      </c>
      <c r="AP65" s="77">
        <v>0</v>
      </c>
      <c r="AQ65" s="78">
        <v>1</v>
      </c>
      <c r="AR65" s="78">
        <v>10</v>
      </c>
      <c r="AS65" s="79">
        <v>1</v>
      </c>
      <c r="AT65" s="333">
        <f>IF(AO65="","",'Name List'!$I$4)</f>
        <v>5</v>
      </c>
      <c r="AV65" s="458">
        <v>14</v>
      </c>
      <c r="AW65" s="401">
        <v>19</v>
      </c>
      <c r="AX65" s="400">
        <f t="shared" si="5"/>
        <v>33</v>
      </c>
      <c r="AY65" s="77">
        <v>0</v>
      </c>
      <c r="AZ65" s="78">
        <v>4</v>
      </c>
      <c r="BA65" s="78">
        <v>4</v>
      </c>
      <c r="BB65" s="79">
        <v>0</v>
      </c>
      <c r="BC65" s="457">
        <f>IF(AX65="","",'Name List'!$I$4)</f>
        <v>5</v>
      </c>
      <c r="BE65" s="71">
        <v>16</v>
      </c>
      <c r="BF65" s="72">
        <v>16</v>
      </c>
      <c r="BG65" s="383">
        <f t="shared" si="6"/>
        <v>32</v>
      </c>
      <c r="BH65" s="77">
        <v>0</v>
      </c>
      <c r="BI65" s="78">
        <v>0</v>
      </c>
      <c r="BJ65" s="78">
        <v>8</v>
      </c>
      <c r="BK65" s="79">
        <v>0</v>
      </c>
      <c r="BL65" s="333">
        <f>IF(BG65="","",'Name List'!$I$4)</f>
        <v>5</v>
      </c>
      <c r="BN65" s="98"/>
      <c r="BO65" s="99"/>
      <c r="BP65" s="100"/>
      <c r="BQ65" s="77"/>
      <c r="BR65" s="78"/>
      <c r="BS65" s="78"/>
      <c r="BT65" s="79"/>
      <c r="BU65" s="67"/>
      <c r="BW65" s="98"/>
      <c r="BX65" s="99"/>
      <c r="BY65" s="329" t="str">
        <f t="shared" si="8"/>
        <v/>
      </c>
      <c r="BZ65" s="77"/>
      <c r="CA65" s="78"/>
      <c r="CB65" s="78"/>
      <c r="CC65" s="79"/>
      <c r="CD65" s="333" t="str">
        <f>IF(BY65="","",'Name List'!$I$4)</f>
        <v/>
      </c>
      <c r="CF65" s="68">
        <v>16</v>
      </c>
      <c r="CG65" s="69">
        <v>19</v>
      </c>
      <c r="CH65" s="282">
        <f t="shared" si="49"/>
        <v>35</v>
      </c>
      <c r="CI65" s="77">
        <v>0</v>
      </c>
      <c r="CJ65" s="78">
        <v>3</v>
      </c>
      <c r="CK65" s="78">
        <v>7</v>
      </c>
      <c r="CL65" s="79">
        <v>0</v>
      </c>
      <c r="CM65" s="333">
        <f>IF(CH65="","",'Name List'!$I$4)</f>
        <v>5</v>
      </c>
      <c r="CO65" s="71">
        <v>19</v>
      </c>
      <c r="CP65" s="72">
        <v>16</v>
      </c>
      <c r="CQ65" s="383">
        <f t="shared" si="9"/>
        <v>35</v>
      </c>
      <c r="CR65" s="77">
        <v>0</v>
      </c>
      <c r="CS65" s="78">
        <v>4</v>
      </c>
      <c r="CT65" s="78">
        <v>5</v>
      </c>
      <c r="CU65" s="79">
        <v>1</v>
      </c>
      <c r="CV65" s="333">
        <f>IF(CQ65="","",'Name List'!$I$4)</f>
        <v>5</v>
      </c>
      <c r="CX65" s="98"/>
      <c r="CY65" s="99"/>
      <c r="CZ65" s="329" t="str">
        <f t="shared" si="10"/>
        <v/>
      </c>
      <c r="DA65" s="77"/>
      <c r="DB65" s="78"/>
      <c r="DC65" s="78"/>
      <c r="DD65" s="79"/>
      <c r="DE65" s="333" t="str">
        <f>IF(CZ65="","",'Name List'!$I$4)</f>
        <v/>
      </c>
      <c r="DG65" s="98">
        <v>18</v>
      </c>
      <c r="DH65" s="99">
        <v>19</v>
      </c>
      <c r="DI65" s="329">
        <f t="shared" si="11"/>
        <v>37</v>
      </c>
      <c r="DJ65" s="77">
        <v>0</v>
      </c>
      <c r="DK65" s="78">
        <v>3</v>
      </c>
      <c r="DL65" s="78">
        <v>9</v>
      </c>
      <c r="DM65" s="79">
        <v>1</v>
      </c>
      <c r="DN65" s="333">
        <f>IF(DI65="","",'Name List'!$I$4)</f>
        <v>5</v>
      </c>
      <c r="DP65" s="98">
        <v>17</v>
      </c>
      <c r="DQ65" s="99">
        <v>11</v>
      </c>
      <c r="DR65" s="329">
        <f t="shared" si="12"/>
        <v>28</v>
      </c>
      <c r="DS65" s="77">
        <v>0</v>
      </c>
      <c r="DT65" s="78">
        <v>2</v>
      </c>
      <c r="DU65" s="78">
        <v>4</v>
      </c>
      <c r="DV65" s="79">
        <v>2</v>
      </c>
      <c r="DW65" s="333">
        <f>IF(DR65="","",'Name List'!$I$4)</f>
        <v>5</v>
      </c>
      <c r="DY65" s="98"/>
      <c r="DZ65" s="99"/>
      <c r="EA65" s="329" t="str">
        <f t="shared" si="13"/>
        <v/>
      </c>
      <c r="EB65" s="77"/>
      <c r="EC65" s="78"/>
      <c r="ED65" s="78"/>
      <c r="EE65" s="79"/>
      <c r="EF65" s="333" t="str">
        <f>IF(EA65="","",'Name List'!$I$4)</f>
        <v/>
      </c>
      <c r="EH65" s="98">
        <v>11</v>
      </c>
      <c r="EI65" s="99">
        <v>12</v>
      </c>
      <c r="EJ65" s="329">
        <f t="shared" si="14"/>
        <v>23</v>
      </c>
      <c r="EK65" s="77">
        <v>0</v>
      </c>
      <c r="EL65" s="78">
        <v>0</v>
      </c>
      <c r="EM65" s="78">
        <v>9</v>
      </c>
      <c r="EN65" s="79">
        <v>4</v>
      </c>
      <c r="EO65" s="333">
        <f>IF(EJ65="","",'Name List'!$I$4)</f>
        <v>5</v>
      </c>
      <c r="EQ65" s="115"/>
      <c r="ER65" s="116"/>
      <c r="ES65" s="117">
        <v>85</v>
      </c>
      <c r="ET65" s="77">
        <v>0</v>
      </c>
      <c r="EU65" s="78">
        <v>1</v>
      </c>
      <c r="EV65" s="78">
        <v>8</v>
      </c>
      <c r="EW65" s="79"/>
      <c r="EX65" s="333">
        <f>IF(ES65="","",'Name List'!$I$4)</f>
        <v>5</v>
      </c>
      <c r="EZ65" s="68"/>
      <c r="FA65" s="69"/>
      <c r="FB65" s="70"/>
      <c r="FC65" s="77"/>
      <c r="FD65" s="78"/>
      <c r="FE65" s="78"/>
      <c r="FF65" s="79"/>
      <c r="FG65" s="67"/>
      <c r="FI65" s="98">
        <v>19</v>
      </c>
      <c r="FJ65" s="99">
        <v>22</v>
      </c>
      <c r="FK65" s="329">
        <f t="shared" si="16"/>
        <v>41</v>
      </c>
      <c r="FL65" s="77">
        <v>0</v>
      </c>
      <c r="FM65" s="78">
        <v>4</v>
      </c>
      <c r="FN65" s="78">
        <v>10</v>
      </c>
      <c r="FO65" s="79">
        <v>0</v>
      </c>
      <c r="FP65" s="333">
        <f>IF(FK65="","",'Name List'!$I$4)</f>
        <v>5</v>
      </c>
      <c r="FR65" s="98">
        <v>20</v>
      </c>
      <c r="FS65" s="99">
        <v>19</v>
      </c>
      <c r="FT65" s="329">
        <f t="shared" si="17"/>
        <v>39</v>
      </c>
      <c r="FU65" s="77">
        <v>0</v>
      </c>
      <c r="FV65" s="78">
        <v>5</v>
      </c>
      <c r="FW65" s="78">
        <v>8</v>
      </c>
      <c r="FX65" s="79">
        <v>2</v>
      </c>
      <c r="FY65" s="333">
        <f>IF(FT65="","",'Name List'!$I$4)</f>
        <v>5</v>
      </c>
      <c r="GA65" s="98"/>
      <c r="GB65" s="99"/>
      <c r="GC65" s="329" t="str">
        <f t="shared" si="18"/>
        <v/>
      </c>
      <c r="GD65" s="77"/>
      <c r="GE65" s="78"/>
      <c r="GF65" s="78"/>
      <c r="GG65" s="79"/>
      <c r="GH65" s="333" t="str">
        <f>IF(GC65="","",'Name List'!$I$4)</f>
        <v/>
      </c>
      <c r="GJ65" s="98">
        <v>14</v>
      </c>
      <c r="GK65" s="99">
        <v>19</v>
      </c>
      <c r="GL65" s="329">
        <f t="shared" si="19"/>
        <v>33</v>
      </c>
      <c r="GM65" s="77">
        <v>0</v>
      </c>
      <c r="GN65" s="78">
        <v>2</v>
      </c>
      <c r="GO65" s="78">
        <v>9</v>
      </c>
      <c r="GP65" s="79">
        <v>1</v>
      </c>
      <c r="GQ65" s="333">
        <f>IF(GL65="","",'Name List'!$I$4)</f>
        <v>5</v>
      </c>
      <c r="GS65" s="68"/>
      <c r="GT65" s="69"/>
      <c r="GU65" s="70"/>
      <c r="GV65" s="77"/>
      <c r="GW65" s="78"/>
      <c r="GX65" s="78"/>
      <c r="GY65" s="79"/>
      <c r="GZ65" s="67"/>
      <c r="HB65" s="98">
        <v>15</v>
      </c>
      <c r="HC65" s="99">
        <v>19</v>
      </c>
      <c r="HD65" s="329">
        <f t="shared" si="21"/>
        <v>34</v>
      </c>
      <c r="HE65" s="77">
        <v>0</v>
      </c>
      <c r="HF65" s="78">
        <v>2</v>
      </c>
      <c r="HG65" s="78">
        <v>9</v>
      </c>
      <c r="HH65" s="79">
        <v>1</v>
      </c>
      <c r="HI65" s="333">
        <f>IF(HD65="","",'Name List'!$I$4)</f>
        <v>5</v>
      </c>
      <c r="HK65" s="71"/>
      <c r="HL65" s="72"/>
      <c r="HM65" s="383" t="str">
        <f t="shared" si="22"/>
        <v/>
      </c>
      <c r="HN65" s="77"/>
      <c r="HO65" s="78"/>
      <c r="HP65" s="78"/>
      <c r="HQ65" s="79"/>
      <c r="HR65" s="333" t="str">
        <f>IF(HM65="","",'Name List'!$I$4)</f>
        <v/>
      </c>
      <c r="HT65" s="68"/>
      <c r="HU65" s="69"/>
      <c r="HV65" s="70"/>
      <c r="HW65" s="77"/>
      <c r="HX65" s="78"/>
      <c r="HY65" s="78"/>
      <c r="HZ65" s="79"/>
      <c r="IA65" s="67"/>
      <c r="IC65" s="115"/>
      <c r="ID65" s="116"/>
      <c r="IE65" s="117"/>
      <c r="IF65" s="77"/>
      <c r="IG65" s="78"/>
      <c r="IH65" s="78"/>
      <c r="II65" s="79"/>
      <c r="IJ65" s="333" t="str">
        <f>IF(IE65="","",'Name List'!$I$4)</f>
        <v/>
      </c>
      <c r="IL65" s="98"/>
      <c r="IM65" s="99"/>
      <c r="IN65" s="100"/>
      <c r="IO65" s="77"/>
      <c r="IP65" s="78"/>
      <c r="IQ65" s="78"/>
      <c r="IR65" s="79"/>
      <c r="IS65" s="67"/>
      <c r="IU65" s="98"/>
      <c r="IV65" s="99"/>
      <c r="IW65" s="100"/>
      <c r="IX65" s="77"/>
      <c r="IY65" s="78"/>
      <c r="IZ65" s="78"/>
      <c r="JA65" s="79"/>
      <c r="JB65" s="67"/>
      <c r="JD65" s="98"/>
      <c r="JE65" s="99"/>
      <c r="JF65" s="100"/>
      <c r="JG65" s="77"/>
      <c r="JH65" s="78"/>
      <c r="JI65" s="78"/>
      <c r="JJ65" s="79"/>
      <c r="JK65" s="67"/>
      <c r="JM65" s="98"/>
      <c r="JN65" s="99"/>
      <c r="JO65" s="275"/>
      <c r="JP65" s="77"/>
      <c r="JQ65" s="78"/>
      <c r="JR65" s="78"/>
      <c r="JS65" s="79"/>
      <c r="JT65" s="67"/>
      <c r="JV65" s="98"/>
      <c r="JW65" s="99"/>
      <c r="JX65" s="100"/>
      <c r="JY65" s="77"/>
      <c r="JZ65" s="78"/>
      <c r="KA65" s="78"/>
      <c r="KB65" s="79"/>
      <c r="KC65" s="67"/>
      <c r="KE65" s="98"/>
      <c r="KF65" s="99"/>
      <c r="KG65" s="100"/>
      <c r="KH65" s="77"/>
      <c r="KI65" s="78"/>
      <c r="KJ65" s="78"/>
      <c r="KK65" s="79"/>
      <c r="KL65" s="67"/>
      <c r="KN65" s="68"/>
      <c r="KO65" s="69"/>
      <c r="KP65" s="70"/>
      <c r="KQ65" s="77"/>
      <c r="KR65" s="78"/>
      <c r="KS65" s="78"/>
      <c r="KT65" s="79"/>
      <c r="KU65" s="67"/>
      <c r="KW65" s="98"/>
      <c r="KX65" s="99"/>
      <c r="KY65" s="100"/>
      <c r="KZ65" s="77"/>
      <c r="LA65" s="78"/>
      <c r="LB65" s="78"/>
      <c r="LC65" s="79"/>
      <c r="LD65" s="67"/>
      <c r="LF65" s="71"/>
      <c r="LG65" s="72"/>
      <c r="LH65" s="73"/>
      <c r="LI65" s="77"/>
      <c r="LJ65" s="78"/>
      <c r="LK65" s="78"/>
      <c r="LL65" s="79"/>
      <c r="LM65" s="67"/>
      <c r="LO65" s="98"/>
      <c r="LP65" s="99"/>
      <c r="LQ65" s="329"/>
      <c r="LR65" s="77"/>
      <c r="LS65" s="78"/>
      <c r="LT65" s="78"/>
      <c r="LU65" s="79"/>
      <c r="LV65" s="67"/>
      <c r="LX65" s="98"/>
      <c r="LY65" s="99"/>
      <c r="LZ65" s="100"/>
      <c r="MA65" s="77"/>
      <c r="MB65" s="78"/>
      <c r="MC65" s="78"/>
      <c r="MD65" s="79"/>
      <c r="ME65" s="67"/>
      <c r="MG65" s="98"/>
      <c r="MH65" s="99"/>
      <c r="MI65" s="100"/>
      <c r="MJ65" s="77"/>
      <c r="MK65" s="78"/>
      <c r="ML65" s="78"/>
      <c r="MM65" s="79"/>
      <c r="MN65" s="67"/>
      <c r="MP65" s="98"/>
      <c r="MQ65" s="99"/>
      <c r="MR65" s="100"/>
      <c r="MS65" s="77"/>
      <c r="MT65" s="78"/>
      <c r="MU65" s="78"/>
      <c r="MV65" s="79"/>
      <c r="MW65" s="67"/>
      <c r="MY65" s="98"/>
      <c r="MZ65" s="99"/>
      <c r="NA65" s="100"/>
      <c r="NB65" s="77"/>
      <c r="NC65" s="78"/>
      <c r="ND65" s="78"/>
      <c r="NE65" s="79"/>
      <c r="NF65" s="67"/>
      <c r="NH65" s="98"/>
      <c r="NI65" s="99"/>
      <c r="NJ65" s="329"/>
      <c r="NK65" s="77"/>
      <c r="NL65" s="78"/>
      <c r="NM65" s="78"/>
      <c r="NN65" s="79"/>
      <c r="NO65" s="67"/>
      <c r="NQ65" s="98"/>
      <c r="NR65" s="99"/>
      <c r="NS65" s="100"/>
      <c r="NT65" s="77"/>
      <c r="NU65" s="78"/>
      <c r="NV65" s="78"/>
      <c r="NW65" s="79"/>
      <c r="NX65" s="67"/>
      <c r="NZ65" s="71"/>
      <c r="OA65" s="72"/>
      <c r="OB65" s="73"/>
      <c r="OC65" s="77"/>
      <c r="OD65" s="78"/>
      <c r="OE65" s="78"/>
      <c r="OF65" s="79"/>
      <c r="OG65" s="67"/>
      <c r="OI65" s="98"/>
      <c r="OJ65" s="99"/>
      <c r="OK65" s="329"/>
      <c r="OL65" s="77"/>
      <c r="OM65" s="78"/>
      <c r="ON65" s="78"/>
      <c r="OO65" s="79"/>
      <c r="OP65" s="67"/>
      <c r="OR65" s="71"/>
      <c r="OS65" s="72"/>
      <c r="OT65" s="73"/>
      <c r="OU65" s="77"/>
      <c r="OV65" s="78"/>
      <c r="OW65" s="78"/>
      <c r="OX65" s="79"/>
      <c r="OY65" s="67"/>
      <c r="PA65" s="98"/>
      <c r="PB65" s="99"/>
      <c r="PC65" s="100"/>
      <c r="PD65" s="77"/>
      <c r="PE65" s="78"/>
      <c r="PF65" s="78"/>
      <c r="PG65" s="79"/>
      <c r="PH65" s="67"/>
      <c r="PJ65" s="277"/>
      <c r="PK65" s="278"/>
      <c r="PL65" s="279"/>
      <c r="PM65" s="125"/>
      <c r="PN65" s="126"/>
      <c r="PO65" s="126"/>
      <c r="PP65" s="127"/>
      <c r="PQ65" s="128"/>
      <c r="PS65" s="403"/>
      <c r="PT65" s="404"/>
      <c r="PU65" s="405"/>
      <c r="PV65" s="330"/>
      <c r="PW65" s="331"/>
      <c r="PX65" s="331"/>
      <c r="PY65" s="332"/>
      <c r="PZ65" s="333"/>
      <c r="QB65" s="412"/>
      <c r="QC65" s="413"/>
      <c r="QD65" s="414"/>
      <c r="QE65" s="125"/>
      <c r="QF65" s="126"/>
      <c r="QG65" s="126"/>
      <c r="QH65" s="127"/>
      <c r="QI65" s="128"/>
      <c r="QK65" s="283"/>
      <c r="QL65" s="284"/>
      <c r="QM65" s="285"/>
      <c r="QN65" s="125"/>
      <c r="QO65" s="126"/>
      <c r="QP65" s="126"/>
      <c r="QQ65" s="127"/>
      <c r="QR65" s="128" t="str">
        <f>IF(QM65="","",'Name List'!$I$4)</f>
        <v/>
      </c>
      <c r="QS65" s="91"/>
      <c r="QT65" s="107">
        <f t="shared" si="50"/>
        <v>0</v>
      </c>
      <c r="QU65" s="130">
        <f t="shared" si="51"/>
        <v>37</v>
      </c>
      <c r="QV65" s="130">
        <f t="shared" si="52"/>
        <v>109</v>
      </c>
      <c r="QW65" s="108">
        <f t="shared" si="53"/>
        <v>14</v>
      </c>
      <c r="QY65" s="260">
        <f t="shared" si="54"/>
        <v>14</v>
      </c>
      <c r="RA65" s="141">
        <f t="shared" si="55"/>
        <v>20</v>
      </c>
      <c r="RB65" s="106">
        <f t="shared" si="56"/>
        <v>22</v>
      </c>
      <c r="RC65" s="106">
        <f t="shared" si="57"/>
        <v>41</v>
      </c>
      <c r="RD65" s="106">
        <f t="shared" si="58"/>
        <v>11</v>
      </c>
      <c r="RE65" s="106">
        <f t="shared" si="59"/>
        <v>11</v>
      </c>
      <c r="RF65" s="142">
        <f t="shared" si="60"/>
        <v>23</v>
      </c>
      <c r="RG65" s="106"/>
      <c r="RH65" s="139">
        <f t="shared" si="61"/>
        <v>35</v>
      </c>
      <c r="RI65" s="140">
        <f t="shared" si="62"/>
        <v>32</v>
      </c>
      <c r="RJ65" s="106"/>
      <c r="RK65" s="136">
        <f t="shared" si="63"/>
        <v>30.571428571428573</v>
      </c>
      <c r="RL65" s="106"/>
      <c r="RM65" s="137">
        <f t="shared" si="64"/>
        <v>85</v>
      </c>
      <c r="RN65" s="138">
        <f t="shared" si="65"/>
        <v>85</v>
      </c>
      <c r="RO65" s="106"/>
      <c r="RP65" s="259">
        <f t="shared" si="66"/>
        <v>1</v>
      </c>
    </row>
    <row r="66" spans="1:484" x14ac:dyDescent="0.2">
      <c r="A66" s="89" t="str">
        <f>'Name List'!B66</f>
        <v>Dave Woodget</v>
      </c>
      <c r="C66" s="98"/>
      <c r="D66" s="99"/>
      <c r="E66" s="329" t="str">
        <f t="shared" si="0"/>
        <v/>
      </c>
      <c r="F66" s="77"/>
      <c r="G66" s="78"/>
      <c r="H66" s="78"/>
      <c r="I66" s="79"/>
      <c r="J66" s="333" t="str">
        <f>IF(E66="","",'Name List'!$I$4)</f>
        <v/>
      </c>
      <c r="L66" s="98"/>
      <c r="M66" s="99"/>
      <c r="N66" s="100"/>
      <c r="O66" s="77"/>
      <c r="P66" s="78"/>
      <c r="Q66" s="78"/>
      <c r="R66" s="79"/>
      <c r="S66" s="67"/>
      <c r="U66" s="71"/>
      <c r="V66" s="72"/>
      <c r="W66" s="396" t="str">
        <f t="shared" si="2"/>
        <v/>
      </c>
      <c r="X66" s="77"/>
      <c r="Y66" s="78"/>
      <c r="Z66" s="78"/>
      <c r="AA66" s="79"/>
      <c r="AB66" s="333" t="str">
        <f>IF(W66="","",'Name List'!$I$4)</f>
        <v/>
      </c>
      <c r="AD66" s="98"/>
      <c r="AE66" s="99"/>
      <c r="AF66" s="329" t="str">
        <f t="shared" si="3"/>
        <v/>
      </c>
      <c r="AG66" s="77"/>
      <c r="AH66" s="78"/>
      <c r="AI66" s="78"/>
      <c r="AJ66" s="79"/>
      <c r="AK66" s="333" t="str">
        <f>IF(AF66="","",'Name List'!$I$4)</f>
        <v/>
      </c>
      <c r="AM66" s="98"/>
      <c r="AN66" s="99"/>
      <c r="AO66" s="329" t="str">
        <f t="shared" si="4"/>
        <v/>
      </c>
      <c r="AP66" s="77"/>
      <c r="AQ66" s="78"/>
      <c r="AR66" s="78"/>
      <c r="AS66" s="79"/>
      <c r="AT66" s="333" t="str">
        <f>IF(AO66="","",'Name List'!$I$4)</f>
        <v/>
      </c>
      <c r="AV66" s="458"/>
      <c r="AW66" s="401"/>
      <c r="AX66" s="400" t="str">
        <f t="shared" si="5"/>
        <v/>
      </c>
      <c r="AY66" s="77"/>
      <c r="AZ66" s="78"/>
      <c r="BA66" s="78"/>
      <c r="BB66" s="79"/>
      <c r="BC66" s="457" t="str">
        <f>IF(AX66="","",'Name List'!$I$4)</f>
        <v/>
      </c>
      <c r="BE66" s="71"/>
      <c r="BF66" s="72"/>
      <c r="BG66" s="383" t="str">
        <f t="shared" si="6"/>
        <v/>
      </c>
      <c r="BH66" s="77"/>
      <c r="BI66" s="78"/>
      <c r="BJ66" s="78"/>
      <c r="BK66" s="79"/>
      <c r="BL66" s="333" t="str">
        <f>IF(BG66="","",'Name List'!$I$4)</f>
        <v/>
      </c>
      <c r="BN66" s="98"/>
      <c r="BO66" s="99"/>
      <c r="BP66" s="100"/>
      <c r="BQ66" s="77"/>
      <c r="BR66" s="78"/>
      <c r="BS66" s="78"/>
      <c r="BT66" s="79"/>
      <c r="BU66" s="67"/>
      <c r="BW66" s="98"/>
      <c r="BX66" s="99"/>
      <c r="BY66" s="329" t="str">
        <f t="shared" si="8"/>
        <v/>
      </c>
      <c r="BZ66" s="77"/>
      <c r="CA66" s="78"/>
      <c r="CB66" s="78"/>
      <c r="CC66" s="79"/>
      <c r="CD66" s="333" t="str">
        <f>IF(BY66="","",'Name List'!$I$4)</f>
        <v/>
      </c>
      <c r="CF66" s="68"/>
      <c r="CG66" s="69"/>
      <c r="CH66" s="282" t="str">
        <f t="shared" si="49"/>
        <v/>
      </c>
      <c r="CI66" s="77"/>
      <c r="CJ66" s="78"/>
      <c r="CK66" s="78"/>
      <c r="CL66" s="79"/>
      <c r="CM66" s="333" t="str">
        <f>IF(CH66="","",'Name List'!$I$4)</f>
        <v/>
      </c>
      <c r="CO66" s="71"/>
      <c r="CP66" s="72"/>
      <c r="CQ66" s="383" t="str">
        <f t="shared" si="9"/>
        <v/>
      </c>
      <c r="CR66" s="77"/>
      <c r="CS66" s="78"/>
      <c r="CT66" s="78"/>
      <c r="CU66" s="79"/>
      <c r="CV66" s="333" t="str">
        <f>IF(CQ66="","",'Name List'!$I$4)</f>
        <v/>
      </c>
      <c r="CX66" s="98"/>
      <c r="CY66" s="99"/>
      <c r="CZ66" s="329" t="str">
        <f t="shared" si="10"/>
        <v/>
      </c>
      <c r="DA66" s="77"/>
      <c r="DB66" s="78"/>
      <c r="DC66" s="78"/>
      <c r="DD66" s="79"/>
      <c r="DE66" s="333" t="str">
        <f>IF(CZ66="","",'Name List'!$I$4)</f>
        <v/>
      </c>
      <c r="DG66" s="98"/>
      <c r="DH66" s="99"/>
      <c r="DI66" s="329" t="str">
        <f t="shared" si="11"/>
        <v/>
      </c>
      <c r="DJ66" s="77"/>
      <c r="DK66" s="78"/>
      <c r="DL66" s="78"/>
      <c r="DM66" s="79"/>
      <c r="DN66" s="333" t="str">
        <f>IF(DI66="","",'Name List'!$I$4)</f>
        <v/>
      </c>
      <c r="DP66" s="98"/>
      <c r="DQ66" s="99"/>
      <c r="DR66" s="329" t="str">
        <f t="shared" si="12"/>
        <v/>
      </c>
      <c r="DS66" s="77"/>
      <c r="DT66" s="78"/>
      <c r="DU66" s="78"/>
      <c r="DV66" s="79"/>
      <c r="DW66" s="333" t="str">
        <f>IF(DR66="","",'Name List'!$I$4)</f>
        <v/>
      </c>
      <c r="DY66" s="98"/>
      <c r="DZ66" s="99"/>
      <c r="EA66" s="329" t="str">
        <f t="shared" si="13"/>
        <v/>
      </c>
      <c r="EB66" s="77"/>
      <c r="EC66" s="78"/>
      <c r="ED66" s="78"/>
      <c r="EE66" s="79"/>
      <c r="EF66" s="333" t="str">
        <f>IF(EA66="","",'Name List'!$I$4)</f>
        <v/>
      </c>
      <c r="EH66" s="98"/>
      <c r="EI66" s="99"/>
      <c r="EJ66" s="329" t="str">
        <f t="shared" si="14"/>
        <v/>
      </c>
      <c r="EK66" s="77"/>
      <c r="EL66" s="78"/>
      <c r="EM66" s="78"/>
      <c r="EN66" s="79"/>
      <c r="EO66" s="333" t="str">
        <f>IF(EJ66="","",'Name List'!$I$4)</f>
        <v/>
      </c>
      <c r="EQ66" s="115"/>
      <c r="ER66" s="116"/>
      <c r="ES66" s="117"/>
      <c r="ET66" s="77"/>
      <c r="EU66" s="78"/>
      <c r="EV66" s="78"/>
      <c r="EW66" s="79"/>
      <c r="EX66" s="333" t="str">
        <f>IF(ES66="","",'Name List'!$I$4)</f>
        <v/>
      </c>
      <c r="EZ66" s="68"/>
      <c r="FA66" s="69"/>
      <c r="FB66" s="70"/>
      <c r="FC66" s="77"/>
      <c r="FD66" s="78"/>
      <c r="FE66" s="78"/>
      <c r="FF66" s="79"/>
      <c r="FG66" s="67"/>
      <c r="FI66" s="98"/>
      <c r="FJ66" s="99"/>
      <c r="FK66" s="329" t="str">
        <f t="shared" si="16"/>
        <v/>
      </c>
      <c r="FL66" s="77"/>
      <c r="FM66" s="78"/>
      <c r="FN66" s="78"/>
      <c r="FO66" s="79"/>
      <c r="FP66" s="333" t="str">
        <f>IF(FK66="","",'Name List'!$I$4)</f>
        <v/>
      </c>
      <c r="FR66" s="98"/>
      <c r="FS66" s="99"/>
      <c r="FT66" s="329" t="str">
        <f t="shared" si="17"/>
        <v/>
      </c>
      <c r="FU66" s="77"/>
      <c r="FV66" s="78"/>
      <c r="FW66" s="78"/>
      <c r="FX66" s="79"/>
      <c r="FY66" s="333" t="str">
        <f>IF(FT66="","",'Name List'!$I$4)</f>
        <v/>
      </c>
      <c r="GA66" s="98">
        <v>18</v>
      </c>
      <c r="GB66" s="99">
        <v>13</v>
      </c>
      <c r="GC66" s="329">
        <f t="shared" si="18"/>
        <v>31</v>
      </c>
      <c r="GD66" s="77">
        <v>0</v>
      </c>
      <c r="GE66" s="78">
        <v>1</v>
      </c>
      <c r="GF66" s="78">
        <v>5</v>
      </c>
      <c r="GG66" s="79">
        <v>2</v>
      </c>
      <c r="GH66" s="333">
        <f>IF(GC66="","",'Name List'!$I$4)</f>
        <v>5</v>
      </c>
      <c r="GJ66" s="98"/>
      <c r="GK66" s="99"/>
      <c r="GL66" s="329" t="str">
        <f t="shared" si="19"/>
        <v/>
      </c>
      <c r="GM66" s="77"/>
      <c r="GN66" s="78"/>
      <c r="GO66" s="78"/>
      <c r="GP66" s="79"/>
      <c r="GQ66" s="333" t="str">
        <f>IF(GL66="","",'Name List'!$I$4)</f>
        <v/>
      </c>
      <c r="GS66" s="68"/>
      <c r="GT66" s="69"/>
      <c r="GU66" s="70"/>
      <c r="GV66" s="77"/>
      <c r="GW66" s="78"/>
      <c r="GX66" s="78"/>
      <c r="GY66" s="79"/>
      <c r="GZ66" s="67"/>
      <c r="HB66" s="98"/>
      <c r="HC66" s="99"/>
      <c r="HD66" s="329" t="str">
        <f t="shared" si="21"/>
        <v/>
      </c>
      <c r="HE66" s="77"/>
      <c r="HF66" s="78"/>
      <c r="HG66" s="78"/>
      <c r="HH66" s="79"/>
      <c r="HI66" s="333" t="str">
        <f>IF(HD66="","",'Name List'!$I$4)</f>
        <v/>
      </c>
      <c r="HK66" s="71"/>
      <c r="HL66" s="72"/>
      <c r="HM66" s="383" t="str">
        <f t="shared" si="22"/>
        <v/>
      </c>
      <c r="HN66" s="77"/>
      <c r="HO66" s="78"/>
      <c r="HP66" s="78"/>
      <c r="HQ66" s="79"/>
      <c r="HR66" s="333" t="str">
        <f>IF(HM66="","",'Name List'!$I$4)</f>
        <v/>
      </c>
      <c r="HT66" s="68"/>
      <c r="HU66" s="69"/>
      <c r="HV66" s="70"/>
      <c r="HW66" s="77"/>
      <c r="HX66" s="78"/>
      <c r="HY66" s="78"/>
      <c r="HZ66" s="79"/>
      <c r="IA66" s="67"/>
      <c r="IC66" s="115"/>
      <c r="ID66" s="116"/>
      <c r="IE66" s="117"/>
      <c r="IF66" s="77"/>
      <c r="IG66" s="78"/>
      <c r="IH66" s="78"/>
      <c r="II66" s="79"/>
      <c r="IJ66" s="333" t="str">
        <f>IF(IE66="","",'Name List'!$I$4)</f>
        <v/>
      </c>
      <c r="IL66" s="98"/>
      <c r="IM66" s="99"/>
      <c r="IN66" s="100"/>
      <c r="IO66" s="77"/>
      <c r="IP66" s="78"/>
      <c r="IQ66" s="78"/>
      <c r="IR66" s="79"/>
      <c r="IS66" s="67"/>
      <c r="IU66" s="98"/>
      <c r="IV66" s="99"/>
      <c r="IW66" s="100"/>
      <c r="IX66" s="77"/>
      <c r="IY66" s="78"/>
      <c r="IZ66" s="78"/>
      <c r="JA66" s="79"/>
      <c r="JB66" s="67"/>
      <c r="JD66" s="98"/>
      <c r="JE66" s="99"/>
      <c r="JF66" s="100"/>
      <c r="JG66" s="77"/>
      <c r="JH66" s="78"/>
      <c r="JI66" s="78"/>
      <c r="JJ66" s="79"/>
      <c r="JK66" s="67"/>
      <c r="JM66" s="98"/>
      <c r="JN66" s="99"/>
      <c r="JO66" s="275"/>
      <c r="JP66" s="77"/>
      <c r="JQ66" s="78"/>
      <c r="JR66" s="78"/>
      <c r="JS66" s="79"/>
      <c r="JT66" s="67"/>
      <c r="JV66" s="98"/>
      <c r="JW66" s="99"/>
      <c r="JX66" s="100"/>
      <c r="JY66" s="77"/>
      <c r="JZ66" s="78"/>
      <c r="KA66" s="78"/>
      <c r="KB66" s="79"/>
      <c r="KC66" s="67"/>
      <c r="KE66" s="98"/>
      <c r="KF66" s="99"/>
      <c r="KG66" s="100"/>
      <c r="KH66" s="77"/>
      <c r="KI66" s="78"/>
      <c r="KJ66" s="78"/>
      <c r="KK66" s="79"/>
      <c r="KL66" s="67"/>
      <c r="KN66" s="68"/>
      <c r="KO66" s="69"/>
      <c r="KP66" s="70"/>
      <c r="KQ66" s="77"/>
      <c r="KR66" s="78"/>
      <c r="KS66" s="78"/>
      <c r="KT66" s="79"/>
      <c r="KU66" s="67"/>
      <c r="KW66" s="98"/>
      <c r="KX66" s="99"/>
      <c r="KY66" s="100"/>
      <c r="KZ66" s="77"/>
      <c r="LA66" s="78"/>
      <c r="LB66" s="78"/>
      <c r="LC66" s="79"/>
      <c r="LD66" s="67"/>
      <c r="LF66" s="71"/>
      <c r="LG66" s="72"/>
      <c r="LH66" s="73"/>
      <c r="LI66" s="77"/>
      <c r="LJ66" s="78"/>
      <c r="LK66" s="78"/>
      <c r="LL66" s="79"/>
      <c r="LM66" s="67"/>
      <c r="LO66" s="98"/>
      <c r="LP66" s="99"/>
      <c r="LQ66" s="329"/>
      <c r="LR66" s="77"/>
      <c r="LS66" s="78"/>
      <c r="LT66" s="78"/>
      <c r="LU66" s="79"/>
      <c r="LV66" s="67"/>
      <c r="LX66" s="98"/>
      <c r="LY66" s="99"/>
      <c r="LZ66" s="100"/>
      <c r="MA66" s="77"/>
      <c r="MB66" s="78"/>
      <c r="MC66" s="78"/>
      <c r="MD66" s="79"/>
      <c r="ME66" s="67"/>
      <c r="MG66" s="98"/>
      <c r="MH66" s="99"/>
      <c r="MI66" s="100"/>
      <c r="MJ66" s="77"/>
      <c r="MK66" s="78"/>
      <c r="ML66" s="78"/>
      <c r="MM66" s="79"/>
      <c r="MN66" s="67"/>
      <c r="MP66" s="98"/>
      <c r="MQ66" s="99"/>
      <c r="MR66" s="100"/>
      <c r="MS66" s="77"/>
      <c r="MT66" s="78"/>
      <c r="MU66" s="78"/>
      <c r="MV66" s="79"/>
      <c r="MW66" s="67"/>
      <c r="MY66" s="98"/>
      <c r="MZ66" s="99"/>
      <c r="NA66" s="100"/>
      <c r="NB66" s="77"/>
      <c r="NC66" s="78"/>
      <c r="ND66" s="78"/>
      <c r="NE66" s="79"/>
      <c r="NF66" s="67"/>
      <c r="NH66" s="98"/>
      <c r="NI66" s="99"/>
      <c r="NJ66" s="329"/>
      <c r="NK66" s="77"/>
      <c r="NL66" s="78"/>
      <c r="NM66" s="78"/>
      <c r="NN66" s="79"/>
      <c r="NO66" s="67"/>
      <c r="NQ66" s="98"/>
      <c r="NR66" s="99"/>
      <c r="NS66" s="100"/>
      <c r="NT66" s="77"/>
      <c r="NU66" s="78"/>
      <c r="NV66" s="78"/>
      <c r="NW66" s="79"/>
      <c r="NX66" s="67"/>
      <c r="NZ66" s="71"/>
      <c r="OA66" s="72"/>
      <c r="OB66" s="73"/>
      <c r="OC66" s="77"/>
      <c r="OD66" s="78"/>
      <c r="OE66" s="78"/>
      <c r="OF66" s="79"/>
      <c r="OG66" s="67"/>
      <c r="OI66" s="98"/>
      <c r="OJ66" s="99"/>
      <c r="OK66" s="329"/>
      <c r="OL66" s="77"/>
      <c r="OM66" s="78"/>
      <c r="ON66" s="78"/>
      <c r="OO66" s="79"/>
      <c r="OP66" s="67"/>
      <c r="OR66" s="71"/>
      <c r="OS66" s="72"/>
      <c r="OT66" s="73"/>
      <c r="OU66" s="77"/>
      <c r="OV66" s="78"/>
      <c r="OW66" s="78"/>
      <c r="OX66" s="79"/>
      <c r="OY66" s="67"/>
      <c r="PA66" s="98"/>
      <c r="PB66" s="99"/>
      <c r="PC66" s="100"/>
      <c r="PD66" s="77"/>
      <c r="PE66" s="78"/>
      <c r="PF66" s="78"/>
      <c r="PG66" s="79"/>
      <c r="PH66" s="67"/>
      <c r="PJ66" s="68"/>
      <c r="PK66" s="69"/>
      <c r="PL66" s="70"/>
      <c r="PM66" s="77"/>
      <c r="PN66" s="78"/>
      <c r="PO66" s="78"/>
      <c r="PP66" s="79"/>
      <c r="PQ66" s="67"/>
      <c r="PS66" s="403"/>
      <c r="PT66" s="404"/>
      <c r="PU66" s="405"/>
      <c r="PV66" s="330"/>
      <c r="PW66" s="331"/>
      <c r="PX66" s="331"/>
      <c r="PY66" s="332"/>
      <c r="PZ66" s="333"/>
      <c r="QB66" s="71"/>
      <c r="QC66" s="72"/>
      <c r="QD66" s="73"/>
      <c r="QE66" s="77"/>
      <c r="QF66" s="78"/>
      <c r="QG66" s="78"/>
      <c r="QH66" s="79"/>
      <c r="QI66" s="67"/>
      <c r="QK66" s="283"/>
      <c r="QL66" s="284"/>
      <c r="QM66" s="285"/>
      <c r="QN66" s="77"/>
      <c r="QO66" s="78"/>
      <c r="QP66" s="78"/>
      <c r="QQ66" s="79"/>
      <c r="QR66" s="67" t="str">
        <f>IF(QM66="","",'Name List'!$I$4)</f>
        <v/>
      </c>
      <c r="QS66" s="91"/>
      <c r="QT66" s="107">
        <f t="shared" si="50"/>
        <v>0</v>
      </c>
      <c r="QU66" s="130">
        <f t="shared" si="51"/>
        <v>1</v>
      </c>
      <c r="QV66" s="130">
        <f t="shared" si="52"/>
        <v>5</v>
      </c>
      <c r="QW66" s="108">
        <f t="shared" si="53"/>
        <v>2</v>
      </c>
      <c r="QY66" s="260">
        <f t="shared" si="54"/>
        <v>1</v>
      </c>
      <c r="RA66" s="141">
        <f t="shared" si="55"/>
        <v>18</v>
      </c>
      <c r="RB66" s="106">
        <f t="shared" si="56"/>
        <v>13</v>
      </c>
      <c r="RC66" s="106">
        <f t="shared" si="57"/>
        <v>31</v>
      </c>
      <c r="RD66" s="106">
        <f t="shared" si="58"/>
        <v>18</v>
      </c>
      <c r="RE66" s="106">
        <f t="shared" si="59"/>
        <v>13</v>
      </c>
      <c r="RF66" s="142">
        <f t="shared" si="60"/>
        <v>31</v>
      </c>
      <c r="RG66" s="106"/>
      <c r="RH66" s="139">
        <f t="shared" si="61"/>
        <v>0</v>
      </c>
      <c r="RI66" s="140">
        <f t="shared" si="62"/>
        <v>0</v>
      </c>
      <c r="RJ66" s="106"/>
      <c r="RK66" s="136">
        <f t="shared" si="63"/>
        <v>31</v>
      </c>
      <c r="RL66" s="106"/>
      <c r="RM66" s="137">
        <f t="shared" si="64"/>
        <v>0</v>
      </c>
      <c r="RN66" s="138">
        <f t="shared" si="65"/>
        <v>0</v>
      </c>
      <c r="RO66" s="106"/>
      <c r="RP66" s="259">
        <f t="shared" si="66"/>
        <v>0</v>
      </c>
    </row>
    <row r="67" spans="1:484" x14ac:dyDescent="0.2">
      <c r="A67" s="89" t="str">
        <f>'Name List'!B67</f>
        <v>Jonathan Kanareck</v>
      </c>
      <c r="C67" s="98"/>
      <c r="D67" s="99"/>
      <c r="E67" s="329" t="str">
        <f t="shared" si="0"/>
        <v/>
      </c>
      <c r="F67" s="77"/>
      <c r="G67" s="78"/>
      <c r="H67" s="78"/>
      <c r="I67" s="79"/>
      <c r="J67" s="333" t="str">
        <f>IF(E67="","",'Name List'!$I$4)</f>
        <v/>
      </c>
      <c r="L67" s="98"/>
      <c r="M67" s="99"/>
      <c r="N67" s="100"/>
      <c r="O67" s="77"/>
      <c r="P67" s="78"/>
      <c r="Q67" s="78"/>
      <c r="R67" s="79"/>
      <c r="S67" s="67"/>
      <c r="U67" s="71"/>
      <c r="V67" s="72"/>
      <c r="W67" s="396" t="str">
        <f t="shared" si="2"/>
        <v/>
      </c>
      <c r="X67" s="77"/>
      <c r="Y67" s="78"/>
      <c r="Z67" s="78"/>
      <c r="AA67" s="79"/>
      <c r="AB67" s="333" t="str">
        <f>IF(W67="","",'Name List'!$I$4)</f>
        <v/>
      </c>
      <c r="AD67" s="98">
        <v>19</v>
      </c>
      <c r="AE67" s="99">
        <v>12</v>
      </c>
      <c r="AF67" s="329">
        <f t="shared" si="3"/>
        <v>31</v>
      </c>
      <c r="AG67" s="77">
        <v>0</v>
      </c>
      <c r="AH67" s="78">
        <v>1</v>
      </c>
      <c r="AI67" s="78">
        <v>4</v>
      </c>
      <c r="AJ67" s="79">
        <v>2</v>
      </c>
      <c r="AK67" s="333">
        <f>IF(AF67="","",'Name List'!$I$4)</f>
        <v>5</v>
      </c>
      <c r="AM67" s="98"/>
      <c r="AN67" s="99"/>
      <c r="AO67" s="329" t="str">
        <f t="shared" si="4"/>
        <v/>
      </c>
      <c r="AP67" s="77"/>
      <c r="AQ67" s="78"/>
      <c r="AR67" s="78"/>
      <c r="AS67" s="79"/>
      <c r="AT67" s="333" t="str">
        <f>IF(AO67="","",'Name List'!$I$4)</f>
        <v/>
      </c>
      <c r="AV67" s="458"/>
      <c r="AW67" s="401"/>
      <c r="AX67" s="400" t="str">
        <f t="shared" si="5"/>
        <v/>
      </c>
      <c r="AY67" s="77"/>
      <c r="AZ67" s="78"/>
      <c r="BA67" s="78"/>
      <c r="BB67" s="79"/>
      <c r="BC67" s="457" t="str">
        <f>IF(AX67="","",'Name List'!$I$4)</f>
        <v/>
      </c>
      <c r="BE67" s="71"/>
      <c r="BF67" s="72"/>
      <c r="BG67" s="383" t="str">
        <f t="shared" si="6"/>
        <v/>
      </c>
      <c r="BH67" s="77"/>
      <c r="BI67" s="78"/>
      <c r="BJ67" s="78"/>
      <c r="BK67" s="79"/>
      <c r="BL67" s="333" t="str">
        <f>IF(BG67="","",'Name List'!$I$4)</f>
        <v/>
      </c>
      <c r="BN67" s="98"/>
      <c r="BO67" s="99"/>
      <c r="BP67" s="100"/>
      <c r="BQ67" s="77"/>
      <c r="BR67" s="78"/>
      <c r="BS67" s="78"/>
      <c r="BT67" s="79"/>
      <c r="BU67" s="67"/>
      <c r="BW67" s="98"/>
      <c r="BX67" s="99"/>
      <c r="BY67" s="329" t="str">
        <f t="shared" si="8"/>
        <v/>
      </c>
      <c r="BZ67" s="77"/>
      <c r="CA67" s="78"/>
      <c r="CB67" s="78"/>
      <c r="CC67" s="79"/>
      <c r="CD67" s="333" t="str">
        <f>IF(BY67="","",'Name List'!$I$4)</f>
        <v/>
      </c>
      <c r="CF67" s="68"/>
      <c r="CG67" s="69"/>
      <c r="CH67" s="282" t="str">
        <f t="shared" si="49"/>
        <v/>
      </c>
      <c r="CI67" s="77"/>
      <c r="CJ67" s="78"/>
      <c r="CK67" s="78"/>
      <c r="CL67" s="79"/>
      <c r="CM67" s="333" t="str">
        <f>IF(CH67="","",'Name List'!$I$4)</f>
        <v/>
      </c>
      <c r="CO67" s="71"/>
      <c r="CP67" s="72"/>
      <c r="CQ67" s="383" t="str">
        <f t="shared" si="9"/>
        <v/>
      </c>
      <c r="CR67" s="77"/>
      <c r="CS67" s="78"/>
      <c r="CT67" s="78"/>
      <c r="CU67" s="79"/>
      <c r="CV67" s="333" t="str">
        <f>IF(CQ67="","",'Name List'!$I$4)</f>
        <v/>
      </c>
      <c r="CX67" s="98"/>
      <c r="CY67" s="99"/>
      <c r="CZ67" s="329" t="str">
        <f t="shared" si="10"/>
        <v/>
      </c>
      <c r="DA67" s="77"/>
      <c r="DB67" s="78"/>
      <c r="DC67" s="78"/>
      <c r="DD67" s="79"/>
      <c r="DE67" s="333" t="str">
        <f>IF(CZ67="","",'Name List'!$I$4)</f>
        <v/>
      </c>
      <c r="DG67" s="98"/>
      <c r="DH67" s="99"/>
      <c r="DI67" s="329" t="str">
        <f t="shared" si="11"/>
        <v/>
      </c>
      <c r="DJ67" s="77"/>
      <c r="DK67" s="78"/>
      <c r="DL67" s="78"/>
      <c r="DM67" s="79"/>
      <c r="DN67" s="333" t="str">
        <f>IF(DI67="","",'Name List'!$I$4)</f>
        <v/>
      </c>
      <c r="DP67" s="98"/>
      <c r="DQ67" s="99"/>
      <c r="DR67" s="329" t="str">
        <f t="shared" si="12"/>
        <v/>
      </c>
      <c r="DS67" s="77"/>
      <c r="DT67" s="78"/>
      <c r="DU67" s="78"/>
      <c r="DV67" s="79"/>
      <c r="DW67" s="333" t="str">
        <f>IF(DR67="","",'Name List'!$I$4)</f>
        <v/>
      </c>
      <c r="DY67" s="98">
        <v>10</v>
      </c>
      <c r="DZ67" s="99">
        <v>14</v>
      </c>
      <c r="EA67" s="329">
        <f t="shared" si="13"/>
        <v>24</v>
      </c>
      <c r="EB67" s="77">
        <v>0</v>
      </c>
      <c r="EC67" s="78">
        <v>0</v>
      </c>
      <c r="ED67" s="78">
        <v>2</v>
      </c>
      <c r="EE67" s="79">
        <v>4</v>
      </c>
      <c r="EF67" s="333">
        <f>IF(EA67="","",'Name List'!$I$4)</f>
        <v>5</v>
      </c>
      <c r="EH67" s="98"/>
      <c r="EI67" s="99"/>
      <c r="EJ67" s="329" t="str">
        <f t="shared" si="14"/>
        <v/>
      </c>
      <c r="EK67" s="77"/>
      <c r="EL67" s="78"/>
      <c r="EM67" s="78"/>
      <c r="EN67" s="79"/>
      <c r="EO67" s="333" t="str">
        <f>IF(EJ67="","",'Name List'!$I$4)</f>
        <v/>
      </c>
      <c r="EQ67" s="115"/>
      <c r="ER67" s="116"/>
      <c r="ES67" s="117"/>
      <c r="ET67" s="77"/>
      <c r="EU67" s="78"/>
      <c r="EV67" s="78"/>
      <c r="EW67" s="79"/>
      <c r="EX67" s="333" t="str">
        <f>IF(ES67="","",'Name List'!$I$4)</f>
        <v/>
      </c>
      <c r="EZ67" s="68"/>
      <c r="FA67" s="69"/>
      <c r="FB67" s="70"/>
      <c r="FC67" s="77"/>
      <c r="FD67" s="78"/>
      <c r="FE67" s="78"/>
      <c r="FF67" s="79"/>
      <c r="FG67" s="67"/>
      <c r="FI67" s="98"/>
      <c r="FJ67" s="99"/>
      <c r="FK67" s="329" t="str">
        <f t="shared" si="16"/>
        <v/>
      </c>
      <c r="FL67" s="77"/>
      <c r="FM67" s="78"/>
      <c r="FN67" s="78"/>
      <c r="FO67" s="79"/>
      <c r="FP67" s="333" t="str">
        <f>IF(FK67="","",'Name List'!$I$4)</f>
        <v/>
      </c>
      <c r="FR67" s="98"/>
      <c r="FS67" s="99"/>
      <c r="FT67" s="329" t="str">
        <f t="shared" si="17"/>
        <v/>
      </c>
      <c r="FU67" s="77"/>
      <c r="FV67" s="78"/>
      <c r="FW67" s="78"/>
      <c r="FX67" s="79"/>
      <c r="FY67" s="333" t="str">
        <f>IF(FT67="","",'Name List'!$I$4)</f>
        <v/>
      </c>
      <c r="GA67" s="98"/>
      <c r="GB67" s="99"/>
      <c r="GC67" s="329" t="str">
        <f t="shared" si="18"/>
        <v/>
      </c>
      <c r="GD67" s="77"/>
      <c r="GE67" s="78"/>
      <c r="GF67" s="78"/>
      <c r="GG67" s="79"/>
      <c r="GH67" s="333" t="str">
        <f>IF(GC67="","",'Name List'!$I$4)</f>
        <v/>
      </c>
      <c r="GJ67" s="98"/>
      <c r="GK67" s="99"/>
      <c r="GL67" s="329" t="str">
        <f t="shared" si="19"/>
        <v/>
      </c>
      <c r="GM67" s="77"/>
      <c r="GN67" s="78"/>
      <c r="GO67" s="78"/>
      <c r="GP67" s="79"/>
      <c r="GQ67" s="333" t="str">
        <f>IF(GL67="","",'Name List'!$I$4)</f>
        <v/>
      </c>
      <c r="GS67" s="68"/>
      <c r="GT67" s="69"/>
      <c r="GU67" s="70"/>
      <c r="GV67" s="77"/>
      <c r="GW67" s="78"/>
      <c r="GX67" s="78"/>
      <c r="GY67" s="79"/>
      <c r="GZ67" s="67"/>
      <c r="HB67" s="98"/>
      <c r="HC67" s="99"/>
      <c r="HD67" s="329" t="str">
        <f t="shared" si="21"/>
        <v/>
      </c>
      <c r="HE67" s="77"/>
      <c r="HF67" s="78"/>
      <c r="HG67" s="78"/>
      <c r="HH67" s="79"/>
      <c r="HI67" s="333" t="str">
        <f>IF(HD67="","",'Name List'!$I$4)</f>
        <v/>
      </c>
      <c r="HK67" s="71"/>
      <c r="HL67" s="72"/>
      <c r="HM67" s="383" t="str">
        <f t="shared" si="22"/>
        <v/>
      </c>
      <c r="HN67" s="77"/>
      <c r="HO67" s="78"/>
      <c r="HP67" s="78"/>
      <c r="HQ67" s="79"/>
      <c r="HR67" s="333" t="str">
        <f>IF(HM67="","",'Name List'!$I$4)</f>
        <v/>
      </c>
      <c r="HT67" s="68"/>
      <c r="HU67" s="69"/>
      <c r="HV67" s="70"/>
      <c r="HW67" s="77"/>
      <c r="HX67" s="78"/>
      <c r="HY67" s="78"/>
      <c r="HZ67" s="79"/>
      <c r="IA67" s="67"/>
      <c r="IC67" s="115"/>
      <c r="ID67" s="116"/>
      <c r="IE67" s="117"/>
      <c r="IF67" s="77"/>
      <c r="IG67" s="78"/>
      <c r="IH67" s="78"/>
      <c r="II67" s="79"/>
      <c r="IJ67" s="333" t="str">
        <f>IF(IE67="","",'Name List'!$I$4)</f>
        <v/>
      </c>
      <c r="IL67" s="98"/>
      <c r="IM67" s="99"/>
      <c r="IN67" s="100"/>
      <c r="IO67" s="77"/>
      <c r="IP67" s="78"/>
      <c r="IQ67" s="78"/>
      <c r="IR67" s="79"/>
      <c r="IS67" s="67"/>
      <c r="IU67" s="98"/>
      <c r="IV67" s="99"/>
      <c r="IW67" s="100"/>
      <c r="IX67" s="77"/>
      <c r="IY67" s="78"/>
      <c r="IZ67" s="78"/>
      <c r="JA67" s="79"/>
      <c r="JB67" s="67"/>
      <c r="JD67" s="98"/>
      <c r="JE67" s="99"/>
      <c r="JF67" s="100"/>
      <c r="JG67" s="77"/>
      <c r="JH67" s="78"/>
      <c r="JI67" s="78"/>
      <c r="JJ67" s="79"/>
      <c r="JK67" s="67"/>
      <c r="JM67" s="98"/>
      <c r="JN67" s="99"/>
      <c r="JO67" s="275"/>
      <c r="JP67" s="77"/>
      <c r="JQ67" s="78"/>
      <c r="JR67" s="78"/>
      <c r="JS67" s="79"/>
      <c r="JT67" s="67"/>
      <c r="JV67" s="98"/>
      <c r="JW67" s="99"/>
      <c r="JX67" s="100"/>
      <c r="JY67" s="77"/>
      <c r="JZ67" s="78"/>
      <c r="KA67" s="78"/>
      <c r="KB67" s="79"/>
      <c r="KC67" s="67"/>
      <c r="KE67" s="98"/>
      <c r="KF67" s="99"/>
      <c r="KG67" s="100"/>
      <c r="KH67" s="77"/>
      <c r="KI67" s="78"/>
      <c r="KJ67" s="78"/>
      <c r="KK67" s="79"/>
      <c r="KL67" s="67"/>
      <c r="KN67" s="68"/>
      <c r="KO67" s="69"/>
      <c r="KP67" s="70"/>
      <c r="KQ67" s="77"/>
      <c r="KR67" s="78"/>
      <c r="KS67" s="78"/>
      <c r="KT67" s="79"/>
      <c r="KU67" s="67"/>
      <c r="KW67" s="98"/>
      <c r="KX67" s="99"/>
      <c r="KY67" s="100"/>
      <c r="KZ67" s="77"/>
      <c r="LA67" s="78"/>
      <c r="LB67" s="78"/>
      <c r="LC67" s="79"/>
      <c r="LD67" s="67"/>
      <c r="LF67" s="71"/>
      <c r="LG67" s="72"/>
      <c r="LH67" s="73"/>
      <c r="LI67" s="77"/>
      <c r="LJ67" s="78"/>
      <c r="LK67" s="78"/>
      <c r="LL67" s="79"/>
      <c r="LM67" s="67"/>
      <c r="LO67" s="98"/>
      <c r="LP67" s="99"/>
      <c r="LQ67" s="329"/>
      <c r="LR67" s="77"/>
      <c r="LS67" s="78"/>
      <c r="LT67" s="78"/>
      <c r="LU67" s="79"/>
      <c r="LV67" s="67"/>
      <c r="LX67" s="98"/>
      <c r="LY67" s="99"/>
      <c r="LZ67" s="100"/>
      <c r="MA67" s="77"/>
      <c r="MB67" s="78"/>
      <c r="MC67" s="78"/>
      <c r="MD67" s="79"/>
      <c r="ME67" s="67"/>
      <c r="MG67" s="98"/>
      <c r="MH67" s="99"/>
      <c r="MI67" s="100"/>
      <c r="MJ67" s="77"/>
      <c r="MK67" s="78"/>
      <c r="ML67" s="78"/>
      <c r="MM67" s="79"/>
      <c r="MN67" s="67"/>
      <c r="MP67" s="98"/>
      <c r="MQ67" s="99"/>
      <c r="MR67" s="100"/>
      <c r="MS67" s="77"/>
      <c r="MT67" s="78"/>
      <c r="MU67" s="78"/>
      <c r="MV67" s="79"/>
      <c r="MW67" s="67"/>
      <c r="MY67" s="98"/>
      <c r="MZ67" s="99"/>
      <c r="NA67" s="100"/>
      <c r="NB67" s="77"/>
      <c r="NC67" s="78"/>
      <c r="ND67" s="78"/>
      <c r="NE67" s="79"/>
      <c r="NF67" s="67"/>
      <c r="NH67" s="98"/>
      <c r="NI67" s="99"/>
      <c r="NJ67" s="329"/>
      <c r="NK67" s="77"/>
      <c r="NL67" s="78"/>
      <c r="NM67" s="78"/>
      <c r="NN67" s="79"/>
      <c r="NO67" s="67"/>
      <c r="NQ67" s="98"/>
      <c r="NR67" s="99"/>
      <c r="NS67" s="100"/>
      <c r="NT67" s="77"/>
      <c r="NU67" s="78"/>
      <c r="NV67" s="78"/>
      <c r="NW67" s="79"/>
      <c r="NX67" s="67"/>
      <c r="NZ67" s="71"/>
      <c r="OA67" s="72"/>
      <c r="OB67" s="73"/>
      <c r="OC67" s="77"/>
      <c r="OD67" s="78"/>
      <c r="OE67" s="78"/>
      <c r="OF67" s="79"/>
      <c r="OG67" s="67"/>
      <c r="OI67" s="98"/>
      <c r="OJ67" s="99"/>
      <c r="OK67" s="329"/>
      <c r="OL67" s="77"/>
      <c r="OM67" s="78"/>
      <c r="ON67" s="78"/>
      <c r="OO67" s="79"/>
      <c r="OP67" s="67"/>
      <c r="OR67" s="71"/>
      <c r="OS67" s="72"/>
      <c r="OT67" s="73"/>
      <c r="OU67" s="77"/>
      <c r="OV67" s="78"/>
      <c r="OW67" s="78"/>
      <c r="OX67" s="79"/>
      <c r="OY67" s="67"/>
      <c r="PA67" s="98"/>
      <c r="PB67" s="99"/>
      <c r="PC67" s="100"/>
      <c r="PD67" s="77"/>
      <c r="PE67" s="78"/>
      <c r="PF67" s="78"/>
      <c r="PG67" s="79"/>
      <c r="PH67" s="67"/>
      <c r="PJ67" s="68"/>
      <c r="PK67" s="69"/>
      <c r="PL67" s="70"/>
      <c r="PM67" s="77"/>
      <c r="PN67" s="78"/>
      <c r="PO67" s="78"/>
      <c r="PP67" s="79"/>
      <c r="PQ67" s="67"/>
      <c r="PS67" s="403"/>
      <c r="PT67" s="404"/>
      <c r="PU67" s="405"/>
      <c r="PV67" s="330"/>
      <c r="PW67" s="331"/>
      <c r="PX67" s="331"/>
      <c r="PY67" s="332"/>
      <c r="PZ67" s="333"/>
      <c r="QB67" s="71"/>
      <c r="QC67" s="72"/>
      <c r="QD67" s="73"/>
      <c r="QE67" s="77"/>
      <c r="QF67" s="78"/>
      <c r="QG67" s="78"/>
      <c r="QH67" s="79"/>
      <c r="QI67" s="67"/>
      <c r="QK67" s="283"/>
      <c r="QL67" s="284"/>
      <c r="QM67" s="285"/>
      <c r="QN67" s="77"/>
      <c r="QO67" s="78"/>
      <c r="QP67" s="78"/>
      <c r="QQ67" s="79"/>
      <c r="QR67" s="67" t="str">
        <f>IF(QM67="","",'Name List'!$I$4)</f>
        <v/>
      </c>
      <c r="QS67" s="91"/>
      <c r="QT67" s="107">
        <f t="shared" si="50"/>
        <v>0</v>
      </c>
      <c r="QU67" s="130">
        <f t="shared" si="51"/>
        <v>1</v>
      </c>
      <c r="QV67" s="130">
        <f t="shared" si="52"/>
        <v>6</v>
      </c>
      <c r="QW67" s="108">
        <f t="shared" si="53"/>
        <v>6</v>
      </c>
      <c r="QY67" s="260">
        <f t="shared" si="54"/>
        <v>2</v>
      </c>
      <c r="RA67" s="141">
        <f t="shared" si="55"/>
        <v>19</v>
      </c>
      <c r="RB67" s="106">
        <f t="shared" si="56"/>
        <v>14</v>
      </c>
      <c r="RC67" s="106">
        <f t="shared" si="57"/>
        <v>31</v>
      </c>
      <c r="RD67" s="106">
        <f t="shared" si="58"/>
        <v>10</v>
      </c>
      <c r="RE67" s="106">
        <f t="shared" si="59"/>
        <v>12</v>
      </c>
      <c r="RF67" s="142">
        <f t="shared" si="60"/>
        <v>24</v>
      </c>
      <c r="RG67" s="106"/>
      <c r="RH67" s="139">
        <f t="shared" si="61"/>
        <v>0</v>
      </c>
      <c r="RI67" s="140">
        <f t="shared" si="62"/>
        <v>0</v>
      </c>
      <c r="RJ67" s="106"/>
      <c r="RK67" s="136">
        <f t="shared" si="63"/>
        <v>27.5</v>
      </c>
      <c r="RL67" s="106"/>
      <c r="RM67" s="137">
        <f t="shared" si="64"/>
        <v>0</v>
      </c>
      <c r="RN67" s="138">
        <f t="shared" si="65"/>
        <v>0</v>
      </c>
      <c r="RO67" s="106"/>
      <c r="RP67" s="259">
        <f t="shared" si="66"/>
        <v>0</v>
      </c>
    </row>
    <row r="68" spans="1:484" x14ac:dyDescent="0.2">
      <c r="A68" s="89" t="str">
        <f>'Name List'!B68</f>
        <v>Oliver Proud</v>
      </c>
      <c r="C68" s="98"/>
      <c r="D68" s="99"/>
      <c r="E68" s="329" t="str">
        <f t="shared" si="0"/>
        <v/>
      </c>
      <c r="F68" s="77"/>
      <c r="G68" s="78"/>
      <c r="H68" s="78"/>
      <c r="I68" s="79"/>
      <c r="J68" s="333" t="str">
        <f>IF(E68="","",'Name List'!$I$4)</f>
        <v/>
      </c>
      <c r="L68" s="98"/>
      <c r="M68" s="99"/>
      <c r="N68" s="100"/>
      <c r="O68" s="77"/>
      <c r="P68" s="78"/>
      <c r="Q68" s="78"/>
      <c r="R68" s="79"/>
      <c r="S68" s="67"/>
      <c r="U68" s="71"/>
      <c r="V68" s="72"/>
      <c r="W68" s="396" t="str">
        <f t="shared" si="2"/>
        <v/>
      </c>
      <c r="X68" s="77"/>
      <c r="Y68" s="78"/>
      <c r="Z68" s="78"/>
      <c r="AA68" s="79"/>
      <c r="AB68" s="333" t="str">
        <f>IF(W68="","",'Name List'!$I$4)</f>
        <v/>
      </c>
      <c r="AD68" s="98">
        <v>14</v>
      </c>
      <c r="AE68" s="99">
        <v>5</v>
      </c>
      <c r="AF68" s="329">
        <f t="shared" si="3"/>
        <v>19</v>
      </c>
      <c r="AG68" s="77">
        <v>0</v>
      </c>
      <c r="AH68" s="78">
        <v>0</v>
      </c>
      <c r="AI68" s="78">
        <v>3</v>
      </c>
      <c r="AJ68" s="79">
        <v>7</v>
      </c>
      <c r="AK68" s="333">
        <f>IF(AF68="","",'Name List'!$I$4)</f>
        <v>5</v>
      </c>
      <c r="AM68" s="98"/>
      <c r="AN68" s="99"/>
      <c r="AO68" s="329" t="str">
        <f t="shared" si="4"/>
        <v/>
      </c>
      <c r="AP68" s="77"/>
      <c r="AQ68" s="78"/>
      <c r="AR68" s="78"/>
      <c r="AS68" s="79"/>
      <c r="AT68" s="333" t="str">
        <f>IF(AO68="","",'Name List'!$I$4)</f>
        <v/>
      </c>
      <c r="AV68" s="458"/>
      <c r="AW68" s="401"/>
      <c r="AX68" s="400" t="str">
        <f t="shared" si="5"/>
        <v/>
      </c>
      <c r="AY68" s="77"/>
      <c r="AZ68" s="78"/>
      <c r="BA68" s="78"/>
      <c r="BB68" s="79"/>
      <c r="BC68" s="457" t="str">
        <f>IF(AX68="","",'Name List'!$I$4)</f>
        <v/>
      </c>
      <c r="BE68" s="71"/>
      <c r="BF68" s="72"/>
      <c r="BG68" s="383" t="str">
        <f t="shared" si="6"/>
        <v/>
      </c>
      <c r="BH68" s="77"/>
      <c r="BI68" s="78"/>
      <c r="BJ68" s="78"/>
      <c r="BK68" s="79"/>
      <c r="BL68" s="333" t="str">
        <f>IF(BG68="","",'Name List'!$I$4)</f>
        <v/>
      </c>
      <c r="BN68" s="98"/>
      <c r="BO68" s="99"/>
      <c r="BP68" s="100"/>
      <c r="BQ68" s="77"/>
      <c r="BR68" s="78"/>
      <c r="BS68" s="78"/>
      <c r="BT68" s="79"/>
      <c r="BU68" s="67"/>
      <c r="BW68" s="98"/>
      <c r="BX68" s="99"/>
      <c r="BY68" s="329" t="str">
        <f t="shared" si="8"/>
        <v/>
      </c>
      <c r="BZ68" s="77"/>
      <c r="CA68" s="78"/>
      <c r="CB68" s="78"/>
      <c r="CC68" s="79"/>
      <c r="CD68" s="333" t="str">
        <f>IF(BY68="","",'Name List'!$I$4)</f>
        <v/>
      </c>
      <c r="CF68" s="68"/>
      <c r="CG68" s="69"/>
      <c r="CH68" s="282" t="str">
        <f t="shared" si="49"/>
        <v/>
      </c>
      <c r="CI68" s="77"/>
      <c r="CJ68" s="78"/>
      <c r="CK68" s="78"/>
      <c r="CL68" s="79"/>
      <c r="CM68" s="333" t="str">
        <f>IF(CH68="","",'Name List'!$I$4)</f>
        <v/>
      </c>
      <c r="CO68" s="71"/>
      <c r="CP68" s="72"/>
      <c r="CQ68" s="383" t="str">
        <f t="shared" si="9"/>
        <v/>
      </c>
      <c r="CR68" s="77"/>
      <c r="CS68" s="78"/>
      <c r="CT68" s="78"/>
      <c r="CU68" s="79"/>
      <c r="CV68" s="333" t="str">
        <f>IF(CQ68="","",'Name List'!$I$4)</f>
        <v/>
      </c>
      <c r="CX68" s="98"/>
      <c r="CY68" s="99"/>
      <c r="CZ68" s="329" t="str">
        <f t="shared" si="10"/>
        <v/>
      </c>
      <c r="DA68" s="77"/>
      <c r="DB68" s="78"/>
      <c r="DC68" s="78"/>
      <c r="DD68" s="79"/>
      <c r="DE68" s="333" t="str">
        <f>IF(CZ68="","",'Name List'!$I$4)</f>
        <v/>
      </c>
      <c r="DG68" s="98"/>
      <c r="DH68" s="99"/>
      <c r="DI68" s="329" t="str">
        <f t="shared" si="11"/>
        <v/>
      </c>
      <c r="DJ68" s="77"/>
      <c r="DK68" s="78"/>
      <c r="DL68" s="78"/>
      <c r="DM68" s="79"/>
      <c r="DN68" s="333" t="str">
        <f>IF(DI68="","",'Name List'!$I$4)</f>
        <v/>
      </c>
      <c r="DP68" s="98"/>
      <c r="DQ68" s="99"/>
      <c r="DR68" s="329" t="str">
        <f t="shared" si="12"/>
        <v/>
      </c>
      <c r="DS68" s="77"/>
      <c r="DT68" s="78"/>
      <c r="DU68" s="78"/>
      <c r="DV68" s="79"/>
      <c r="DW68" s="333" t="str">
        <f>IF(DR68="","",'Name List'!$I$4)</f>
        <v/>
      </c>
      <c r="DY68" s="98"/>
      <c r="DZ68" s="99"/>
      <c r="EA68" s="329" t="str">
        <f t="shared" si="13"/>
        <v/>
      </c>
      <c r="EB68" s="77"/>
      <c r="EC68" s="78"/>
      <c r="ED68" s="78"/>
      <c r="EE68" s="79"/>
      <c r="EF68" s="333" t="str">
        <f>IF(EA68="","",'Name List'!$I$4)</f>
        <v/>
      </c>
      <c r="EH68" s="98"/>
      <c r="EI68" s="99"/>
      <c r="EJ68" s="329" t="str">
        <f t="shared" si="14"/>
        <v/>
      </c>
      <c r="EK68" s="77"/>
      <c r="EL68" s="78"/>
      <c r="EM68" s="78"/>
      <c r="EN68" s="79"/>
      <c r="EO68" s="333" t="str">
        <f>IF(EJ68="","",'Name List'!$I$4)</f>
        <v/>
      </c>
      <c r="EQ68" s="115"/>
      <c r="ER68" s="116"/>
      <c r="ES68" s="117"/>
      <c r="ET68" s="77"/>
      <c r="EU68" s="78"/>
      <c r="EV68" s="78"/>
      <c r="EW68" s="79"/>
      <c r="EX68" s="333" t="str">
        <f>IF(ES68="","",'Name List'!$I$4)</f>
        <v/>
      </c>
      <c r="EZ68" s="68"/>
      <c r="FA68" s="69"/>
      <c r="FB68" s="70"/>
      <c r="FC68" s="77"/>
      <c r="FD68" s="78"/>
      <c r="FE68" s="78"/>
      <c r="FF68" s="79"/>
      <c r="FG68" s="67"/>
      <c r="FI68" s="98"/>
      <c r="FJ68" s="99"/>
      <c r="FK68" s="329" t="str">
        <f t="shared" si="16"/>
        <v/>
      </c>
      <c r="FL68" s="77"/>
      <c r="FM68" s="78"/>
      <c r="FN68" s="78"/>
      <c r="FO68" s="79"/>
      <c r="FP68" s="333" t="str">
        <f>IF(FK68="","",'Name List'!$I$4)</f>
        <v/>
      </c>
      <c r="FR68" s="98"/>
      <c r="FS68" s="99"/>
      <c r="FT68" s="329" t="str">
        <f t="shared" si="17"/>
        <v/>
      </c>
      <c r="FU68" s="77"/>
      <c r="FV68" s="78"/>
      <c r="FW68" s="78"/>
      <c r="FX68" s="79"/>
      <c r="FY68" s="333" t="str">
        <f>IF(FT68="","",'Name List'!$I$4)</f>
        <v/>
      </c>
      <c r="GA68" s="98"/>
      <c r="GB68" s="99"/>
      <c r="GC68" s="329" t="str">
        <f t="shared" si="18"/>
        <v/>
      </c>
      <c r="GD68" s="77"/>
      <c r="GE68" s="78"/>
      <c r="GF68" s="78"/>
      <c r="GG68" s="79"/>
      <c r="GH68" s="333" t="str">
        <f>IF(GC68="","",'Name List'!$I$4)</f>
        <v/>
      </c>
      <c r="GJ68" s="98"/>
      <c r="GK68" s="99"/>
      <c r="GL68" s="329" t="str">
        <f t="shared" si="19"/>
        <v/>
      </c>
      <c r="GM68" s="77"/>
      <c r="GN68" s="78"/>
      <c r="GO68" s="78"/>
      <c r="GP68" s="79"/>
      <c r="GQ68" s="333" t="str">
        <f>IF(GL68="","",'Name List'!$I$4)</f>
        <v/>
      </c>
      <c r="GS68" s="68"/>
      <c r="GT68" s="69"/>
      <c r="GU68" s="70"/>
      <c r="GV68" s="77"/>
      <c r="GW68" s="78"/>
      <c r="GX68" s="78"/>
      <c r="GY68" s="79"/>
      <c r="GZ68" s="67"/>
      <c r="HB68" s="98"/>
      <c r="HC68" s="99"/>
      <c r="HD68" s="329" t="str">
        <f t="shared" si="21"/>
        <v/>
      </c>
      <c r="HE68" s="77"/>
      <c r="HF68" s="78"/>
      <c r="HG68" s="78"/>
      <c r="HH68" s="79"/>
      <c r="HI68" s="333" t="str">
        <f>IF(HD68="","",'Name List'!$I$4)</f>
        <v/>
      </c>
      <c r="HK68" s="71"/>
      <c r="HL68" s="72"/>
      <c r="HM68" s="383" t="str">
        <f t="shared" si="22"/>
        <v/>
      </c>
      <c r="HN68" s="77"/>
      <c r="HO68" s="78"/>
      <c r="HP68" s="78"/>
      <c r="HQ68" s="79"/>
      <c r="HR68" s="333" t="str">
        <f>IF(HM68="","",'Name List'!$I$4)</f>
        <v/>
      </c>
      <c r="HT68" s="68"/>
      <c r="HU68" s="69"/>
      <c r="HV68" s="70"/>
      <c r="HW68" s="77"/>
      <c r="HX68" s="78"/>
      <c r="HY68" s="78"/>
      <c r="HZ68" s="79"/>
      <c r="IA68" s="67"/>
      <c r="IC68" s="115"/>
      <c r="ID68" s="116"/>
      <c r="IE68" s="117"/>
      <c r="IF68" s="77"/>
      <c r="IG68" s="78"/>
      <c r="IH68" s="78"/>
      <c r="II68" s="79"/>
      <c r="IJ68" s="333" t="str">
        <f>IF(IE68="","",'Name List'!$I$4)</f>
        <v/>
      </c>
      <c r="IL68" s="98"/>
      <c r="IM68" s="99"/>
      <c r="IN68" s="100"/>
      <c r="IO68" s="77"/>
      <c r="IP68" s="78"/>
      <c r="IQ68" s="78"/>
      <c r="IR68" s="79"/>
      <c r="IS68" s="67"/>
      <c r="IU68" s="98"/>
      <c r="IV68" s="99"/>
      <c r="IW68" s="100"/>
      <c r="IX68" s="77"/>
      <c r="IY68" s="78"/>
      <c r="IZ68" s="78"/>
      <c r="JA68" s="79"/>
      <c r="JB68" s="67"/>
      <c r="JD68" s="98"/>
      <c r="JE68" s="99"/>
      <c r="JF68" s="100"/>
      <c r="JG68" s="77"/>
      <c r="JH68" s="78"/>
      <c r="JI68" s="78"/>
      <c r="JJ68" s="79"/>
      <c r="JK68" s="67"/>
      <c r="JM68" s="98"/>
      <c r="JN68" s="99"/>
      <c r="JO68" s="275"/>
      <c r="JP68" s="77"/>
      <c r="JQ68" s="78"/>
      <c r="JR68" s="78"/>
      <c r="JS68" s="79"/>
      <c r="JT68" s="67"/>
      <c r="JV68" s="98"/>
      <c r="JW68" s="99"/>
      <c r="JX68" s="100"/>
      <c r="JY68" s="77"/>
      <c r="JZ68" s="78"/>
      <c r="KA68" s="78"/>
      <c r="KB68" s="79"/>
      <c r="KC68" s="67"/>
      <c r="KE68" s="98"/>
      <c r="KF68" s="99"/>
      <c r="KG68" s="100"/>
      <c r="KH68" s="77"/>
      <c r="KI68" s="78"/>
      <c r="KJ68" s="78"/>
      <c r="KK68" s="79"/>
      <c r="KL68" s="67"/>
      <c r="KN68" s="68"/>
      <c r="KO68" s="69"/>
      <c r="KP68" s="70"/>
      <c r="KQ68" s="77"/>
      <c r="KR68" s="78"/>
      <c r="KS68" s="78"/>
      <c r="KT68" s="79"/>
      <c r="KU68" s="67"/>
      <c r="KW68" s="98"/>
      <c r="KX68" s="99"/>
      <c r="KY68" s="100"/>
      <c r="KZ68" s="77"/>
      <c r="LA68" s="78"/>
      <c r="LB68" s="78"/>
      <c r="LC68" s="79"/>
      <c r="LD68" s="67"/>
      <c r="LF68" s="71"/>
      <c r="LG68" s="72"/>
      <c r="LH68" s="73"/>
      <c r="LI68" s="77"/>
      <c r="LJ68" s="78"/>
      <c r="LK68" s="78"/>
      <c r="LL68" s="79"/>
      <c r="LM68" s="67"/>
      <c r="LO68" s="98"/>
      <c r="LP68" s="99"/>
      <c r="LQ68" s="329"/>
      <c r="LR68" s="77"/>
      <c r="LS68" s="78"/>
      <c r="LT68" s="78"/>
      <c r="LU68" s="79"/>
      <c r="LV68" s="67"/>
      <c r="LX68" s="98"/>
      <c r="LY68" s="99"/>
      <c r="LZ68" s="100"/>
      <c r="MA68" s="77"/>
      <c r="MB68" s="78"/>
      <c r="MC68" s="78"/>
      <c r="MD68" s="79"/>
      <c r="ME68" s="67"/>
      <c r="MG68" s="98"/>
      <c r="MH68" s="99"/>
      <c r="MI68" s="100"/>
      <c r="MJ68" s="77"/>
      <c r="MK68" s="78"/>
      <c r="ML68" s="78"/>
      <c r="MM68" s="79"/>
      <c r="MN68" s="67"/>
      <c r="MP68" s="98"/>
      <c r="MQ68" s="99"/>
      <c r="MR68" s="100"/>
      <c r="MS68" s="77"/>
      <c r="MT68" s="78"/>
      <c r="MU68" s="78"/>
      <c r="MV68" s="79"/>
      <c r="MW68" s="67"/>
      <c r="MY68" s="98"/>
      <c r="MZ68" s="99"/>
      <c r="NA68" s="100"/>
      <c r="NB68" s="77"/>
      <c r="NC68" s="78"/>
      <c r="ND68" s="78"/>
      <c r="NE68" s="79"/>
      <c r="NF68" s="67"/>
      <c r="NH68" s="98"/>
      <c r="NI68" s="99"/>
      <c r="NJ68" s="329"/>
      <c r="NK68" s="77"/>
      <c r="NL68" s="78"/>
      <c r="NM68" s="78"/>
      <c r="NN68" s="79"/>
      <c r="NO68" s="67"/>
      <c r="NQ68" s="98"/>
      <c r="NR68" s="99"/>
      <c r="NS68" s="100"/>
      <c r="NT68" s="77"/>
      <c r="NU68" s="78"/>
      <c r="NV68" s="78"/>
      <c r="NW68" s="79"/>
      <c r="NX68" s="67"/>
      <c r="NZ68" s="71"/>
      <c r="OA68" s="72"/>
      <c r="OB68" s="73"/>
      <c r="OC68" s="77"/>
      <c r="OD68" s="78"/>
      <c r="OE68" s="78"/>
      <c r="OF68" s="79"/>
      <c r="OG68" s="67"/>
      <c r="OI68" s="98"/>
      <c r="OJ68" s="99"/>
      <c r="OK68" s="329"/>
      <c r="OL68" s="77"/>
      <c r="OM68" s="78"/>
      <c r="ON68" s="78"/>
      <c r="OO68" s="79"/>
      <c r="OP68" s="67"/>
      <c r="OR68" s="71"/>
      <c r="OS68" s="72"/>
      <c r="OT68" s="73"/>
      <c r="OU68" s="77"/>
      <c r="OV68" s="78"/>
      <c r="OW68" s="78"/>
      <c r="OX68" s="79"/>
      <c r="OY68" s="67"/>
      <c r="PA68" s="98"/>
      <c r="PB68" s="99"/>
      <c r="PC68" s="100"/>
      <c r="PD68" s="77"/>
      <c r="PE68" s="78"/>
      <c r="PF68" s="78"/>
      <c r="PG68" s="79"/>
      <c r="PH68" s="67"/>
      <c r="PJ68" s="68"/>
      <c r="PK68" s="69"/>
      <c r="PL68" s="70"/>
      <c r="PM68" s="77"/>
      <c r="PN68" s="78"/>
      <c r="PO68" s="78"/>
      <c r="PP68" s="79"/>
      <c r="PQ68" s="67"/>
      <c r="PS68" s="403"/>
      <c r="PT68" s="404"/>
      <c r="PU68" s="405"/>
      <c r="PV68" s="330"/>
      <c r="PW68" s="331"/>
      <c r="PX68" s="331"/>
      <c r="PY68" s="332"/>
      <c r="PZ68" s="333"/>
      <c r="QB68" s="71"/>
      <c r="QC68" s="72"/>
      <c r="QD68" s="73"/>
      <c r="QE68" s="77"/>
      <c r="QF68" s="78"/>
      <c r="QG68" s="78"/>
      <c r="QH68" s="79"/>
      <c r="QI68" s="67"/>
      <c r="QK68" s="283"/>
      <c r="QL68" s="284"/>
      <c r="QM68" s="285"/>
      <c r="QN68" s="77"/>
      <c r="QO68" s="78"/>
      <c r="QP68" s="78"/>
      <c r="QQ68" s="79"/>
      <c r="QR68" s="67" t="str">
        <f>IF(QM68="","",'Name List'!$I$4)</f>
        <v/>
      </c>
      <c r="QS68" s="91"/>
      <c r="QT68" s="107">
        <f t="shared" si="50"/>
        <v>0</v>
      </c>
      <c r="QU68" s="130">
        <f t="shared" si="51"/>
        <v>0</v>
      </c>
      <c r="QV68" s="130">
        <f t="shared" si="52"/>
        <v>3</v>
      </c>
      <c r="QW68" s="108">
        <f t="shared" si="53"/>
        <v>7</v>
      </c>
      <c r="QY68" s="260">
        <f t="shared" si="54"/>
        <v>1</v>
      </c>
      <c r="RA68" s="141">
        <f t="shared" si="55"/>
        <v>14</v>
      </c>
      <c r="RB68" s="106">
        <f t="shared" si="56"/>
        <v>5</v>
      </c>
      <c r="RC68" s="106">
        <f t="shared" si="57"/>
        <v>19</v>
      </c>
      <c r="RD68" s="106">
        <f t="shared" si="58"/>
        <v>14</v>
      </c>
      <c r="RE68" s="106">
        <f t="shared" si="59"/>
        <v>5</v>
      </c>
      <c r="RF68" s="142">
        <f t="shared" si="60"/>
        <v>19</v>
      </c>
      <c r="RG68" s="106"/>
      <c r="RH68" s="139">
        <f t="shared" si="61"/>
        <v>0</v>
      </c>
      <c r="RI68" s="140">
        <f t="shared" si="62"/>
        <v>0</v>
      </c>
      <c r="RJ68" s="106"/>
      <c r="RK68" s="136">
        <f t="shared" si="63"/>
        <v>19</v>
      </c>
      <c r="RL68" s="106"/>
      <c r="RM68" s="137">
        <f t="shared" si="64"/>
        <v>0</v>
      </c>
      <c r="RN68" s="138">
        <f t="shared" si="65"/>
        <v>0</v>
      </c>
      <c r="RO68" s="106"/>
      <c r="RP68" s="259">
        <f t="shared" si="66"/>
        <v>0</v>
      </c>
    </row>
    <row r="69" spans="1:484" x14ac:dyDescent="0.2">
      <c r="A69" s="89" t="str">
        <f>'Name List'!B69</f>
        <v>Joe Hooper</v>
      </c>
      <c r="C69" s="98"/>
      <c r="D69" s="99"/>
      <c r="E69" s="329" t="str">
        <f t="shared" si="0"/>
        <v/>
      </c>
      <c r="F69" s="77"/>
      <c r="G69" s="78"/>
      <c r="H69" s="78"/>
      <c r="I69" s="79"/>
      <c r="J69" s="333" t="str">
        <f>IF(E69="","",'Name List'!$I$4)</f>
        <v/>
      </c>
      <c r="L69" s="98"/>
      <c r="M69" s="99"/>
      <c r="N69" s="100"/>
      <c r="O69" s="77"/>
      <c r="P69" s="78"/>
      <c r="Q69" s="78"/>
      <c r="R69" s="79"/>
      <c r="S69" s="67"/>
      <c r="U69" s="71"/>
      <c r="V69" s="72"/>
      <c r="W69" s="396"/>
      <c r="X69" s="77"/>
      <c r="Y69" s="78"/>
      <c r="Z69" s="78"/>
      <c r="AA69" s="79"/>
      <c r="AB69" s="333" t="str">
        <f>IF(W69="","",'Name List'!$I$4)</f>
        <v/>
      </c>
      <c r="AD69" s="98"/>
      <c r="AE69" s="99"/>
      <c r="AF69" s="329" t="str">
        <f t="shared" si="3"/>
        <v/>
      </c>
      <c r="AG69" s="77"/>
      <c r="AH69" s="78"/>
      <c r="AI69" s="78"/>
      <c r="AJ69" s="79"/>
      <c r="AK69" s="333" t="str">
        <f>IF(AF69="","",'Name List'!$I$4)</f>
        <v/>
      </c>
      <c r="AM69" s="98">
        <v>19</v>
      </c>
      <c r="AN69" s="99">
        <v>13</v>
      </c>
      <c r="AO69" s="329">
        <f t="shared" si="4"/>
        <v>32</v>
      </c>
      <c r="AP69" s="77">
        <v>0</v>
      </c>
      <c r="AQ69" s="78">
        <v>6</v>
      </c>
      <c r="AR69" s="78">
        <v>5</v>
      </c>
      <c r="AS69" s="79">
        <v>1</v>
      </c>
      <c r="AT69" s="333">
        <f>IF(AO69="","",'Name List'!$I$4)</f>
        <v>5</v>
      </c>
      <c r="AV69" s="458">
        <v>20</v>
      </c>
      <c r="AW69" s="401">
        <v>17</v>
      </c>
      <c r="AX69" s="400">
        <f t="shared" si="5"/>
        <v>37</v>
      </c>
      <c r="AY69" s="77">
        <v>0</v>
      </c>
      <c r="AZ69" s="78">
        <v>5</v>
      </c>
      <c r="BA69" s="78">
        <v>12</v>
      </c>
      <c r="BB69" s="79">
        <v>0</v>
      </c>
      <c r="BC69" s="457">
        <f>IF(AX69="","",'Name List'!$I$4)</f>
        <v>5</v>
      </c>
      <c r="BE69" s="71">
        <v>18</v>
      </c>
      <c r="BF69" s="72">
        <v>14</v>
      </c>
      <c r="BG69" s="383">
        <f t="shared" si="6"/>
        <v>32</v>
      </c>
      <c r="BH69" s="77">
        <v>0</v>
      </c>
      <c r="BI69" s="78">
        <v>2</v>
      </c>
      <c r="BJ69" s="78">
        <v>12</v>
      </c>
      <c r="BK69" s="79">
        <v>1</v>
      </c>
      <c r="BL69" s="333">
        <f>IF(BG69="","",'Name List'!$I$4)</f>
        <v>5</v>
      </c>
      <c r="BN69" s="98"/>
      <c r="BO69" s="99"/>
      <c r="BP69" s="100"/>
      <c r="BQ69" s="77"/>
      <c r="BR69" s="78"/>
      <c r="BS69" s="78"/>
      <c r="BT69" s="79"/>
      <c r="BU69" s="67"/>
      <c r="BW69" s="98"/>
      <c r="BX69" s="99"/>
      <c r="BY69" s="329" t="str">
        <f t="shared" si="8"/>
        <v/>
      </c>
      <c r="BZ69" s="77"/>
      <c r="CA69" s="78"/>
      <c r="CB69" s="78"/>
      <c r="CC69" s="79"/>
      <c r="CD69" s="333" t="str">
        <f>IF(BY69="","",'Name List'!$I$4)</f>
        <v/>
      </c>
      <c r="CF69" s="68"/>
      <c r="CG69" s="69"/>
      <c r="CH69" s="282" t="str">
        <f t="shared" si="49"/>
        <v/>
      </c>
      <c r="CI69" s="77"/>
      <c r="CJ69" s="78"/>
      <c r="CK69" s="78"/>
      <c r="CL69" s="79"/>
      <c r="CM69" s="333" t="str">
        <f>IF(CH69="","",'Name List'!$I$4)</f>
        <v/>
      </c>
      <c r="CO69" s="71"/>
      <c r="CP69" s="72"/>
      <c r="CQ69" s="383" t="str">
        <f t="shared" si="9"/>
        <v/>
      </c>
      <c r="CR69" s="77"/>
      <c r="CS69" s="78"/>
      <c r="CT69" s="78"/>
      <c r="CU69" s="79"/>
      <c r="CV69" s="333" t="str">
        <f>IF(CQ69="","",'Name List'!$I$4)</f>
        <v/>
      </c>
      <c r="CX69" s="98"/>
      <c r="CY69" s="99"/>
      <c r="CZ69" s="329" t="str">
        <f t="shared" si="10"/>
        <v/>
      </c>
      <c r="DA69" s="77"/>
      <c r="DB69" s="78"/>
      <c r="DC69" s="78"/>
      <c r="DD69" s="79"/>
      <c r="DE69" s="333" t="str">
        <f>IF(CZ69="","",'Name List'!$I$4)</f>
        <v/>
      </c>
      <c r="DG69" s="98"/>
      <c r="DH69" s="99"/>
      <c r="DI69" s="329" t="str">
        <f t="shared" si="11"/>
        <v/>
      </c>
      <c r="DJ69" s="77"/>
      <c r="DK69" s="78"/>
      <c r="DL69" s="78"/>
      <c r="DM69" s="79"/>
      <c r="DN69" s="333" t="str">
        <f>IF(DI69="","",'Name List'!$I$4)</f>
        <v/>
      </c>
      <c r="DP69" s="98">
        <v>15</v>
      </c>
      <c r="DQ69" s="99">
        <v>18</v>
      </c>
      <c r="DR69" s="329">
        <f t="shared" si="12"/>
        <v>33</v>
      </c>
      <c r="DS69" s="77">
        <v>0</v>
      </c>
      <c r="DT69" s="78">
        <v>4</v>
      </c>
      <c r="DU69" s="78">
        <v>10</v>
      </c>
      <c r="DV69" s="79">
        <v>0</v>
      </c>
      <c r="DW69" s="333">
        <f>IF(DR69="","",'Name List'!$I$4)</f>
        <v>5</v>
      </c>
      <c r="DY69" s="98"/>
      <c r="DZ69" s="99"/>
      <c r="EA69" s="329" t="str">
        <f t="shared" si="13"/>
        <v/>
      </c>
      <c r="EB69" s="77"/>
      <c r="EC69" s="78"/>
      <c r="ED69" s="78"/>
      <c r="EE69" s="79"/>
      <c r="EF69" s="333" t="str">
        <f>IF(EA69="","",'Name List'!$I$4)</f>
        <v/>
      </c>
      <c r="EH69" s="98"/>
      <c r="EI69" s="99"/>
      <c r="EJ69" s="329" t="str">
        <f t="shared" si="14"/>
        <v/>
      </c>
      <c r="EK69" s="77"/>
      <c r="EL69" s="78"/>
      <c r="EM69" s="78"/>
      <c r="EN69" s="79"/>
      <c r="EO69" s="333" t="str">
        <f>IF(EJ69="","",'Name List'!$I$4)</f>
        <v/>
      </c>
      <c r="EQ69" s="115"/>
      <c r="ER69" s="116"/>
      <c r="ES69" s="117"/>
      <c r="ET69" s="77"/>
      <c r="EU69" s="78"/>
      <c r="EV69" s="78"/>
      <c r="EW69" s="79"/>
      <c r="EX69" s="333" t="str">
        <f>IF(ES69="","",'Name List'!$I$4)</f>
        <v/>
      </c>
      <c r="EZ69" s="68"/>
      <c r="FA69" s="69"/>
      <c r="FB69" s="70"/>
      <c r="FC69" s="77"/>
      <c r="FD69" s="78"/>
      <c r="FE69" s="78"/>
      <c r="FF69" s="79"/>
      <c r="FG69" s="67"/>
      <c r="FI69" s="98"/>
      <c r="FJ69" s="99"/>
      <c r="FK69" s="329" t="str">
        <f t="shared" si="16"/>
        <v/>
      </c>
      <c r="FL69" s="77"/>
      <c r="FM69" s="78"/>
      <c r="FN69" s="78"/>
      <c r="FO69" s="79"/>
      <c r="FP69" s="333" t="str">
        <f>IF(FK69="","",'Name List'!$I$4)</f>
        <v/>
      </c>
      <c r="FR69" s="98"/>
      <c r="FS69" s="99"/>
      <c r="FT69" s="329" t="str">
        <f t="shared" si="17"/>
        <v/>
      </c>
      <c r="FU69" s="77"/>
      <c r="FV69" s="78"/>
      <c r="FW69" s="78"/>
      <c r="FX69" s="79"/>
      <c r="FY69" s="333" t="str">
        <f>IF(FT69="","",'Name List'!$I$4)</f>
        <v/>
      </c>
      <c r="GA69" s="98"/>
      <c r="GB69" s="99"/>
      <c r="GC69" s="329" t="str">
        <f t="shared" si="18"/>
        <v/>
      </c>
      <c r="GD69" s="77"/>
      <c r="GE69" s="78"/>
      <c r="GF69" s="78"/>
      <c r="GG69" s="79"/>
      <c r="GH69" s="333" t="str">
        <f>IF(GC69="","",'Name List'!$I$4)</f>
        <v/>
      </c>
      <c r="GJ69" s="98"/>
      <c r="GK69" s="99"/>
      <c r="GL69" s="329" t="str">
        <f t="shared" si="19"/>
        <v/>
      </c>
      <c r="GM69" s="77"/>
      <c r="GN69" s="78"/>
      <c r="GO69" s="78"/>
      <c r="GP69" s="79"/>
      <c r="GQ69" s="333" t="str">
        <f>IF(GL69="","",'Name List'!$I$4)</f>
        <v/>
      </c>
      <c r="GS69" s="68"/>
      <c r="GT69" s="69"/>
      <c r="GU69" s="70"/>
      <c r="GV69" s="77"/>
      <c r="GW69" s="78"/>
      <c r="GX69" s="78"/>
      <c r="GY69" s="79"/>
      <c r="GZ69" s="67"/>
      <c r="HB69" s="98"/>
      <c r="HC69" s="99"/>
      <c r="HD69" s="329" t="str">
        <f t="shared" si="21"/>
        <v/>
      </c>
      <c r="HE69" s="77"/>
      <c r="HF69" s="78"/>
      <c r="HG69" s="78"/>
      <c r="HH69" s="79"/>
      <c r="HI69" s="333" t="str">
        <f>IF(HD69="","",'Name List'!$I$4)</f>
        <v/>
      </c>
      <c r="HK69" s="71"/>
      <c r="HL69" s="72"/>
      <c r="HM69" s="383" t="str">
        <f t="shared" si="22"/>
        <v/>
      </c>
      <c r="HN69" s="77"/>
      <c r="HO69" s="78"/>
      <c r="HP69" s="78"/>
      <c r="HQ69" s="79"/>
      <c r="HR69" s="333" t="str">
        <f>IF(HM69="","",'Name List'!$I$4)</f>
        <v/>
      </c>
      <c r="HT69" s="68"/>
      <c r="HU69" s="69"/>
      <c r="HV69" s="70"/>
      <c r="HW69" s="77"/>
      <c r="HX69" s="78"/>
      <c r="HY69" s="78"/>
      <c r="HZ69" s="79"/>
      <c r="IA69" s="67"/>
      <c r="IC69" s="115"/>
      <c r="ID69" s="116"/>
      <c r="IE69" s="117"/>
      <c r="IF69" s="77"/>
      <c r="IG69" s="78"/>
      <c r="IH69" s="78"/>
      <c r="II69" s="79"/>
      <c r="IJ69" s="333" t="str">
        <f>IF(IE69="","",'Name List'!$I$4)</f>
        <v/>
      </c>
      <c r="IL69" s="98"/>
      <c r="IM69" s="99"/>
      <c r="IN69" s="100"/>
      <c r="IO69" s="77"/>
      <c r="IP69" s="78"/>
      <c r="IQ69" s="78"/>
      <c r="IR69" s="79"/>
      <c r="IS69" s="67"/>
      <c r="IU69" s="98"/>
      <c r="IV69" s="99"/>
      <c r="IW69" s="100"/>
      <c r="IX69" s="77"/>
      <c r="IY69" s="78"/>
      <c r="IZ69" s="78"/>
      <c r="JA69" s="79"/>
      <c r="JB69" s="67"/>
      <c r="JD69" s="98"/>
      <c r="JE69" s="99"/>
      <c r="JF69" s="100"/>
      <c r="JG69" s="77"/>
      <c r="JH69" s="78"/>
      <c r="JI69" s="78"/>
      <c r="JJ69" s="79"/>
      <c r="JK69" s="67"/>
      <c r="JM69" s="98"/>
      <c r="JN69" s="99"/>
      <c r="JO69" s="275"/>
      <c r="JP69" s="77"/>
      <c r="JQ69" s="78"/>
      <c r="JR69" s="78"/>
      <c r="JS69" s="79"/>
      <c r="JT69" s="67"/>
      <c r="JV69" s="98"/>
      <c r="JW69" s="99"/>
      <c r="JX69" s="100"/>
      <c r="JY69" s="77"/>
      <c r="JZ69" s="78"/>
      <c r="KA69" s="78"/>
      <c r="KB69" s="79"/>
      <c r="KC69" s="67"/>
      <c r="KE69" s="98"/>
      <c r="KF69" s="99"/>
      <c r="KG69" s="100"/>
      <c r="KH69" s="77"/>
      <c r="KI69" s="78"/>
      <c r="KJ69" s="78"/>
      <c r="KK69" s="79"/>
      <c r="KL69" s="67"/>
      <c r="KN69" s="68"/>
      <c r="KO69" s="69"/>
      <c r="KP69" s="70"/>
      <c r="KQ69" s="77"/>
      <c r="KR69" s="78"/>
      <c r="KS69" s="78"/>
      <c r="KT69" s="79"/>
      <c r="KU69" s="67"/>
      <c r="KW69" s="98"/>
      <c r="KX69" s="99"/>
      <c r="KY69" s="100"/>
      <c r="KZ69" s="77"/>
      <c r="LA69" s="78"/>
      <c r="LB69" s="78"/>
      <c r="LC69" s="79"/>
      <c r="LD69" s="67"/>
      <c r="LF69" s="71"/>
      <c r="LG69" s="72"/>
      <c r="LH69" s="73"/>
      <c r="LI69" s="77"/>
      <c r="LJ69" s="78"/>
      <c r="LK69" s="78"/>
      <c r="LL69" s="79"/>
      <c r="LM69" s="67"/>
      <c r="LO69" s="98"/>
      <c r="LP69" s="99"/>
      <c r="LQ69" s="329"/>
      <c r="LR69" s="77"/>
      <c r="LS69" s="78"/>
      <c r="LT69" s="78"/>
      <c r="LU69" s="79"/>
      <c r="LV69" s="67"/>
      <c r="LX69" s="98"/>
      <c r="LY69" s="99"/>
      <c r="LZ69" s="100"/>
      <c r="MA69" s="77"/>
      <c r="MB69" s="78"/>
      <c r="MC69" s="78"/>
      <c r="MD69" s="79"/>
      <c r="ME69" s="67"/>
      <c r="MG69" s="98"/>
      <c r="MH69" s="99"/>
      <c r="MI69" s="100"/>
      <c r="MJ69" s="77"/>
      <c r="MK69" s="78"/>
      <c r="ML69" s="78"/>
      <c r="MM69" s="79"/>
      <c r="MN69" s="67"/>
      <c r="MP69" s="98"/>
      <c r="MQ69" s="99"/>
      <c r="MR69" s="100"/>
      <c r="MS69" s="77"/>
      <c r="MT69" s="78"/>
      <c r="MU69" s="78"/>
      <c r="MV69" s="79"/>
      <c r="MW69" s="67"/>
      <c r="MY69" s="98"/>
      <c r="MZ69" s="99"/>
      <c r="NA69" s="100"/>
      <c r="NB69" s="77"/>
      <c r="NC69" s="78"/>
      <c r="ND69" s="78"/>
      <c r="NE69" s="79"/>
      <c r="NF69" s="67"/>
      <c r="NH69" s="98"/>
      <c r="NI69" s="99"/>
      <c r="NJ69" s="329"/>
      <c r="NK69" s="77"/>
      <c r="NL69" s="78"/>
      <c r="NM69" s="78"/>
      <c r="NN69" s="79"/>
      <c r="NO69" s="67"/>
      <c r="NQ69" s="98"/>
      <c r="NR69" s="99"/>
      <c r="NS69" s="100"/>
      <c r="NT69" s="77"/>
      <c r="NU69" s="78"/>
      <c r="NV69" s="78"/>
      <c r="NW69" s="79"/>
      <c r="NX69" s="67"/>
      <c r="NZ69" s="71"/>
      <c r="OA69" s="72"/>
      <c r="OB69" s="73"/>
      <c r="OC69" s="77"/>
      <c r="OD69" s="78"/>
      <c r="OE69" s="78"/>
      <c r="OF69" s="79"/>
      <c r="OG69" s="67"/>
      <c r="OI69" s="98"/>
      <c r="OJ69" s="99"/>
      <c r="OK69" s="329"/>
      <c r="OL69" s="77"/>
      <c r="OM69" s="78"/>
      <c r="ON69" s="78"/>
      <c r="OO69" s="79"/>
      <c r="OP69" s="67"/>
      <c r="OR69" s="71"/>
      <c r="OS69" s="72"/>
      <c r="OT69" s="73"/>
      <c r="OU69" s="77"/>
      <c r="OV69" s="78"/>
      <c r="OW69" s="78"/>
      <c r="OX69" s="79"/>
      <c r="OY69" s="67"/>
      <c r="PA69" s="98"/>
      <c r="PB69" s="99"/>
      <c r="PC69" s="100"/>
      <c r="PD69" s="77"/>
      <c r="PE69" s="78"/>
      <c r="PF69" s="78"/>
      <c r="PG69" s="79"/>
      <c r="PH69" s="67"/>
      <c r="PJ69" s="68"/>
      <c r="PK69" s="69"/>
      <c r="PL69" s="70"/>
      <c r="PM69" s="77"/>
      <c r="PN69" s="78"/>
      <c r="PO69" s="78"/>
      <c r="PP69" s="79"/>
      <c r="PQ69" s="67"/>
      <c r="PS69" s="403"/>
      <c r="PT69" s="404"/>
      <c r="PU69" s="405"/>
      <c r="PV69" s="330"/>
      <c r="PW69" s="331"/>
      <c r="PX69" s="331"/>
      <c r="PY69" s="332"/>
      <c r="PZ69" s="333"/>
      <c r="QB69" s="71"/>
      <c r="QC69" s="72"/>
      <c r="QD69" s="73"/>
      <c r="QE69" s="77"/>
      <c r="QF69" s="78"/>
      <c r="QG69" s="78"/>
      <c r="QH69" s="79"/>
      <c r="QI69" s="67"/>
      <c r="QK69" s="283"/>
      <c r="QL69" s="284"/>
      <c r="QM69" s="285"/>
      <c r="QN69" s="77"/>
      <c r="QO69" s="78"/>
      <c r="QP69" s="78"/>
      <c r="QQ69" s="79"/>
      <c r="QR69" s="67" t="str">
        <f>IF(QM69="","",'Name List'!$I$4)</f>
        <v/>
      </c>
      <c r="QS69" s="91"/>
      <c r="QT69" s="107">
        <f t="shared" si="50"/>
        <v>0</v>
      </c>
      <c r="QU69" s="130">
        <f t="shared" si="51"/>
        <v>17</v>
      </c>
      <c r="QV69" s="130">
        <f t="shared" si="52"/>
        <v>39</v>
      </c>
      <c r="QW69" s="108">
        <f t="shared" si="53"/>
        <v>2</v>
      </c>
      <c r="QY69" s="260">
        <f t="shared" si="54"/>
        <v>4</v>
      </c>
      <c r="RA69" s="141">
        <f t="shared" si="55"/>
        <v>20</v>
      </c>
      <c r="RB69" s="106">
        <f t="shared" si="56"/>
        <v>18</v>
      </c>
      <c r="RC69" s="106">
        <f t="shared" si="57"/>
        <v>37</v>
      </c>
      <c r="RD69" s="106">
        <f t="shared" si="58"/>
        <v>15</v>
      </c>
      <c r="RE69" s="106">
        <f t="shared" si="59"/>
        <v>13</v>
      </c>
      <c r="RF69" s="142">
        <f t="shared" si="60"/>
        <v>32</v>
      </c>
      <c r="RG69" s="106"/>
      <c r="RH69" s="139">
        <f t="shared" si="61"/>
        <v>32</v>
      </c>
      <c r="RI69" s="140">
        <f t="shared" si="62"/>
        <v>32</v>
      </c>
      <c r="RJ69" s="106"/>
      <c r="RK69" s="136">
        <f t="shared" si="63"/>
        <v>33.5</v>
      </c>
      <c r="RL69" s="106"/>
      <c r="RM69" s="137">
        <f t="shared" si="64"/>
        <v>0</v>
      </c>
      <c r="RN69" s="138">
        <f t="shared" si="65"/>
        <v>0</v>
      </c>
      <c r="RO69" s="106"/>
      <c r="RP69" s="259">
        <f t="shared" si="66"/>
        <v>0</v>
      </c>
    </row>
    <row r="70" spans="1:484" x14ac:dyDescent="0.2">
      <c r="A70" s="89" t="str">
        <f>'Name List'!B70</f>
        <v>Danny Jones</v>
      </c>
      <c r="C70" s="98"/>
      <c r="D70" s="99"/>
      <c r="E70" s="329" t="str">
        <f t="shared" ref="E70:E105" si="67">IF(C70=0,"",C70+D70)</f>
        <v/>
      </c>
      <c r="F70" s="77"/>
      <c r="G70" s="78"/>
      <c r="H70" s="78"/>
      <c r="I70" s="79"/>
      <c r="J70" s="333" t="str">
        <f>IF(E70="","",'Name List'!$I$4)</f>
        <v/>
      </c>
      <c r="L70" s="98"/>
      <c r="M70" s="99"/>
      <c r="N70" s="100"/>
      <c r="O70" s="77"/>
      <c r="P70" s="78"/>
      <c r="Q70" s="78"/>
      <c r="R70" s="79"/>
      <c r="S70" s="67"/>
      <c r="U70" s="71"/>
      <c r="V70" s="72"/>
      <c r="W70" s="396" t="str">
        <f t="shared" ref="W70:W105" si="68">IF(U70=0,"",U70+V70)</f>
        <v/>
      </c>
      <c r="X70" s="77"/>
      <c r="Y70" s="78"/>
      <c r="Z70" s="78"/>
      <c r="AA70" s="79"/>
      <c r="AB70" s="333" t="str">
        <f>IF(W70="","",'Name List'!$I$4)</f>
        <v/>
      </c>
      <c r="AD70" s="98"/>
      <c r="AE70" s="99"/>
      <c r="AF70" s="329" t="str">
        <f t="shared" ref="AF70:AF105" si="69">IF(AD70=0,"",AD70+AE70)</f>
        <v/>
      </c>
      <c r="AG70" s="77"/>
      <c r="AH70" s="78"/>
      <c r="AI70" s="78"/>
      <c r="AJ70" s="79"/>
      <c r="AK70" s="333" t="str">
        <f>IF(AF70="","",'Name List'!$I$4)</f>
        <v/>
      </c>
      <c r="AM70" s="98"/>
      <c r="AN70" s="99"/>
      <c r="AO70" s="329" t="str">
        <f t="shared" ref="AO70:AO105" si="70">IF(AM70=0,"",AM70+AN70)</f>
        <v/>
      </c>
      <c r="AP70" s="77"/>
      <c r="AQ70" s="78"/>
      <c r="AR70" s="78"/>
      <c r="AS70" s="79"/>
      <c r="AT70" s="333" t="str">
        <f>IF(AO70="","",'Name List'!$I$4)</f>
        <v/>
      </c>
      <c r="AV70" s="458">
        <v>17</v>
      </c>
      <c r="AW70" s="401">
        <v>16</v>
      </c>
      <c r="AX70" s="400">
        <f t="shared" ref="AX70:AX105" si="71">IF(AV70=0,"",AV70+AW70)</f>
        <v>33</v>
      </c>
      <c r="AY70" s="77">
        <v>0</v>
      </c>
      <c r="AZ70" s="78">
        <v>4</v>
      </c>
      <c r="BA70" s="78">
        <v>10</v>
      </c>
      <c r="BB70" s="79">
        <v>0</v>
      </c>
      <c r="BC70" s="457">
        <f>IF(AX70="","",'Name List'!$I$4)</f>
        <v>5</v>
      </c>
      <c r="BE70" s="71"/>
      <c r="BF70" s="72"/>
      <c r="BG70" s="383" t="str">
        <f t="shared" ref="BG70:BG96" si="72">IF(BE70=0,"",BE70+BF70)</f>
        <v/>
      </c>
      <c r="BH70" s="77"/>
      <c r="BI70" s="78"/>
      <c r="BJ70" s="78"/>
      <c r="BK70" s="79"/>
      <c r="BL70" s="333" t="str">
        <f>IF(BG70="","",'Name List'!$I$4)</f>
        <v/>
      </c>
      <c r="BN70" s="98"/>
      <c r="BO70" s="99"/>
      <c r="BP70" s="100"/>
      <c r="BQ70" s="77"/>
      <c r="BR70" s="78"/>
      <c r="BS70" s="78"/>
      <c r="BT70" s="79"/>
      <c r="BU70" s="67"/>
      <c r="BW70" s="98"/>
      <c r="BX70" s="99"/>
      <c r="BY70" s="329" t="str">
        <f t="shared" ref="BY70:BY105" si="73">IF(BW70=0,"",BW70+BX70)</f>
        <v/>
      </c>
      <c r="BZ70" s="77"/>
      <c r="CA70" s="78"/>
      <c r="CB70" s="78"/>
      <c r="CC70" s="79"/>
      <c r="CD70" s="333" t="str">
        <f>IF(BY70="","",'Name List'!$I$4)</f>
        <v/>
      </c>
      <c r="CF70" s="68"/>
      <c r="CG70" s="69"/>
      <c r="CH70" s="282" t="str">
        <f t="shared" si="49"/>
        <v/>
      </c>
      <c r="CI70" s="77"/>
      <c r="CJ70" s="78"/>
      <c r="CK70" s="78"/>
      <c r="CL70" s="79"/>
      <c r="CM70" s="333" t="str">
        <f>IF(CH70="","",'Name List'!$I$4)</f>
        <v/>
      </c>
      <c r="CO70" s="71"/>
      <c r="CP70" s="72"/>
      <c r="CQ70" s="383" t="str">
        <f t="shared" ref="CQ70:CQ104" si="74">IF(CO70=0,"",CO70+CP70)</f>
        <v/>
      </c>
      <c r="CR70" s="77"/>
      <c r="CS70" s="78"/>
      <c r="CT70" s="78"/>
      <c r="CU70" s="79"/>
      <c r="CV70" s="333" t="str">
        <f>IF(CQ70="","",'Name List'!$I$4)</f>
        <v/>
      </c>
      <c r="CX70" s="98"/>
      <c r="CY70" s="99"/>
      <c r="CZ70" s="329" t="str">
        <f t="shared" ref="CZ70:CZ95" si="75">IF(CX70=0,"",CX70+CY70)</f>
        <v/>
      </c>
      <c r="DA70" s="77"/>
      <c r="DB70" s="78"/>
      <c r="DC70" s="78"/>
      <c r="DD70" s="79"/>
      <c r="DE70" s="333" t="str">
        <f>IF(CZ70="","",'Name List'!$I$4)</f>
        <v/>
      </c>
      <c r="DG70" s="98"/>
      <c r="DH70" s="99"/>
      <c r="DI70" s="329" t="str">
        <f t="shared" ref="DI70:DI86" si="76">IF(DG70=0,"",DG70+DH70)</f>
        <v/>
      </c>
      <c r="DJ70" s="77"/>
      <c r="DK70" s="78"/>
      <c r="DL70" s="78"/>
      <c r="DM70" s="79"/>
      <c r="DN70" s="333" t="str">
        <f>IF(DI70="","",'Name List'!$I$4)</f>
        <v/>
      </c>
      <c r="DP70" s="98"/>
      <c r="DQ70" s="99"/>
      <c r="DR70" s="329" t="str">
        <f t="shared" ref="DR70:DR103" si="77">IF(DP70=0,"",DP70+DQ70)</f>
        <v/>
      </c>
      <c r="DS70" s="77"/>
      <c r="DT70" s="78"/>
      <c r="DU70" s="78"/>
      <c r="DV70" s="79"/>
      <c r="DW70" s="333" t="str">
        <f>IF(DR70="","",'Name List'!$I$4)</f>
        <v/>
      </c>
      <c r="DY70" s="98"/>
      <c r="DZ70" s="99"/>
      <c r="EA70" s="329" t="str">
        <f t="shared" ref="EA70:EA99" si="78">IF(DY70=0,"",DY70+DZ70)</f>
        <v/>
      </c>
      <c r="EB70" s="77"/>
      <c r="EC70" s="78"/>
      <c r="ED70" s="78"/>
      <c r="EE70" s="79"/>
      <c r="EF70" s="333" t="str">
        <f>IF(EA70="","",'Name List'!$I$4)</f>
        <v/>
      </c>
      <c r="EH70" s="98"/>
      <c r="EI70" s="99"/>
      <c r="EJ70" s="329" t="str">
        <f t="shared" ref="EJ70:EJ93" si="79">IF(EH70=0,"",EH70+EI70)</f>
        <v/>
      </c>
      <c r="EK70" s="77"/>
      <c r="EL70" s="78"/>
      <c r="EM70" s="78"/>
      <c r="EN70" s="79"/>
      <c r="EO70" s="333" t="str">
        <f>IF(EJ70="","",'Name List'!$I$4)</f>
        <v/>
      </c>
      <c r="EQ70" s="115"/>
      <c r="ER70" s="116"/>
      <c r="ES70" s="117">
        <v>75</v>
      </c>
      <c r="ET70" s="77">
        <v>0</v>
      </c>
      <c r="EU70" s="78">
        <v>2</v>
      </c>
      <c r="EV70" s="78">
        <v>11</v>
      </c>
      <c r="EW70" s="79"/>
      <c r="EX70" s="333">
        <f>IF(ES70="","",'Name List'!$I$4)</f>
        <v>5</v>
      </c>
      <c r="EZ70" s="68"/>
      <c r="FA70" s="69"/>
      <c r="FB70" s="70"/>
      <c r="FC70" s="77"/>
      <c r="FD70" s="78"/>
      <c r="FE70" s="78"/>
      <c r="FF70" s="79"/>
      <c r="FG70" s="67"/>
      <c r="FI70" s="98"/>
      <c r="FJ70" s="99"/>
      <c r="FK70" s="329" t="str">
        <f t="shared" ref="FK70:FK74" si="80">IF(FI70=0,"",FI70+FJ70)</f>
        <v/>
      </c>
      <c r="FL70" s="77"/>
      <c r="FM70" s="78"/>
      <c r="FN70" s="78"/>
      <c r="FO70" s="79"/>
      <c r="FP70" s="333" t="str">
        <f>IF(FK70="","",'Name List'!$I$4)</f>
        <v/>
      </c>
      <c r="FR70" s="98"/>
      <c r="FS70" s="99"/>
      <c r="FT70" s="329" t="str">
        <f t="shared" ref="FT70:FT73" si="81">IF(FR70=0,"",FR70+FS70)</f>
        <v/>
      </c>
      <c r="FU70" s="77"/>
      <c r="FV70" s="78"/>
      <c r="FW70" s="78"/>
      <c r="FX70" s="79"/>
      <c r="FY70" s="333" t="str">
        <f>IF(FT70="","",'Name List'!$I$4)</f>
        <v/>
      </c>
      <c r="GA70" s="98"/>
      <c r="GB70" s="99"/>
      <c r="GC70" s="329" t="str">
        <f t="shared" ref="GC70:GC75" si="82">IF(GA70=0,"",GA70+GB70)</f>
        <v/>
      </c>
      <c r="GD70" s="77"/>
      <c r="GE70" s="78"/>
      <c r="GF70" s="78"/>
      <c r="GG70" s="79"/>
      <c r="GH70" s="333" t="str">
        <f>IF(GC70="","",'Name List'!$I$4)</f>
        <v/>
      </c>
      <c r="GJ70" s="98"/>
      <c r="GK70" s="99"/>
      <c r="GL70" s="329" t="str">
        <f t="shared" ref="GL70:GL80" si="83">IF(GJ70=0,"",GJ70+GK70)</f>
        <v/>
      </c>
      <c r="GM70" s="77"/>
      <c r="GN70" s="78"/>
      <c r="GO70" s="78"/>
      <c r="GP70" s="79"/>
      <c r="GQ70" s="333" t="str">
        <f>IF(GL70="","",'Name List'!$I$4)</f>
        <v/>
      </c>
      <c r="GS70" s="68"/>
      <c r="GT70" s="69"/>
      <c r="GU70" s="70"/>
      <c r="GV70" s="77"/>
      <c r="GW70" s="78"/>
      <c r="GX70" s="78"/>
      <c r="GY70" s="79"/>
      <c r="GZ70" s="67"/>
      <c r="HB70" s="98"/>
      <c r="HC70" s="99"/>
      <c r="HD70" s="329" t="str">
        <f t="shared" ref="HD70:HD76" si="84">IF(HB70=0,"",HB70+HC70)</f>
        <v/>
      </c>
      <c r="HE70" s="77"/>
      <c r="HF70" s="78"/>
      <c r="HG70" s="78"/>
      <c r="HH70" s="79"/>
      <c r="HI70" s="333" t="str">
        <f>IF(HD70="","",'Name List'!$I$4)</f>
        <v/>
      </c>
      <c r="HK70" s="71"/>
      <c r="HL70" s="72"/>
      <c r="HM70" s="383" t="str">
        <f t="shared" ref="HM70:HM100" si="85">IF(HK70=0,"",HK70+HL70)</f>
        <v/>
      </c>
      <c r="HN70" s="77"/>
      <c r="HO70" s="78"/>
      <c r="HP70" s="78"/>
      <c r="HQ70" s="79"/>
      <c r="HR70" s="333" t="str">
        <f>IF(HM70="","",'Name List'!$I$4)</f>
        <v/>
      </c>
      <c r="HT70" s="68"/>
      <c r="HU70" s="69"/>
      <c r="HV70" s="70"/>
      <c r="HW70" s="77"/>
      <c r="HX70" s="78"/>
      <c r="HY70" s="78"/>
      <c r="HZ70" s="79"/>
      <c r="IA70" s="67"/>
      <c r="IC70" s="115"/>
      <c r="ID70" s="116"/>
      <c r="IE70" s="117"/>
      <c r="IF70" s="77"/>
      <c r="IG70" s="78"/>
      <c r="IH70" s="78"/>
      <c r="II70" s="79"/>
      <c r="IJ70" s="333" t="str">
        <f>IF(IE70="","",'Name List'!$I$4)</f>
        <v/>
      </c>
      <c r="IL70" s="98"/>
      <c r="IM70" s="99"/>
      <c r="IN70" s="100"/>
      <c r="IO70" s="77"/>
      <c r="IP70" s="78"/>
      <c r="IQ70" s="78"/>
      <c r="IR70" s="79"/>
      <c r="IS70" s="67"/>
      <c r="IU70" s="98"/>
      <c r="IV70" s="99"/>
      <c r="IW70" s="100"/>
      <c r="IX70" s="77"/>
      <c r="IY70" s="78"/>
      <c r="IZ70" s="78"/>
      <c r="JA70" s="79"/>
      <c r="JB70" s="67"/>
      <c r="JD70" s="98"/>
      <c r="JE70" s="99"/>
      <c r="JF70" s="100"/>
      <c r="JG70" s="77"/>
      <c r="JH70" s="78"/>
      <c r="JI70" s="78"/>
      <c r="JJ70" s="79"/>
      <c r="JK70" s="67"/>
      <c r="JM70" s="98"/>
      <c r="JN70" s="99"/>
      <c r="JO70" s="275"/>
      <c r="JP70" s="77"/>
      <c r="JQ70" s="78"/>
      <c r="JR70" s="78"/>
      <c r="JS70" s="79"/>
      <c r="JT70" s="67"/>
      <c r="JV70" s="98"/>
      <c r="JW70" s="99"/>
      <c r="JX70" s="100"/>
      <c r="JY70" s="77"/>
      <c r="JZ70" s="78"/>
      <c r="KA70" s="78"/>
      <c r="KB70" s="79"/>
      <c r="KC70" s="67"/>
      <c r="KE70" s="98"/>
      <c r="KF70" s="99"/>
      <c r="KG70" s="100"/>
      <c r="KH70" s="77"/>
      <c r="KI70" s="78"/>
      <c r="KJ70" s="78"/>
      <c r="KK70" s="79"/>
      <c r="KL70" s="67"/>
      <c r="KN70" s="68"/>
      <c r="KO70" s="69"/>
      <c r="KP70" s="70"/>
      <c r="KQ70" s="77"/>
      <c r="KR70" s="78"/>
      <c r="KS70" s="78"/>
      <c r="KT70" s="79"/>
      <c r="KU70" s="67"/>
      <c r="KW70" s="98"/>
      <c r="KX70" s="99"/>
      <c r="KY70" s="100"/>
      <c r="KZ70" s="77"/>
      <c r="LA70" s="78"/>
      <c r="LB70" s="78"/>
      <c r="LC70" s="79"/>
      <c r="LD70" s="67"/>
      <c r="LF70" s="71"/>
      <c r="LG70" s="72"/>
      <c r="LH70" s="73"/>
      <c r="LI70" s="77"/>
      <c r="LJ70" s="78"/>
      <c r="LK70" s="78"/>
      <c r="LL70" s="79"/>
      <c r="LM70" s="67"/>
      <c r="LO70" s="98"/>
      <c r="LP70" s="99"/>
      <c r="LQ70" s="329"/>
      <c r="LR70" s="77"/>
      <c r="LS70" s="78"/>
      <c r="LT70" s="78"/>
      <c r="LU70" s="79"/>
      <c r="LV70" s="67"/>
      <c r="LX70" s="98"/>
      <c r="LY70" s="99"/>
      <c r="LZ70" s="100"/>
      <c r="MA70" s="77"/>
      <c r="MB70" s="78"/>
      <c r="MC70" s="78"/>
      <c r="MD70" s="79"/>
      <c r="ME70" s="67"/>
      <c r="MG70" s="98"/>
      <c r="MH70" s="99"/>
      <c r="MI70" s="100"/>
      <c r="MJ70" s="77"/>
      <c r="MK70" s="78"/>
      <c r="ML70" s="78"/>
      <c r="MM70" s="79"/>
      <c r="MN70" s="67"/>
      <c r="MP70" s="98"/>
      <c r="MQ70" s="99"/>
      <c r="MR70" s="100"/>
      <c r="MS70" s="77"/>
      <c r="MT70" s="78"/>
      <c r="MU70" s="78"/>
      <c r="MV70" s="79"/>
      <c r="MW70" s="67"/>
      <c r="MY70" s="98"/>
      <c r="MZ70" s="99"/>
      <c r="NA70" s="100"/>
      <c r="NB70" s="77"/>
      <c r="NC70" s="78"/>
      <c r="ND70" s="78"/>
      <c r="NE70" s="79"/>
      <c r="NF70" s="67"/>
      <c r="NH70" s="98"/>
      <c r="NI70" s="99"/>
      <c r="NJ70" s="329"/>
      <c r="NK70" s="77"/>
      <c r="NL70" s="78"/>
      <c r="NM70" s="78"/>
      <c r="NN70" s="79"/>
      <c r="NO70" s="67"/>
      <c r="NQ70" s="98"/>
      <c r="NR70" s="99"/>
      <c r="NS70" s="100"/>
      <c r="NT70" s="77"/>
      <c r="NU70" s="78"/>
      <c r="NV70" s="78"/>
      <c r="NW70" s="79"/>
      <c r="NX70" s="67"/>
      <c r="NZ70" s="71"/>
      <c r="OA70" s="72"/>
      <c r="OB70" s="73"/>
      <c r="OC70" s="77"/>
      <c r="OD70" s="78"/>
      <c r="OE70" s="78"/>
      <c r="OF70" s="79"/>
      <c r="OG70" s="67"/>
      <c r="OI70" s="98"/>
      <c r="OJ70" s="99"/>
      <c r="OK70" s="329"/>
      <c r="OL70" s="77"/>
      <c r="OM70" s="78"/>
      <c r="ON70" s="78"/>
      <c r="OO70" s="79"/>
      <c r="OP70" s="67"/>
      <c r="OR70" s="71"/>
      <c r="OS70" s="72"/>
      <c r="OT70" s="73"/>
      <c r="OU70" s="77"/>
      <c r="OV70" s="78"/>
      <c r="OW70" s="78"/>
      <c r="OX70" s="79"/>
      <c r="OY70" s="67"/>
      <c r="PA70" s="98"/>
      <c r="PB70" s="99"/>
      <c r="PC70" s="100"/>
      <c r="PD70" s="77"/>
      <c r="PE70" s="78"/>
      <c r="PF70" s="78"/>
      <c r="PG70" s="79"/>
      <c r="PH70" s="67"/>
      <c r="PJ70" s="68"/>
      <c r="PK70" s="69"/>
      <c r="PL70" s="70"/>
      <c r="PM70" s="77"/>
      <c r="PN70" s="78"/>
      <c r="PO70" s="78"/>
      <c r="PP70" s="79"/>
      <c r="PQ70" s="67"/>
      <c r="PS70" s="403"/>
      <c r="PT70" s="404"/>
      <c r="PU70" s="405"/>
      <c r="PV70" s="330"/>
      <c r="PW70" s="331"/>
      <c r="PX70" s="331"/>
      <c r="PY70" s="332"/>
      <c r="PZ70" s="333"/>
      <c r="QB70" s="71"/>
      <c r="QC70" s="72"/>
      <c r="QD70" s="73"/>
      <c r="QE70" s="77"/>
      <c r="QF70" s="78"/>
      <c r="QG70" s="78"/>
      <c r="QH70" s="79"/>
      <c r="QI70" s="67"/>
      <c r="QK70" s="283"/>
      <c r="QL70" s="284"/>
      <c r="QM70" s="285"/>
      <c r="QN70" s="77"/>
      <c r="QO70" s="78"/>
      <c r="QP70" s="78"/>
      <c r="QQ70" s="79"/>
      <c r="QR70" s="67" t="str">
        <f>IF(QM70="","",'Name List'!$I$4)</f>
        <v/>
      </c>
      <c r="QS70" s="91"/>
      <c r="QT70" s="107">
        <f t="shared" si="50"/>
        <v>0</v>
      </c>
      <c r="QU70" s="130">
        <f t="shared" si="51"/>
        <v>6</v>
      </c>
      <c r="QV70" s="130">
        <f t="shared" si="52"/>
        <v>21</v>
      </c>
      <c r="QW70" s="108">
        <f t="shared" si="53"/>
        <v>0</v>
      </c>
      <c r="QY70" s="260">
        <f t="shared" si="54"/>
        <v>1</v>
      </c>
      <c r="RA70" s="141">
        <f t="shared" si="55"/>
        <v>17</v>
      </c>
      <c r="RB70" s="106">
        <f t="shared" si="56"/>
        <v>16</v>
      </c>
      <c r="RC70" s="106">
        <f t="shared" si="57"/>
        <v>33</v>
      </c>
      <c r="RD70" s="106">
        <f t="shared" si="58"/>
        <v>17</v>
      </c>
      <c r="RE70" s="106">
        <f t="shared" si="59"/>
        <v>16</v>
      </c>
      <c r="RF70" s="142">
        <f t="shared" si="60"/>
        <v>33</v>
      </c>
      <c r="RG70" s="106"/>
      <c r="RH70" s="139">
        <f t="shared" si="61"/>
        <v>0</v>
      </c>
      <c r="RI70" s="140">
        <f t="shared" si="62"/>
        <v>0</v>
      </c>
      <c r="RJ70" s="106"/>
      <c r="RK70" s="136">
        <f t="shared" si="63"/>
        <v>33</v>
      </c>
      <c r="RL70" s="106"/>
      <c r="RM70" s="137">
        <f t="shared" si="64"/>
        <v>75</v>
      </c>
      <c r="RN70" s="138">
        <f t="shared" si="65"/>
        <v>75</v>
      </c>
      <c r="RO70" s="106"/>
      <c r="RP70" s="259">
        <f t="shared" si="66"/>
        <v>1</v>
      </c>
    </row>
    <row r="71" spans="1:484" x14ac:dyDescent="0.2">
      <c r="A71" s="89" t="str">
        <f>'Name List'!B71</f>
        <v>Liam Anderson</v>
      </c>
      <c r="C71" s="98"/>
      <c r="D71" s="99"/>
      <c r="E71" s="329" t="str">
        <f t="shared" si="67"/>
        <v/>
      </c>
      <c r="F71" s="77"/>
      <c r="G71" s="78"/>
      <c r="H71" s="78"/>
      <c r="I71" s="79"/>
      <c r="J71" s="333" t="str">
        <f>IF(E71="","",'Name List'!$I$4)</f>
        <v/>
      </c>
      <c r="L71" s="98"/>
      <c r="M71" s="99"/>
      <c r="N71" s="100"/>
      <c r="O71" s="77"/>
      <c r="P71" s="78"/>
      <c r="Q71" s="78"/>
      <c r="R71" s="79"/>
      <c r="S71" s="67"/>
      <c r="U71" s="71"/>
      <c r="V71" s="72"/>
      <c r="W71" s="396" t="str">
        <f t="shared" si="68"/>
        <v/>
      </c>
      <c r="X71" s="77"/>
      <c r="Y71" s="78"/>
      <c r="Z71" s="78"/>
      <c r="AA71" s="79"/>
      <c r="AB71" s="333" t="str">
        <f>IF(W71="","",'Name List'!$I$4)</f>
        <v/>
      </c>
      <c r="AD71" s="98"/>
      <c r="AE71" s="99"/>
      <c r="AF71" s="329" t="str">
        <f t="shared" si="69"/>
        <v/>
      </c>
      <c r="AG71" s="77"/>
      <c r="AH71" s="78"/>
      <c r="AI71" s="78"/>
      <c r="AJ71" s="79"/>
      <c r="AK71" s="333" t="str">
        <f>IF(AF71="","",'Name List'!$I$4)</f>
        <v/>
      </c>
      <c r="AM71" s="98"/>
      <c r="AN71" s="99"/>
      <c r="AO71" s="329" t="str">
        <f t="shared" si="70"/>
        <v/>
      </c>
      <c r="AP71" s="77"/>
      <c r="AQ71" s="78"/>
      <c r="AR71" s="78"/>
      <c r="AS71" s="79"/>
      <c r="AT71" s="333" t="str">
        <f>IF(AO71="","",'Name List'!$I$4)</f>
        <v/>
      </c>
      <c r="AV71" s="458"/>
      <c r="AW71" s="401"/>
      <c r="AX71" s="400" t="str">
        <f t="shared" si="71"/>
        <v/>
      </c>
      <c r="AY71" s="77"/>
      <c r="AZ71" s="78"/>
      <c r="BA71" s="78"/>
      <c r="BB71" s="79"/>
      <c r="BC71" s="457" t="str">
        <f>IF(AX71="","",'Name List'!$I$4)</f>
        <v/>
      </c>
      <c r="BE71" s="71"/>
      <c r="BF71" s="72"/>
      <c r="BG71" s="383" t="str">
        <f t="shared" si="72"/>
        <v/>
      </c>
      <c r="BH71" s="77"/>
      <c r="BI71" s="78"/>
      <c r="BJ71" s="78"/>
      <c r="BK71" s="79"/>
      <c r="BL71" s="333" t="str">
        <f>IF(BG71="","",'Name List'!$I$4)</f>
        <v/>
      </c>
      <c r="BN71" s="98"/>
      <c r="BO71" s="99"/>
      <c r="BP71" s="100"/>
      <c r="BQ71" s="77"/>
      <c r="BR71" s="78"/>
      <c r="BS71" s="78"/>
      <c r="BT71" s="79"/>
      <c r="BU71" s="67"/>
      <c r="BW71" s="98"/>
      <c r="BX71" s="99"/>
      <c r="BY71" s="329" t="str">
        <f t="shared" si="73"/>
        <v/>
      </c>
      <c r="BZ71" s="77"/>
      <c r="CA71" s="78"/>
      <c r="CB71" s="78"/>
      <c r="CC71" s="79"/>
      <c r="CD71" s="333" t="str">
        <f>IF(BY71="","",'Name List'!$I$4)</f>
        <v/>
      </c>
      <c r="CF71" s="68"/>
      <c r="CG71" s="69"/>
      <c r="CH71" s="282" t="str">
        <f t="shared" ref="CH71:CH95" si="86">IF(CF71=0,"",CF71+CG71)</f>
        <v/>
      </c>
      <c r="CI71" s="77"/>
      <c r="CJ71" s="78"/>
      <c r="CK71" s="78"/>
      <c r="CL71" s="79"/>
      <c r="CM71" s="333" t="str">
        <f>IF(CH71="","",'Name List'!$I$4)</f>
        <v/>
      </c>
      <c r="CO71" s="71"/>
      <c r="CP71" s="72"/>
      <c r="CQ71" s="383" t="str">
        <f t="shared" si="74"/>
        <v/>
      </c>
      <c r="CR71" s="77"/>
      <c r="CS71" s="78"/>
      <c r="CT71" s="78"/>
      <c r="CU71" s="79"/>
      <c r="CV71" s="333" t="str">
        <f>IF(CQ71="","",'Name List'!$I$4)</f>
        <v/>
      </c>
      <c r="CX71" s="98"/>
      <c r="CY71" s="99"/>
      <c r="CZ71" s="329" t="str">
        <f t="shared" si="75"/>
        <v/>
      </c>
      <c r="DA71" s="77"/>
      <c r="DB71" s="78"/>
      <c r="DC71" s="78"/>
      <c r="DD71" s="79"/>
      <c r="DE71" s="333" t="str">
        <f>IF(CZ71="","",'Name List'!$I$4)</f>
        <v/>
      </c>
      <c r="DG71" s="98"/>
      <c r="DH71" s="99"/>
      <c r="DI71" s="329" t="str">
        <f t="shared" si="76"/>
        <v/>
      </c>
      <c r="DJ71" s="77"/>
      <c r="DK71" s="78"/>
      <c r="DL71" s="78"/>
      <c r="DM71" s="79"/>
      <c r="DN71" s="333" t="str">
        <f>IF(DI71="","",'Name List'!$I$4)</f>
        <v/>
      </c>
      <c r="DP71" s="98"/>
      <c r="DQ71" s="99"/>
      <c r="DR71" s="329" t="str">
        <f t="shared" si="77"/>
        <v/>
      </c>
      <c r="DS71" s="77"/>
      <c r="DT71" s="78"/>
      <c r="DU71" s="78"/>
      <c r="DV71" s="79"/>
      <c r="DW71" s="333" t="str">
        <f>IF(DR71="","",'Name List'!$I$4)</f>
        <v/>
      </c>
      <c r="DY71" s="98"/>
      <c r="DZ71" s="99"/>
      <c r="EA71" s="329" t="str">
        <f t="shared" si="78"/>
        <v/>
      </c>
      <c r="EB71" s="77"/>
      <c r="EC71" s="78"/>
      <c r="ED71" s="78"/>
      <c r="EE71" s="79"/>
      <c r="EF71" s="333" t="str">
        <f>IF(EA71="","",'Name List'!$I$4)</f>
        <v/>
      </c>
      <c r="EH71" s="98"/>
      <c r="EI71" s="99"/>
      <c r="EJ71" s="329" t="str">
        <f t="shared" si="79"/>
        <v/>
      </c>
      <c r="EK71" s="77"/>
      <c r="EL71" s="78"/>
      <c r="EM71" s="78"/>
      <c r="EN71" s="79"/>
      <c r="EO71" s="333" t="str">
        <f>IF(EJ71="","",'Name List'!$I$4)</f>
        <v/>
      </c>
      <c r="EQ71" s="115"/>
      <c r="ER71" s="116"/>
      <c r="ES71" s="117"/>
      <c r="ET71" s="77"/>
      <c r="EU71" s="78"/>
      <c r="EV71" s="78"/>
      <c r="EW71" s="79"/>
      <c r="EX71" s="333" t="str">
        <f>IF(ES71="","",'Name List'!$I$4)</f>
        <v/>
      </c>
      <c r="EZ71" s="68"/>
      <c r="FA71" s="69"/>
      <c r="FB71" s="70"/>
      <c r="FC71" s="77"/>
      <c r="FD71" s="78"/>
      <c r="FE71" s="78"/>
      <c r="FF71" s="79"/>
      <c r="FG71" s="67"/>
      <c r="FI71" s="98"/>
      <c r="FJ71" s="99"/>
      <c r="FK71" s="329" t="str">
        <f t="shared" si="80"/>
        <v/>
      </c>
      <c r="FL71" s="77"/>
      <c r="FM71" s="78"/>
      <c r="FN71" s="78"/>
      <c r="FO71" s="79"/>
      <c r="FP71" s="333" t="str">
        <f>IF(FK71="","",'Name List'!$I$4)</f>
        <v/>
      </c>
      <c r="FR71" s="98"/>
      <c r="FS71" s="99"/>
      <c r="FT71" s="329" t="str">
        <f t="shared" si="81"/>
        <v/>
      </c>
      <c r="FU71" s="77"/>
      <c r="FV71" s="78"/>
      <c r="FW71" s="78"/>
      <c r="FX71" s="79"/>
      <c r="FY71" s="333" t="str">
        <f>IF(FT71="","",'Name List'!$I$4)</f>
        <v/>
      </c>
      <c r="GA71" s="98"/>
      <c r="GB71" s="99"/>
      <c r="GC71" s="329" t="str">
        <f t="shared" si="82"/>
        <v/>
      </c>
      <c r="GD71" s="77"/>
      <c r="GE71" s="78"/>
      <c r="GF71" s="78"/>
      <c r="GG71" s="79"/>
      <c r="GH71" s="333" t="str">
        <f>IF(GC71="","",'Name List'!$I$4)</f>
        <v/>
      </c>
      <c r="GJ71" s="98"/>
      <c r="GK71" s="99"/>
      <c r="GL71" s="329" t="str">
        <f t="shared" si="83"/>
        <v/>
      </c>
      <c r="GM71" s="77"/>
      <c r="GN71" s="78"/>
      <c r="GO71" s="78"/>
      <c r="GP71" s="79"/>
      <c r="GQ71" s="333" t="str">
        <f>IF(GL71="","",'Name List'!$I$4)</f>
        <v/>
      </c>
      <c r="GS71" s="68"/>
      <c r="GT71" s="69"/>
      <c r="GU71" s="70"/>
      <c r="GV71" s="77"/>
      <c r="GW71" s="78"/>
      <c r="GX71" s="78"/>
      <c r="GY71" s="79"/>
      <c r="GZ71" s="67"/>
      <c r="HB71" s="98"/>
      <c r="HC71" s="99"/>
      <c r="HD71" s="329" t="str">
        <f t="shared" si="84"/>
        <v/>
      </c>
      <c r="HE71" s="77"/>
      <c r="HF71" s="78"/>
      <c r="HG71" s="78"/>
      <c r="HH71" s="79"/>
      <c r="HI71" s="333" t="str">
        <f>IF(HD71="","",'Name List'!$I$4)</f>
        <v/>
      </c>
      <c r="HK71" s="71"/>
      <c r="HL71" s="72"/>
      <c r="HM71" s="383" t="str">
        <f t="shared" si="85"/>
        <v/>
      </c>
      <c r="HN71" s="77"/>
      <c r="HO71" s="78"/>
      <c r="HP71" s="78"/>
      <c r="HQ71" s="79"/>
      <c r="HR71" s="333" t="str">
        <f>IF(HM71="","",'Name List'!$I$4)</f>
        <v/>
      </c>
      <c r="HT71" s="68"/>
      <c r="HU71" s="69"/>
      <c r="HV71" s="70"/>
      <c r="HW71" s="77"/>
      <c r="HX71" s="78"/>
      <c r="HY71" s="78"/>
      <c r="HZ71" s="79"/>
      <c r="IA71" s="67"/>
      <c r="IC71" s="115"/>
      <c r="ID71" s="116"/>
      <c r="IE71" s="117"/>
      <c r="IF71" s="77"/>
      <c r="IG71" s="78"/>
      <c r="IH71" s="78"/>
      <c r="II71" s="79"/>
      <c r="IJ71" s="333" t="str">
        <f>IF(IE71="","",'Name List'!$I$4)</f>
        <v/>
      </c>
      <c r="IL71" s="98"/>
      <c r="IM71" s="99"/>
      <c r="IN71" s="100"/>
      <c r="IO71" s="77"/>
      <c r="IP71" s="78"/>
      <c r="IQ71" s="78"/>
      <c r="IR71" s="79"/>
      <c r="IS71" s="67"/>
      <c r="IU71" s="98"/>
      <c r="IV71" s="99"/>
      <c r="IW71" s="100"/>
      <c r="IX71" s="77"/>
      <c r="IY71" s="78"/>
      <c r="IZ71" s="78"/>
      <c r="JA71" s="79"/>
      <c r="JB71" s="67"/>
      <c r="JD71" s="98"/>
      <c r="JE71" s="99"/>
      <c r="JF71" s="100"/>
      <c r="JG71" s="77"/>
      <c r="JH71" s="78"/>
      <c r="JI71" s="78"/>
      <c r="JJ71" s="79"/>
      <c r="JK71" s="67"/>
      <c r="JM71" s="98"/>
      <c r="JN71" s="99"/>
      <c r="JO71" s="275"/>
      <c r="JP71" s="77"/>
      <c r="JQ71" s="78"/>
      <c r="JR71" s="78"/>
      <c r="JS71" s="79"/>
      <c r="JT71" s="67"/>
      <c r="JV71" s="98"/>
      <c r="JW71" s="99"/>
      <c r="JX71" s="100"/>
      <c r="JY71" s="77"/>
      <c r="JZ71" s="78"/>
      <c r="KA71" s="78"/>
      <c r="KB71" s="79"/>
      <c r="KC71" s="67"/>
      <c r="KE71" s="98"/>
      <c r="KF71" s="99"/>
      <c r="KG71" s="100"/>
      <c r="KH71" s="77"/>
      <c r="KI71" s="78"/>
      <c r="KJ71" s="78"/>
      <c r="KK71" s="79"/>
      <c r="KL71" s="67"/>
      <c r="KN71" s="68"/>
      <c r="KO71" s="69"/>
      <c r="KP71" s="70"/>
      <c r="KQ71" s="77"/>
      <c r="KR71" s="78"/>
      <c r="KS71" s="78"/>
      <c r="KT71" s="79"/>
      <c r="KU71" s="67"/>
      <c r="KW71" s="98"/>
      <c r="KX71" s="99"/>
      <c r="KY71" s="100"/>
      <c r="KZ71" s="77"/>
      <c r="LA71" s="78"/>
      <c r="LB71" s="78"/>
      <c r="LC71" s="79"/>
      <c r="LD71" s="67"/>
      <c r="LF71" s="71"/>
      <c r="LG71" s="72"/>
      <c r="LH71" s="73"/>
      <c r="LI71" s="77"/>
      <c r="LJ71" s="78"/>
      <c r="LK71" s="78"/>
      <c r="LL71" s="79"/>
      <c r="LM71" s="67"/>
      <c r="LO71" s="98"/>
      <c r="LP71" s="99"/>
      <c r="LQ71" s="329"/>
      <c r="LR71" s="77"/>
      <c r="LS71" s="78"/>
      <c r="LT71" s="78"/>
      <c r="LU71" s="79"/>
      <c r="LV71" s="67"/>
      <c r="LX71" s="98"/>
      <c r="LY71" s="99"/>
      <c r="LZ71" s="100"/>
      <c r="MA71" s="77"/>
      <c r="MB71" s="78"/>
      <c r="MC71" s="78"/>
      <c r="MD71" s="79"/>
      <c r="ME71" s="67"/>
      <c r="MG71" s="98"/>
      <c r="MH71" s="99"/>
      <c r="MI71" s="100"/>
      <c r="MJ71" s="77"/>
      <c r="MK71" s="78"/>
      <c r="ML71" s="78"/>
      <c r="MM71" s="79"/>
      <c r="MN71" s="67"/>
      <c r="MP71" s="98"/>
      <c r="MQ71" s="99"/>
      <c r="MR71" s="100"/>
      <c r="MS71" s="77"/>
      <c r="MT71" s="78"/>
      <c r="MU71" s="78"/>
      <c r="MV71" s="79"/>
      <c r="MW71" s="67"/>
      <c r="MY71" s="98"/>
      <c r="MZ71" s="99"/>
      <c r="NA71" s="100"/>
      <c r="NB71" s="77"/>
      <c r="NC71" s="78"/>
      <c r="ND71" s="78"/>
      <c r="NE71" s="79"/>
      <c r="NF71" s="67"/>
      <c r="NH71" s="98"/>
      <c r="NI71" s="99"/>
      <c r="NJ71" s="329"/>
      <c r="NK71" s="77"/>
      <c r="NL71" s="78"/>
      <c r="NM71" s="78"/>
      <c r="NN71" s="79"/>
      <c r="NO71" s="67"/>
      <c r="NQ71" s="98"/>
      <c r="NR71" s="99"/>
      <c r="NS71" s="100"/>
      <c r="NT71" s="77"/>
      <c r="NU71" s="78"/>
      <c r="NV71" s="78"/>
      <c r="NW71" s="79"/>
      <c r="NX71" s="67"/>
      <c r="NZ71" s="71"/>
      <c r="OA71" s="72"/>
      <c r="OB71" s="73"/>
      <c r="OC71" s="77"/>
      <c r="OD71" s="78"/>
      <c r="OE71" s="78"/>
      <c r="OF71" s="79"/>
      <c r="OG71" s="67"/>
      <c r="OI71" s="98"/>
      <c r="OJ71" s="99"/>
      <c r="OK71" s="329"/>
      <c r="OL71" s="77"/>
      <c r="OM71" s="78"/>
      <c r="ON71" s="78"/>
      <c r="OO71" s="79"/>
      <c r="OP71" s="67"/>
      <c r="OR71" s="71"/>
      <c r="OS71" s="72"/>
      <c r="OT71" s="73"/>
      <c r="OU71" s="77"/>
      <c r="OV71" s="78"/>
      <c r="OW71" s="78"/>
      <c r="OX71" s="79"/>
      <c r="OY71" s="67"/>
      <c r="PA71" s="98"/>
      <c r="PB71" s="99"/>
      <c r="PC71" s="100"/>
      <c r="PD71" s="77"/>
      <c r="PE71" s="78"/>
      <c r="PF71" s="78"/>
      <c r="PG71" s="79"/>
      <c r="PH71" s="67"/>
      <c r="PJ71" s="68"/>
      <c r="PK71" s="69"/>
      <c r="PL71" s="70"/>
      <c r="PM71" s="77"/>
      <c r="PN71" s="78"/>
      <c r="PO71" s="78"/>
      <c r="PP71" s="79"/>
      <c r="PQ71" s="67"/>
      <c r="PS71" s="403"/>
      <c r="PT71" s="404"/>
      <c r="PU71" s="405"/>
      <c r="PV71" s="330"/>
      <c r="PW71" s="331"/>
      <c r="PX71" s="331"/>
      <c r="PY71" s="332"/>
      <c r="PZ71" s="333"/>
      <c r="QB71" s="71"/>
      <c r="QC71" s="72"/>
      <c r="QD71" s="73"/>
      <c r="QE71" s="77"/>
      <c r="QF71" s="78"/>
      <c r="QG71" s="78"/>
      <c r="QH71" s="79"/>
      <c r="QI71" s="67"/>
      <c r="QK71" s="283"/>
      <c r="QL71" s="284"/>
      <c r="QM71" s="285"/>
      <c r="QN71" s="77"/>
      <c r="QO71" s="78"/>
      <c r="QP71" s="78"/>
      <c r="QQ71" s="79"/>
      <c r="QR71" s="67" t="str">
        <f>IF(QM71="","",'Name List'!$I$4)</f>
        <v/>
      </c>
      <c r="QS71" s="91"/>
      <c r="QT71" s="107">
        <f t="shared" ref="QT71:QT105" si="87">SUM(F71+O71+X71+AG71+AP71+AY71+BH71+BQ71+BZ71+CI71+CR71+DA71+DJ71+DS71+EB71+EK71+ET71+FC71+FL71+FU71+GD71+GM71+GV71+HE71+HN71+HW71+IF71+IO71+IX71+JG71+JP71+JY71+KH71+KQ71+KZ71+LI71+LR71+MA71+MJ71+MS71+NB71+NK71+NT71+OC71+OL71+OU71+PD71+PM71+PV71+QE71+QN71)</f>
        <v>0</v>
      </c>
      <c r="QU71" s="130">
        <f t="shared" ref="QU71:QU105" si="88">SUM(G71+P71+Y71+AH71+AQ71+AZ71+BI71+BR71+CA71+CJ71+CS71+DB71+DK71+DT71+EC71+EL71+EU71+FD71+FM71+FV71+GE71+GN71+GW71+HF71+HO71+HX71+IG71+IP71+IY71+JH71+JQ71+JZ71+KI71+KR71+LA71+LJ71+LS71+MB71+MK71+MT71+NC71+NL71+NU71+OD71+OM71+OV71+PE71+PN71+PW71+QF71+QO71)</f>
        <v>0</v>
      </c>
      <c r="QV71" s="130">
        <f t="shared" ref="QV71:QV105" si="89">SUM(H71+Q71+Z71+AI71+AR71+BA71+BJ71+BS71+CB71+CK71+CT71+DC71+DL71+DU71+ED71+EM71+EV71+FE71+FN71+FW71+GF71+GO71+GX71+HG71+HP71+HY71+IH71+IQ71+IZ71+JI71+JR71+KA71+KJ71+KS71+LB71+LK71+LT71+MC71+ML71+MU71+ND71+NM71+NV71+OE71+ON71+OW71+PF71+PO71+PX71+QG71+QP71)</f>
        <v>0</v>
      </c>
      <c r="QW71" s="108">
        <f t="shared" ref="QW71:QW105" si="90">SUM(I71+R71+AA71+AJ71+AS71+BB71+BK71+BT71+CC71+CL71+CU71+DD71+DM71+DV71+EE71+EN71+EW71+FF71+FO71+FX71+GG71+GP71+GY71+HH71+HQ71+HZ71+II71+IR71+JA71+JJ71+JS71+KB71+KK71+KT71+LC71+LL71+LU71+MD71+MM71+MV71+NE71+NN71+NW71+OF71+OO71+OX71+PG71+PP71+PY71+QH71+QQ71)</f>
        <v>0</v>
      </c>
      <c r="QY71" s="260">
        <f t="shared" ref="QY71:QY105" si="91">SUM(J71,S71,AB71,AK71,AT71,BC71,BL71,BU71,CD71,CM71,CV71,DE71,DN71,DW71,EF71,EO71,FP71,FY71,GH71,GQ71,HI71,HR71,IS71,JB71,JK71,JT71,KC71,KL71,KU71,LD71,LM71,LV71,ME71,MN71,MW71,NF71,NO71,NX71,OG71,OP71,OY71,PH71,PZ71)/5</f>
        <v>0</v>
      </c>
      <c r="RA71" s="141">
        <f t="shared" ref="RA71:RA105" si="92">MAX(C71,L71,AD71,AM71,AV71,BN71,BW71,CF71,CX71,DG71,DP71,DY71,EH71,FI71,FR71,GA71,GJ71,HK71,IL71,IU71,JD71,JM71,JV71,KE71,KW71,LO71,LX71,MG71,MP71,MY71,NH71,NQ71,OI71,PA71,PS71)</f>
        <v>0</v>
      </c>
      <c r="RB71" s="106">
        <f t="shared" ref="RB71:RB105" si="93">MAX(D71,M71,AE71,AN71,AW71,BO71,BX71,CG71,CY71,DH71,DQ71,DZ71,EI71,FJ71,FS71,GB71,GK71,HL71,IM71,IV71,JE71,JN71,JW71,KF71,KX71,LP71,LY71,MH71,MQ71,MZ71,NI71,NR71,OJ71,PB71,PT71)</f>
        <v>0</v>
      </c>
      <c r="RC71" s="106">
        <f t="shared" ref="RC71:RC105" si="94">MAX(E71,N71,AF71,AO71,AX71,BP71,BY71,CH71,CZ71,DI71,DR71,EA71,EJ71,FK71,FT71,GC71,GL71,HM71,IN71,IW71,JF71,JO71,JX71,KG71,KY71,LQ71,LZ71,MI71,MR71,NA71,NJ71,NS71,OK71,PC71,PU71)</f>
        <v>0</v>
      </c>
      <c r="RD71" s="106">
        <f t="shared" ref="RD71:RD105" si="95">MIN(C71,L71,AD71,AM71,AV71,BN71,BW71,CF71,CX71,DG71,DP71,DY71,EH71,FI71,FR71,GA71,GJ71,HK71,IL71,IU71,JD71,JM71,JV71,KE71,KW71,LO71,LX71,MG71,MP71,MY71,NH71,NQ71,OI71,PA71,PS71)</f>
        <v>0</v>
      </c>
      <c r="RE71" s="106">
        <f t="shared" ref="RE71:RE105" si="96">MIN(D71,M71,AE71,AN71,AW71,BO71,BX71,CG71,CY71,DH71,DQ71,DZ71,EI71,FJ71,FS71,GB71,GK71,HL71,IM71,IV71,JE71,JN71,JW71,KF71,KX71,LP71,LY71,MH71,MQ71,MZ71,NI71,NR71,OJ71,PB71,PT71)</f>
        <v>0</v>
      </c>
      <c r="RF71" s="142">
        <f t="shared" ref="RF71:RF105" si="97">MIN(E71,N71,AF71,AO71,AX71,BP71,BY71,CH71,CZ71,DI71,DR71,EA71,EJ71,FK71,FT71,GC71,GL71,HM71,IN71,IW71,JF71,JO71,JX71,KG71,KY71,LQ71,LZ71,MI71,MR71,NA71,NJ71,NS71,OK71,PC71,PU71)</f>
        <v>0</v>
      </c>
      <c r="RG71" s="106"/>
      <c r="RH71" s="139">
        <f t="shared" ref="RH71:RH105" si="98">MAX(W71,BG71,CQ71,HD71,LH71,OB71,OT71)</f>
        <v>0</v>
      </c>
      <c r="RI71" s="140">
        <f t="shared" ref="RI71:RI105" si="99">MIN(W71,BG71,CQ71,HD71,LH71,OB71,OT71)</f>
        <v>0</v>
      </c>
      <c r="RJ71" s="106"/>
      <c r="RK71" s="136">
        <f t="shared" ref="RK71:RK105" si="100">IFERROR(SUM(E71,N71,W71,AF71,AO71,AX71,BG71,BP71,BY71,CH71,CQ71,CZ71,DI71,DR71,EA71,EJ71,FK71,GC71,GL71,HD71,HM71,IN71,IW71,JF71,JO71,JX71,KG71,KY71,LH71,LQ71,LZ71,MI71,MR71,NA71,NJ71,NS71,OB71,OK71,OT71,PC71,)/QY71,0)</f>
        <v>0</v>
      </c>
      <c r="RL71" s="106"/>
      <c r="RM71" s="137">
        <f t="shared" ref="RM71:RM105" si="101">MAX(ES71,IE71)</f>
        <v>0</v>
      </c>
      <c r="RN71" s="138">
        <f t="shared" ref="RN71:RN105" si="102">MIN(ES71,IE71)</f>
        <v>0</v>
      </c>
      <c r="RO71" s="106"/>
      <c r="RP71" s="259">
        <f t="shared" ref="RP71:RP105" si="103">SUM(EX71,IJ71)/5</f>
        <v>0</v>
      </c>
    </row>
    <row r="72" spans="1:484" x14ac:dyDescent="0.2">
      <c r="A72" s="89" t="str">
        <f>'Name List'!B72</f>
        <v>Sam Cochrane</v>
      </c>
      <c r="C72" s="98"/>
      <c r="D72" s="99"/>
      <c r="E72" s="329" t="str">
        <f t="shared" si="67"/>
        <v/>
      </c>
      <c r="F72" s="77"/>
      <c r="G72" s="78"/>
      <c r="H72" s="78"/>
      <c r="I72" s="79"/>
      <c r="J72" s="333" t="str">
        <f>IF(E72="","",'Name List'!$I$4)</f>
        <v/>
      </c>
      <c r="L72" s="98"/>
      <c r="M72" s="99"/>
      <c r="N72" s="100"/>
      <c r="O72" s="77"/>
      <c r="P72" s="78"/>
      <c r="Q72" s="78"/>
      <c r="R72" s="79"/>
      <c r="S72" s="67"/>
      <c r="U72" s="71"/>
      <c r="V72" s="72"/>
      <c r="W72" s="396" t="str">
        <f t="shared" si="68"/>
        <v/>
      </c>
      <c r="X72" s="77"/>
      <c r="Y72" s="78"/>
      <c r="Z72" s="78"/>
      <c r="AA72" s="79"/>
      <c r="AB72" s="333" t="str">
        <f>IF(W72="","",'Name List'!$I$4)</f>
        <v/>
      </c>
      <c r="AD72" s="98"/>
      <c r="AE72" s="99"/>
      <c r="AF72" s="329" t="str">
        <f t="shared" si="69"/>
        <v/>
      </c>
      <c r="AG72" s="77"/>
      <c r="AH72" s="78"/>
      <c r="AI72" s="78"/>
      <c r="AJ72" s="79"/>
      <c r="AK72" s="333" t="str">
        <f>IF(AF72="","",'Name List'!$I$4)</f>
        <v/>
      </c>
      <c r="AM72" s="98"/>
      <c r="AN72" s="99"/>
      <c r="AO72" s="329" t="str">
        <f t="shared" si="70"/>
        <v/>
      </c>
      <c r="AP72" s="77"/>
      <c r="AQ72" s="78"/>
      <c r="AR72" s="78"/>
      <c r="AS72" s="79"/>
      <c r="AT72" s="333" t="str">
        <f>IF(AO72="","",'Name List'!$I$4)</f>
        <v/>
      </c>
      <c r="AV72" s="458"/>
      <c r="AW72" s="401"/>
      <c r="AX72" s="400" t="str">
        <f t="shared" si="71"/>
        <v/>
      </c>
      <c r="AY72" s="77"/>
      <c r="AZ72" s="78"/>
      <c r="BA72" s="78"/>
      <c r="BB72" s="79"/>
      <c r="BC72" s="457" t="str">
        <f>IF(AX72="","",'Name List'!$I$4)</f>
        <v/>
      </c>
      <c r="BE72" s="71"/>
      <c r="BF72" s="72"/>
      <c r="BG72" s="383" t="str">
        <f t="shared" si="72"/>
        <v/>
      </c>
      <c r="BH72" s="77"/>
      <c r="BI72" s="78"/>
      <c r="BJ72" s="78"/>
      <c r="BK72" s="79"/>
      <c r="BL72" s="333" t="str">
        <f>IF(BG72="","",'Name List'!$I$4)</f>
        <v/>
      </c>
      <c r="BN72" s="98"/>
      <c r="BO72" s="99"/>
      <c r="BP72" s="100"/>
      <c r="BQ72" s="77"/>
      <c r="BR72" s="78"/>
      <c r="BS72" s="78"/>
      <c r="BT72" s="79"/>
      <c r="BU72" s="67"/>
      <c r="BW72" s="98"/>
      <c r="BX72" s="99"/>
      <c r="BY72" s="329" t="str">
        <f t="shared" si="73"/>
        <v/>
      </c>
      <c r="BZ72" s="77"/>
      <c r="CA72" s="78"/>
      <c r="CB72" s="78"/>
      <c r="CC72" s="79"/>
      <c r="CD72" s="333" t="str">
        <f>IF(BY72="","",'Name List'!$I$4)</f>
        <v/>
      </c>
      <c r="CF72" s="68"/>
      <c r="CG72" s="69"/>
      <c r="CH72" s="282" t="str">
        <f t="shared" si="86"/>
        <v/>
      </c>
      <c r="CI72" s="77"/>
      <c r="CJ72" s="78"/>
      <c r="CK72" s="78"/>
      <c r="CL72" s="79"/>
      <c r="CM72" s="333" t="str">
        <f>IF(CH72="","",'Name List'!$I$4)</f>
        <v/>
      </c>
      <c r="CO72" s="71"/>
      <c r="CP72" s="72"/>
      <c r="CQ72" s="383" t="str">
        <f t="shared" si="74"/>
        <v/>
      </c>
      <c r="CR72" s="77"/>
      <c r="CS72" s="78"/>
      <c r="CT72" s="78"/>
      <c r="CU72" s="79"/>
      <c r="CV72" s="333" t="str">
        <f>IF(CQ72="","",'Name List'!$I$4)</f>
        <v/>
      </c>
      <c r="CX72" s="98"/>
      <c r="CY72" s="99"/>
      <c r="CZ72" s="329" t="str">
        <f t="shared" si="75"/>
        <v/>
      </c>
      <c r="DA72" s="77"/>
      <c r="DB72" s="78"/>
      <c r="DC72" s="78"/>
      <c r="DD72" s="79"/>
      <c r="DE72" s="333" t="str">
        <f>IF(CZ72="","",'Name List'!$I$4)</f>
        <v/>
      </c>
      <c r="DG72" s="98">
        <v>6</v>
      </c>
      <c r="DH72" s="99">
        <v>10</v>
      </c>
      <c r="DI72" s="329">
        <f t="shared" si="76"/>
        <v>16</v>
      </c>
      <c r="DJ72" s="77">
        <v>0</v>
      </c>
      <c r="DK72" s="78">
        <v>0</v>
      </c>
      <c r="DL72" s="78">
        <v>1</v>
      </c>
      <c r="DM72" s="79">
        <v>7</v>
      </c>
      <c r="DN72" s="333">
        <f>IF(DI72="","",'Name List'!$I$4)</f>
        <v>5</v>
      </c>
      <c r="DP72" s="98">
        <v>10</v>
      </c>
      <c r="DQ72" s="99">
        <v>11</v>
      </c>
      <c r="DR72" s="329">
        <f t="shared" si="77"/>
        <v>21</v>
      </c>
      <c r="DS72" s="77">
        <v>0</v>
      </c>
      <c r="DT72" s="78">
        <v>1</v>
      </c>
      <c r="DU72" s="78">
        <v>2</v>
      </c>
      <c r="DV72" s="79">
        <v>6</v>
      </c>
      <c r="DW72" s="333">
        <f>IF(DR72="","",'Name List'!$I$4)</f>
        <v>5</v>
      </c>
      <c r="DY72" s="98">
        <v>19</v>
      </c>
      <c r="DZ72" s="99">
        <v>14</v>
      </c>
      <c r="EA72" s="329">
        <f t="shared" si="78"/>
        <v>33</v>
      </c>
      <c r="EB72" s="77">
        <v>0</v>
      </c>
      <c r="EC72" s="78">
        <v>0</v>
      </c>
      <c r="ED72" s="78">
        <v>4</v>
      </c>
      <c r="EE72" s="79">
        <v>1</v>
      </c>
      <c r="EF72" s="333">
        <f>IF(EA72="","",'Name List'!$I$4)</f>
        <v>5</v>
      </c>
      <c r="EH72" s="98">
        <v>16</v>
      </c>
      <c r="EI72" s="99">
        <v>8</v>
      </c>
      <c r="EJ72" s="329">
        <f t="shared" si="79"/>
        <v>24</v>
      </c>
      <c r="EK72" s="77">
        <v>0</v>
      </c>
      <c r="EL72" s="78">
        <v>0</v>
      </c>
      <c r="EM72" s="78">
        <v>3</v>
      </c>
      <c r="EN72" s="79">
        <v>6</v>
      </c>
      <c r="EO72" s="333">
        <f>IF(EJ72="","",'Name List'!$I$4)</f>
        <v>5</v>
      </c>
      <c r="EQ72" s="115"/>
      <c r="ER72" s="116"/>
      <c r="ES72" s="117"/>
      <c r="ET72" s="77"/>
      <c r="EU72" s="78"/>
      <c r="EV72" s="78"/>
      <c r="EW72" s="79"/>
      <c r="EX72" s="333" t="str">
        <f>IF(ES72="","",'Name List'!$I$4)</f>
        <v/>
      </c>
      <c r="EZ72" s="68"/>
      <c r="FA72" s="69"/>
      <c r="FB72" s="70"/>
      <c r="FC72" s="77"/>
      <c r="FD72" s="78"/>
      <c r="FE72" s="78"/>
      <c r="FF72" s="79"/>
      <c r="FG72" s="67"/>
      <c r="FI72" s="98"/>
      <c r="FJ72" s="99"/>
      <c r="FK72" s="329" t="str">
        <f t="shared" si="80"/>
        <v/>
      </c>
      <c r="FL72" s="77"/>
      <c r="FM72" s="78"/>
      <c r="FN72" s="78"/>
      <c r="FO72" s="79"/>
      <c r="FP72" s="333" t="str">
        <f>IF(FK72="","",'Name List'!$I$4)</f>
        <v/>
      </c>
      <c r="FR72" s="98"/>
      <c r="FS72" s="99"/>
      <c r="FT72" s="329" t="str">
        <f t="shared" si="81"/>
        <v/>
      </c>
      <c r="FU72" s="77"/>
      <c r="FV72" s="78"/>
      <c r="FW72" s="78"/>
      <c r="FX72" s="79"/>
      <c r="FY72" s="333" t="str">
        <f>IF(FT72="","",'Name List'!$I$4)</f>
        <v/>
      </c>
      <c r="GA72" s="98"/>
      <c r="GB72" s="99"/>
      <c r="GC72" s="329" t="str">
        <f t="shared" si="82"/>
        <v/>
      </c>
      <c r="GD72" s="77"/>
      <c r="GE72" s="78"/>
      <c r="GF72" s="78"/>
      <c r="GG72" s="79"/>
      <c r="GH72" s="333" t="str">
        <f>IF(GC72="","",'Name List'!$I$4)</f>
        <v/>
      </c>
      <c r="GJ72" s="98">
        <v>20</v>
      </c>
      <c r="GK72" s="99">
        <v>10</v>
      </c>
      <c r="GL72" s="329">
        <f t="shared" si="83"/>
        <v>30</v>
      </c>
      <c r="GM72" s="77">
        <v>0</v>
      </c>
      <c r="GN72" s="78">
        <v>1</v>
      </c>
      <c r="GO72" s="78">
        <v>2</v>
      </c>
      <c r="GP72" s="79">
        <v>3</v>
      </c>
      <c r="GQ72" s="333">
        <f>IF(GL72="","",'Name List'!$I$4)</f>
        <v>5</v>
      </c>
      <c r="GS72" s="68"/>
      <c r="GT72" s="69"/>
      <c r="GU72" s="70"/>
      <c r="GV72" s="77"/>
      <c r="GW72" s="78"/>
      <c r="GX72" s="78"/>
      <c r="GY72" s="79"/>
      <c r="GZ72" s="67"/>
      <c r="HB72" s="98">
        <v>15</v>
      </c>
      <c r="HC72" s="99">
        <v>16</v>
      </c>
      <c r="HD72" s="329">
        <f t="shared" si="84"/>
        <v>31</v>
      </c>
      <c r="HE72" s="77">
        <v>0</v>
      </c>
      <c r="HF72" s="78">
        <v>1</v>
      </c>
      <c r="HG72" s="78">
        <v>3</v>
      </c>
      <c r="HH72" s="79">
        <v>1</v>
      </c>
      <c r="HI72" s="333">
        <f>IF(HD72="","",'Name List'!$I$4)</f>
        <v>5</v>
      </c>
      <c r="HK72" s="71">
        <v>10</v>
      </c>
      <c r="HL72" s="72">
        <v>15</v>
      </c>
      <c r="HM72" s="383">
        <f t="shared" si="85"/>
        <v>25</v>
      </c>
      <c r="HN72" s="77">
        <v>0</v>
      </c>
      <c r="HO72" s="78">
        <v>0</v>
      </c>
      <c r="HP72" s="78">
        <v>1</v>
      </c>
      <c r="HQ72" s="79">
        <v>3</v>
      </c>
      <c r="HR72" s="333">
        <f>IF(HM72="","",'Name List'!$I$4)</f>
        <v>5</v>
      </c>
      <c r="HT72" s="68"/>
      <c r="HU72" s="69"/>
      <c r="HV72" s="70"/>
      <c r="HW72" s="77"/>
      <c r="HX72" s="78"/>
      <c r="HY72" s="78"/>
      <c r="HZ72" s="79"/>
      <c r="IA72" s="67"/>
      <c r="IC72" s="115"/>
      <c r="ID72" s="116"/>
      <c r="IE72" s="117"/>
      <c r="IF72" s="77"/>
      <c r="IG72" s="78"/>
      <c r="IH72" s="78"/>
      <c r="II72" s="79"/>
      <c r="IJ72" s="333" t="str">
        <f>IF(IE72="","",'Name List'!$I$4)</f>
        <v/>
      </c>
      <c r="IL72" s="98"/>
      <c r="IM72" s="99"/>
      <c r="IN72" s="100"/>
      <c r="IO72" s="77"/>
      <c r="IP72" s="78"/>
      <c r="IQ72" s="78"/>
      <c r="IR72" s="79"/>
      <c r="IS72" s="67"/>
      <c r="IU72" s="98"/>
      <c r="IV72" s="99"/>
      <c r="IW72" s="100"/>
      <c r="IX72" s="77"/>
      <c r="IY72" s="78"/>
      <c r="IZ72" s="78"/>
      <c r="JA72" s="79"/>
      <c r="JB72" s="67"/>
      <c r="JD72" s="98"/>
      <c r="JE72" s="99"/>
      <c r="JF72" s="100"/>
      <c r="JG72" s="77"/>
      <c r="JH72" s="78"/>
      <c r="JI72" s="78"/>
      <c r="JJ72" s="79"/>
      <c r="JK72" s="67"/>
      <c r="JM72" s="98"/>
      <c r="JN72" s="99"/>
      <c r="JO72" s="275"/>
      <c r="JP72" s="77"/>
      <c r="JQ72" s="78"/>
      <c r="JR72" s="78"/>
      <c r="JS72" s="79"/>
      <c r="JT72" s="67"/>
      <c r="JV72" s="98"/>
      <c r="JW72" s="99"/>
      <c r="JX72" s="100"/>
      <c r="JY72" s="77"/>
      <c r="JZ72" s="78"/>
      <c r="KA72" s="78"/>
      <c r="KB72" s="79"/>
      <c r="KC72" s="67"/>
      <c r="KE72" s="98"/>
      <c r="KF72" s="99"/>
      <c r="KG72" s="100"/>
      <c r="KH72" s="77"/>
      <c r="KI72" s="78"/>
      <c r="KJ72" s="78"/>
      <c r="KK72" s="79"/>
      <c r="KL72" s="67"/>
      <c r="KN72" s="68"/>
      <c r="KO72" s="69"/>
      <c r="KP72" s="70"/>
      <c r="KQ72" s="77"/>
      <c r="KR72" s="78"/>
      <c r="KS72" s="78"/>
      <c r="KT72" s="79"/>
      <c r="KU72" s="67"/>
      <c r="KW72" s="98"/>
      <c r="KX72" s="99"/>
      <c r="KY72" s="100"/>
      <c r="KZ72" s="77"/>
      <c r="LA72" s="78"/>
      <c r="LB72" s="78"/>
      <c r="LC72" s="79"/>
      <c r="LD72" s="67"/>
      <c r="LF72" s="71"/>
      <c r="LG72" s="72"/>
      <c r="LH72" s="73"/>
      <c r="LI72" s="77"/>
      <c r="LJ72" s="78"/>
      <c r="LK72" s="78"/>
      <c r="LL72" s="79"/>
      <c r="LM72" s="67"/>
      <c r="LO72" s="98"/>
      <c r="LP72" s="99"/>
      <c r="LQ72" s="329"/>
      <c r="LR72" s="77"/>
      <c r="LS72" s="78"/>
      <c r="LT72" s="78"/>
      <c r="LU72" s="79"/>
      <c r="LV72" s="67"/>
      <c r="LX72" s="98"/>
      <c r="LY72" s="99"/>
      <c r="LZ72" s="100"/>
      <c r="MA72" s="77"/>
      <c r="MB72" s="78"/>
      <c r="MC72" s="78"/>
      <c r="MD72" s="79"/>
      <c r="ME72" s="67"/>
      <c r="MG72" s="98"/>
      <c r="MH72" s="99"/>
      <c r="MI72" s="100"/>
      <c r="MJ72" s="77"/>
      <c r="MK72" s="78"/>
      <c r="ML72" s="78"/>
      <c r="MM72" s="79"/>
      <c r="MN72" s="67"/>
      <c r="MP72" s="98"/>
      <c r="MQ72" s="99"/>
      <c r="MR72" s="100"/>
      <c r="MS72" s="77"/>
      <c r="MT72" s="78"/>
      <c r="MU72" s="78"/>
      <c r="MV72" s="79"/>
      <c r="MW72" s="67"/>
      <c r="MY72" s="98"/>
      <c r="MZ72" s="99"/>
      <c r="NA72" s="100"/>
      <c r="NB72" s="77"/>
      <c r="NC72" s="78"/>
      <c r="ND72" s="78"/>
      <c r="NE72" s="79"/>
      <c r="NF72" s="67"/>
      <c r="NH72" s="98"/>
      <c r="NI72" s="99"/>
      <c r="NJ72" s="329"/>
      <c r="NK72" s="77"/>
      <c r="NL72" s="78"/>
      <c r="NM72" s="78"/>
      <c r="NN72" s="79"/>
      <c r="NO72" s="67"/>
      <c r="NQ72" s="98"/>
      <c r="NR72" s="99"/>
      <c r="NS72" s="100"/>
      <c r="NT72" s="77"/>
      <c r="NU72" s="78"/>
      <c r="NV72" s="78"/>
      <c r="NW72" s="79"/>
      <c r="NX72" s="67"/>
      <c r="NZ72" s="71"/>
      <c r="OA72" s="72"/>
      <c r="OB72" s="73"/>
      <c r="OC72" s="77"/>
      <c r="OD72" s="78"/>
      <c r="OE72" s="78"/>
      <c r="OF72" s="79"/>
      <c r="OG72" s="67"/>
      <c r="OI72" s="98"/>
      <c r="OJ72" s="99"/>
      <c r="OK72" s="329"/>
      <c r="OL72" s="77"/>
      <c r="OM72" s="78"/>
      <c r="ON72" s="78"/>
      <c r="OO72" s="79"/>
      <c r="OP72" s="67"/>
      <c r="OR72" s="71"/>
      <c r="OS72" s="72"/>
      <c r="OT72" s="73"/>
      <c r="OU72" s="77"/>
      <c r="OV72" s="78"/>
      <c r="OW72" s="78"/>
      <c r="OX72" s="79"/>
      <c r="OY72" s="67"/>
      <c r="PA72" s="98"/>
      <c r="PB72" s="99"/>
      <c r="PC72" s="100"/>
      <c r="PD72" s="77"/>
      <c r="PE72" s="78"/>
      <c r="PF72" s="78"/>
      <c r="PG72" s="79"/>
      <c r="PH72" s="67"/>
      <c r="PJ72" s="68"/>
      <c r="PK72" s="69"/>
      <c r="PL72" s="70"/>
      <c r="PM72" s="77"/>
      <c r="PN72" s="78"/>
      <c r="PO72" s="78"/>
      <c r="PP72" s="79"/>
      <c r="PQ72" s="67"/>
      <c r="PS72" s="403"/>
      <c r="PT72" s="404"/>
      <c r="PU72" s="405"/>
      <c r="PV72" s="330"/>
      <c r="PW72" s="331"/>
      <c r="PX72" s="331"/>
      <c r="PY72" s="332"/>
      <c r="PZ72" s="333"/>
      <c r="QB72" s="71"/>
      <c r="QC72" s="72"/>
      <c r="QD72" s="73"/>
      <c r="QE72" s="77"/>
      <c r="QF72" s="78"/>
      <c r="QG72" s="78"/>
      <c r="QH72" s="79"/>
      <c r="QI72" s="67"/>
      <c r="QK72" s="283"/>
      <c r="QL72" s="284"/>
      <c r="QM72" s="285"/>
      <c r="QN72" s="77"/>
      <c r="QO72" s="78"/>
      <c r="QP72" s="78"/>
      <c r="QQ72" s="79"/>
      <c r="QR72" s="67" t="str">
        <f>IF(QM72="","",'Name List'!$I$4)</f>
        <v/>
      </c>
      <c r="QS72" s="91"/>
      <c r="QT72" s="107">
        <f t="shared" si="87"/>
        <v>0</v>
      </c>
      <c r="QU72" s="130">
        <f t="shared" si="88"/>
        <v>3</v>
      </c>
      <c r="QV72" s="130">
        <f t="shared" si="89"/>
        <v>16</v>
      </c>
      <c r="QW72" s="108">
        <f t="shared" si="90"/>
        <v>27</v>
      </c>
      <c r="QY72" s="260">
        <f t="shared" si="91"/>
        <v>7</v>
      </c>
      <c r="RA72" s="141">
        <f t="shared" si="92"/>
        <v>20</v>
      </c>
      <c r="RB72" s="106">
        <f t="shared" si="93"/>
        <v>15</v>
      </c>
      <c r="RC72" s="106">
        <f t="shared" si="94"/>
        <v>33</v>
      </c>
      <c r="RD72" s="106">
        <f t="shared" si="95"/>
        <v>6</v>
      </c>
      <c r="RE72" s="106">
        <f t="shared" si="96"/>
        <v>8</v>
      </c>
      <c r="RF72" s="142">
        <f t="shared" si="97"/>
        <v>16</v>
      </c>
      <c r="RG72" s="106"/>
      <c r="RH72" s="139">
        <f t="shared" si="98"/>
        <v>31</v>
      </c>
      <c r="RI72" s="140">
        <f t="shared" si="99"/>
        <v>31</v>
      </c>
      <c r="RJ72" s="106"/>
      <c r="RK72" s="136">
        <f t="shared" si="100"/>
        <v>25.714285714285715</v>
      </c>
      <c r="RL72" s="106"/>
      <c r="RM72" s="137">
        <f t="shared" si="101"/>
        <v>0</v>
      </c>
      <c r="RN72" s="138">
        <f t="shared" si="102"/>
        <v>0</v>
      </c>
      <c r="RO72" s="106"/>
      <c r="RP72" s="259">
        <f t="shared" si="103"/>
        <v>0</v>
      </c>
    </row>
    <row r="73" spans="1:484" x14ac:dyDescent="0.2">
      <c r="A73" s="89" t="str">
        <f>'Name List'!B73</f>
        <v>Shaun Alexander</v>
      </c>
      <c r="C73" s="98"/>
      <c r="D73" s="99"/>
      <c r="E73" s="329" t="str">
        <f t="shared" si="67"/>
        <v/>
      </c>
      <c r="F73" s="77"/>
      <c r="G73" s="78"/>
      <c r="H73" s="78"/>
      <c r="I73" s="79"/>
      <c r="J73" s="333" t="str">
        <f>IF(E73="","",'Name List'!$I$4)</f>
        <v/>
      </c>
      <c r="L73" s="98"/>
      <c r="M73" s="99"/>
      <c r="N73" s="100"/>
      <c r="O73" s="77"/>
      <c r="P73" s="78"/>
      <c r="Q73" s="78"/>
      <c r="R73" s="79"/>
      <c r="S73" s="67"/>
      <c r="U73" s="71"/>
      <c r="V73" s="72"/>
      <c r="W73" s="396" t="str">
        <f t="shared" si="68"/>
        <v/>
      </c>
      <c r="X73" s="77"/>
      <c r="Y73" s="78"/>
      <c r="Z73" s="78"/>
      <c r="AA73" s="79"/>
      <c r="AB73" s="333" t="str">
        <f>IF(W73="","",'Name List'!$I$4)</f>
        <v/>
      </c>
      <c r="AD73" s="98"/>
      <c r="AE73" s="99"/>
      <c r="AF73" s="329" t="str">
        <f t="shared" si="69"/>
        <v/>
      </c>
      <c r="AG73" s="77"/>
      <c r="AH73" s="78"/>
      <c r="AI73" s="78"/>
      <c r="AJ73" s="79"/>
      <c r="AK73" s="333" t="str">
        <f>IF(AF73="","",'Name List'!$I$4)</f>
        <v/>
      </c>
      <c r="AM73" s="98"/>
      <c r="AN73" s="99"/>
      <c r="AO73" s="329" t="str">
        <f t="shared" si="70"/>
        <v/>
      </c>
      <c r="AP73" s="77"/>
      <c r="AQ73" s="78"/>
      <c r="AR73" s="78"/>
      <c r="AS73" s="79"/>
      <c r="AT73" s="333" t="str">
        <f>IF(AO73="","",'Name List'!$I$4)</f>
        <v/>
      </c>
      <c r="AV73" s="458"/>
      <c r="AW73" s="401"/>
      <c r="AX73" s="400" t="str">
        <f t="shared" si="71"/>
        <v/>
      </c>
      <c r="AY73" s="77"/>
      <c r="AZ73" s="78"/>
      <c r="BA73" s="78"/>
      <c r="BB73" s="79"/>
      <c r="BC73" s="457" t="str">
        <f>IF(AX73="","",'Name List'!$I$4)</f>
        <v/>
      </c>
      <c r="BE73" s="71"/>
      <c r="BF73" s="72"/>
      <c r="BG73" s="383" t="str">
        <f t="shared" si="72"/>
        <v/>
      </c>
      <c r="BH73" s="77"/>
      <c r="BI73" s="78"/>
      <c r="BJ73" s="78"/>
      <c r="BK73" s="79"/>
      <c r="BL73" s="333" t="str">
        <f>IF(BG73="","",'Name List'!$I$4)</f>
        <v/>
      </c>
      <c r="BN73" s="98"/>
      <c r="BO73" s="99"/>
      <c r="BP73" s="100"/>
      <c r="BQ73" s="77"/>
      <c r="BR73" s="78"/>
      <c r="BS73" s="78"/>
      <c r="BT73" s="79"/>
      <c r="BU73" s="67"/>
      <c r="BW73" s="98"/>
      <c r="BX73" s="99"/>
      <c r="BY73" s="329" t="str">
        <f t="shared" si="73"/>
        <v/>
      </c>
      <c r="BZ73" s="77"/>
      <c r="CA73" s="78"/>
      <c r="CB73" s="78"/>
      <c r="CC73" s="79"/>
      <c r="CD73" s="333" t="str">
        <f>IF(BY73="","",'Name List'!$I$4)</f>
        <v/>
      </c>
      <c r="CF73" s="68"/>
      <c r="CG73" s="69"/>
      <c r="CH73" s="282" t="str">
        <f t="shared" si="86"/>
        <v/>
      </c>
      <c r="CI73" s="77"/>
      <c r="CJ73" s="78"/>
      <c r="CK73" s="78"/>
      <c r="CL73" s="79"/>
      <c r="CM73" s="333" t="str">
        <f>IF(CH73="","",'Name List'!$I$4)</f>
        <v/>
      </c>
      <c r="CO73" s="71"/>
      <c r="CP73" s="72"/>
      <c r="CQ73" s="383" t="str">
        <f t="shared" si="74"/>
        <v/>
      </c>
      <c r="CR73" s="77"/>
      <c r="CS73" s="78"/>
      <c r="CT73" s="78"/>
      <c r="CU73" s="79"/>
      <c r="CV73" s="333" t="str">
        <f>IF(CQ73="","",'Name List'!$I$4)</f>
        <v/>
      </c>
      <c r="CX73" s="98"/>
      <c r="CY73" s="99"/>
      <c r="CZ73" s="329" t="str">
        <f t="shared" si="75"/>
        <v/>
      </c>
      <c r="DA73" s="77"/>
      <c r="DB73" s="78"/>
      <c r="DC73" s="78"/>
      <c r="DD73" s="79"/>
      <c r="DE73" s="333" t="str">
        <f>IF(CZ73="","",'Name List'!$I$4)</f>
        <v/>
      </c>
      <c r="DG73" s="98"/>
      <c r="DH73" s="99"/>
      <c r="DI73" s="329" t="str">
        <f t="shared" si="76"/>
        <v/>
      </c>
      <c r="DJ73" s="77"/>
      <c r="DK73" s="78"/>
      <c r="DL73" s="78"/>
      <c r="DM73" s="79"/>
      <c r="DN73" s="333" t="str">
        <f>IF(DI73="","",'Name List'!$I$4)</f>
        <v/>
      </c>
      <c r="DP73" s="98"/>
      <c r="DQ73" s="99"/>
      <c r="DR73" s="329" t="str">
        <f t="shared" si="77"/>
        <v/>
      </c>
      <c r="DS73" s="77"/>
      <c r="DT73" s="78"/>
      <c r="DU73" s="78"/>
      <c r="DV73" s="79"/>
      <c r="DW73" s="333" t="str">
        <f>IF(DR73="","",'Name List'!$I$4)</f>
        <v/>
      </c>
      <c r="DY73" s="98"/>
      <c r="DZ73" s="99"/>
      <c r="EA73" s="329" t="str">
        <f t="shared" si="78"/>
        <v/>
      </c>
      <c r="EB73" s="77"/>
      <c r="EC73" s="78"/>
      <c r="ED73" s="78"/>
      <c r="EE73" s="79"/>
      <c r="EF73" s="333" t="str">
        <f>IF(EA73="","",'Name List'!$I$4)</f>
        <v/>
      </c>
      <c r="EH73" s="98"/>
      <c r="EI73" s="99"/>
      <c r="EJ73" s="329" t="str">
        <f t="shared" si="79"/>
        <v/>
      </c>
      <c r="EK73" s="77"/>
      <c r="EL73" s="78"/>
      <c r="EM73" s="78"/>
      <c r="EN73" s="79"/>
      <c r="EO73" s="333" t="str">
        <f>IF(EJ73="","",'Name List'!$I$4)</f>
        <v/>
      </c>
      <c r="EQ73" s="115"/>
      <c r="ER73" s="116"/>
      <c r="ES73" s="117">
        <v>80</v>
      </c>
      <c r="ET73" s="77">
        <v>0</v>
      </c>
      <c r="EU73" s="78">
        <v>3</v>
      </c>
      <c r="EV73" s="78">
        <v>6</v>
      </c>
      <c r="EW73" s="79"/>
      <c r="EX73" s="333">
        <f>IF(ES73="","",'Name List'!$I$4)</f>
        <v>5</v>
      </c>
      <c r="EZ73" s="68"/>
      <c r="FA73" s="69"/>
      <c r="FB73" s="70"/>
      <c r="FC73" s="77"/>
      <c r="FD73" s="78"/>
      <c r="FE73" s="78"/>
      <c r="FF73" s="79"/>
      <c r="FG73" s="67"/>
      <c r="FI73" s="98">
        <v>16</v>
      </c>
      <c r="FJ73" s="99">
        <v>14</v>
      </c>
      <c r="FK73" s="329">
        <f t="shared" si="80"/>
        <v>30</v>
      </c>
      <c r="FL73" s="77">
        <v>0</v>
      </c>
      <c r="FM73" s="78">
        <v>0</v>
      </c>
      <c r="FN73" s="78">
        <v>9</v>
      </c>
      <c r="FO73" s="79">
        <v>0</v>
      </c>
      <c r="FP73" s="333">
        <f>IF(FK73="","",'Name List'!$I$4)</f>
        <v>5</v>
      </c>
      <c r="FR73" s="98">
        <v>15</v>
      </c>
      <c r="FS73" s="99">
        <v>12</v>
      </c>
      <c r="FT73" s="329">
        <f t="shared" si="81"/>
        <v>27</v>
      </c>
      <c r="FU73" s="77">
        <v>0</v>
      </c>
      <c r="FV73" s="78">
        <v>1</v>
      </c>
      <c r="FW73" s="78">
        <v>7</v>
      </c>
      <c r="FX73" s="79">
        <v>2</v>
      </c>
      <c r="FY73" s="333">
        <f>IF(FT73="","",'Name List'!$I$4)</f>
        <v>5</v>
      </c>
      <c r="GA73" s="98"/>
      <c r="GB73" s="99"/>
      <c r="GC73" s="329" t="str">
        <f t="shared" si="82"/>
        <v/>
      </c>
      <c r="GD73" s="77"/>
      <c r="GE73" s="78"/>
      <c r="GF73" s="78"/>
      <c r="GG73" s="79"/>
      <c r="GH73" s="333" t="str">
        <f>IF(GC73="","",'Name List'!$I$4)</f>
        <v/>
      </c>
      <c r="GJ73" s="98">
        <v>12</v>
      </c>
      <c r="GK73" s="99">
        <v>13</v>
      </c>
      <c r="GL73" s="329">
        <f t="shared" si="83"/>
        <v>25</v>
      </c>
      <c r="GM73" s="77">
        <v>0</v>
      </c>
      <c r="GN73" s="78">
        <v>1</v>
      </c>
      <c r="GO73" s="78">
        <v>7</v>
      </c>
      <c r="GP73" s="79">
        <v>3</v>
      </c>
      <c r="GQ73" s="333">
        <f>IF(GL73="","",'Name List'!$I$4)</f>
        <v>5</v>
      </c>
      <c r="GS73" s="68"/>
      <c r="GT73" s="69"/>
      <c r="GU73" s="70"/>
      <c r="GV73" s="77"/>
      <c r="GW73" s="78"/>
      <c r="GX73" s="78"/>
      <c r="GY73" s="79"/>
      <c r="GZ73" s="67"/>
      <c r="HB73" s="98">
        <v>12</v>
      </c>
      <c r="HC73" s="99">
        <v>17</v>
      </c>
      <c r="HD73" s="329">
        <f t="shared" si="84"/>
        <v>29</v>
      </c>
      <c r="HE73" s="77">
        <v>0</v>
      </c>
      <c r="HF73" s="78">
        <v>2</v>
      </c>
      <c r="HG73" s="78">
        <v>6</v>
      </c>
      <c r="HH73" s="79">
        <v>0</v>
      </c>
      <c r="HI73" s="333">
        <f>IF(HD73="","",'Name List'!$I$4)</f>
        <v>5</v>
      </c>
      <c r="HK73" s="71">
        <v>13</v>
      </c>
      <c r="HL73" s="72">
        <v>15</v>
      </c>
      <c r="HM73" s="383">
        <f t="shared" si="85"/>
        <v>28</v>
      </c>
      <c r="HN73" s="77">
        <v>0</v>
      </c>
      <c r="HO73" s="78">
        <v>0</v>
      </c>
      <c r="HP73" s="78">
        <v>8</v>
      </c>
      <c r="HQ73" s="79">
        <v>2</v>
      </c>
      <c r="HR73" s="333">
        <f>IF(HM73="","",'Name List'!$I$4)</f>
        <v>5</v>
      </c>
      <c r="HT73" s="68"/>
      <c r="HU73" s="69"/>
      <c r="HV73" s="70"/>
      <c r="HW73" s="77"/>
      <c r="HX73" s="78"/>
      <c r="HY73" s="78"/>
      <c r="HZ73" s="79"/>
      <c r="IA73" s="67"/>
      <c r="IC73" s="115"/>
      <c r="ID73" s="116"/>
      <c r="IE73" s="117"/>
      <c r="IF73" s="77"/>
      <c r="IG73" s="78"/>
      <c r="IH73" s="78"/>
      <c r="II73" s="79"/>
      <c r="IJ73" s="333" t="str">
        <f>IF(IE73="","",'Name List'!$I$4)</f>
        <v/>
      </c>
      <c r="IL73" s="98"/>
      <c r="IM73" s="99"/>
      <c r="IN73" s="100"/>
      <c r="IO73" s="77"/>
      <c r="IP73" s="78"/>
      <c r="IQ73" s="78"/>
      <c r="IR73" s="79"/>
      <c r="IS73" s="67"/>
      <c r="IU73" s="98"/>
      <c r="IV73" s="99"/>
      <c r="IW73" s="100"/>
      <c r="IX73" s="77"/>
      <c r="IY73" s="78"/>
      <c r="IZ73" s="78"/>
      <c r="JA73" s="79"/>
      <c r="JB73" s="67"/>
      <c r="JD73" s="98"/>
      <c r="JE73" s="99"/>
      <c r="JF73" s="100"/>
      <c r="JG73" s="77"/>
      <c r="JH73" s="78"/>
      <c r="JI73" s="78"/>
      <c r="JJ73" s="79"/>
      <c r="JK73" s="67"/>
      <c r="JM73" s="98"/>
      <c r="JN73" s="99"/>
      <c r="JO73" s="275"/>
      <c r="JP73" s="77"/>
      <c r="JQ73" s="78"/>
      <c r="JR73" s="78"/>
      <c r="JS73" s="79"/>
      <c r="JT73" s="67"/>
      <c r="JV73" s="98"/>
      <c r="JW73" s="99"/>
      <c r="JX73" s="100"/>
      <c r="JY73" s="77"/>
      <c r="JZ73" s="78"/>
      <c r="KA73" s="78"/>
      <c r="KB73" s="79"/>
      <c r="KC73" s="67"/>
      <c r="KE73" s="98"/>
      <c r="KF73" s="99"/>
      <c r="KG73" s="100"/>
      <c r="KH73" s="77"/>
      <c r="KI73" s="78"/>
      <c r="KJ73" s="78"/>
      <c r="KK73" s="79"/>
      <c r="KL73" s="67"/>
      <c r="KN73" s="68"/>
      <c r="KO73" s="69"/>
      <c r="KP73" s="70"/>
      <c r="KQ73" s="77"/>
      <c r="KR73" s="78"/>
      <c r="KS73" s="78"/>
      <c r="KT73" s="79"/>
      <c r="KU73" s="67"/>
      <c r="KW73" s="98"/>
      <c r="KX73" s="99"/>
      <c r="KY73" s="100"/>
      <c r="KZ73" s="77"/>
      <c r="LA73" s="78"/>
      <c r="LB73" s="78"/>
      <c r="LC73" s="79"/>
      <c r="LD73" s="67"/>
      <c r="LF73" s="71"/>
      <c r="LG73" s="72"/>
      <c r="LH73" s="73"/>
      <c r="LI73" s="77"/>
      <c r="LJ73" s="78"/>
      <c r="LK73" s="78"/>
      <c r="LL73" s="79"/>
      <c r="LM73" s="67"/>
      <c r="LO73" s="98"/>
      <c r="LP73" s="99"/>
      <c r="LQ73" s="329"/>
      <c r="LR73" s="77"/>
      <c r="LS73" s="78"/>
      <c r="LT73" s="78"/>
      <c r="LU73" s="79"/>
      <c r="LV73" s="67"/>
      <c r="LX73" s="98"/>
      <c r="LY73" s="99"/>
      <c r="LZ73" s="100"/>
      <c r="MA73" s="77"/>
      <c r="MB73" s="78"/>
      <c r="MC73" s="78"/>
      <c r="MD73" s="79"/>
      <c r="ME73" s="67"/>
      <c r="MG73" s="98"/>
      <c r="MH73" s="99"/>
      <c r="MI73" s="100"/>
      <c r="MJ73" s="77"/>
      <c r="MK73" s="78"/>
      <c r="ML73" s="78"/>
      <c r="MM73" s="79"/>
      <c r="MN73" s="67"/>
      <c r="MP73" s="98"/>
      <c r="MQ73" s="99"/>
      <c r="MR73" s="100"/>
      <c r="MS73" s="77"/>
      <c r="MT73" s="78"/>
      <c r="MU73" s="78"/>
      <c r="MV73" s="79"/>
      <c r="MW73" s="67"/>
      <c r="MY73" s="98"/>
      <c r="MZ73" s="99"/>
      <c r="NA73" s="100"/>
      <c r="NB73" s="77"/>
      <c r="NC73" s="78"/>
      <c r="ND73" s="78"/>
      <c r="NE73" s="79"/>
      <c r="NF73" s="67"/>
      <c r="NH73" s="98"/>
      <c r="NI73" s="99"/>
      <c r="NJ73" s="329"/>
      <c r="NK73" s="77"/>
      <c r="NL73" s="78"/>
      <c r="NM73" s="78"/>
      <c r="NN73" s="79"/>
      <c r="NO73" s="67"/>
      <c r="NQ73" s="98"/>
      <c r="NR73" s="99"/>
      <c r="NS73" s="100"/>
      <c r="NT73" s="77"/>
      <c r="NU73" s="78"/>
      <c r="NV73" s="78"/>
      <c r="NW73" s="79"/>
      <c r="NX73" s="67"/>
      <c r="NZ73" s="71"/>
      <c r="OA73" s="72"/>
      <c r="OB73" s="73"/>
      <c r="OC73" s="77"/>
      <c r="OD73" s="78"/>
      <c r="OE73" s="78"/>
      <c r="OF73" s="79"/>
      <c r="OG73" s="67"/>
      <c r="OI73" s="98"/>
      <c r="OJ73" s="99"/>
      <c r="OK73" s="329"/>
      <c r="OL73" s="77"/>
      <c r="OM73" s="78"/>
      <c r="ON73" s="78"/>
      <c r="OO73" s="79"/>
      <c r="OP73" s="67"/>
      <c r="OR73" s="71"/>
      <c r="OS73" s="72"/>
      <c r="OT73" s="73"/>
      <c r="OU73" s="77"/>
      <c r="OV73" s="78"/>
      <c r="OW73" s="78"/>
      <c r="OX73" s="79"/>
      <c r="OY73" s="67"/>
      <c r="PA73" s="98"/>
      <c r="PB73" s="99"/>
      <c r="PC73" s="100"/>
      <c r="PD73" s="77"/>
      <c r="PE73" s="78"/>
      <c r="PF73" s="78"/>
      <c r="PG73" s="79"/>
      <c r="PH73" s="67"/>
      <c r="PJ73" s="68"/>
      <c r="PK73" s="69"/>
      <c r="PL73" s="70"/>
      <c r="PM73" s="77"/>
      <c r="PN73" s="78"/>
      <c r="PO73" s="78"/>
      <c r="PP73" s="79"/>
      <c r="PQ73" s="67"/>
      <c r="PS73" s="403"/>
      <c r="PT73" s="404"/>
      <c r="PU73" s="405"/>
      <c r="PV73" s="330"/>
      <c r="PW73" s="331"/>
      <c r="PX73" s="331"/>
      <c r="PY73" s="332"/>
      <c r="PZ73" s="333"/>
      <c r="QB73" s="71"/>
      <c r="QC73" s="72"/>
      <c r="QD73" s="73"/>
      <c r="QE73" s="77"/>
      <c r="QF73" s="78"/>
      <c r="QG73" s="78"/>
      <c r="QH73" s="79"/>
      <c r="QI73" s="67"/>
      <c r="QK73" s="283"/>
      <c r="QL73" s="284"/>
      <c r="QM73" s="285"/>
      <c r="QN73" s="77"/>
      <c r="QO73" s="78"/>
      <c r="QP73" s="78"/>
      <c r="QQ73" s="79"/>
      <c r="QR73" s="67" t="str">
        <f>IF(QM73="","",'Name List'!$I$4)</f>
        <v/>
      </c>
      <c r="QS73" s="91"/>
      <c r="QT73" s="107">
        <f t="shared" si="87"/>
        <v>0</v>
      </c>
      <c r="QU73" s="130">
        <f t="shared" si="88"/>
        <v>7</v>
      </c>
      <c r="QV73" s="130">
        <f t="shared" si="89"/>
        <v>43</v>
      </c>
      <c r="QW73" s="108">
        <f t="shared" si="90"/>
        <v>7</v>
      </c>
      <c r="QY73" s="260">
        <f t="shared" si="91"/>
        <v>5</v>
      </c>
      <c r="RA73" s="141">
        <f t="shared" si="92"/>
        <v>16</v>
      </c>
      <c r="RB73" s="106">
        <f t="shared" si="93"/>
        <v>15</v>
      </c>
      <c r="RC73" s="106">
        <f t="shared" si="94"/>
        <v>30</v>
      </c>
      <c r="RD73" s="106">
        <f t="shared" si="95"/>
        <v>12</v>
      </c>
      <c r="RE73" s="106">
        <f t="shared" si="96"/>
        <v>12</v>
      </c>
      <c r="RF73" s="142">
        <f t="shared" si="97"/>
        <v>25</v>
      </c>
      <c r="RG73" s="106"/>
      <c r="RH73" s="139">
        <f t="shared" si="98"/>
        <v>29</v>
      </c>
      <c r="RI73" s="140">
        <f t="shared" si="99"/>
        <v>29</v>
      </c>
      <c r="RJ73" s="106"/>
      <c r="RK73" s="136">
        <f t="shared" si="100"/>
        <v>22.4</v>
      </c>
      <c r="RL73" s="106"/>
      <c r="RM73" s="137">
        <f t="shared" si="101"/>
        <v>80</v>
      </c>
      <c r="RN73" s="138">
        <f t="shared" si="102"/>
        <v>80</v>
      </c>
      <c r="RO73" s="106"/>
      <c r="RP73" s="259">
        <f t="shared" si="103"/>
        <v>1</v>
      </c>
    </row>
    <row r="74" spans="1:484" x14ac:dyDescent="0.2">
      <c r="A74" s="89" t="str">
        <f>'Name List'!B74</f>
        <v>Kyle Deane</v>
      </c>
      <c r="C74" s="98"/>
      <c r="D74" s="99"/>
      <c r="E74" s="329" t="str">
        <f t="shared" si="67"/>
        <v/>
      </c>
      <c r="F74" s="77"/>
      <c r="G74" s="78"/>
      <c r="H74" s="78"/>
      <c r="I74" s="79"/>
      <c r="J74" s="333" t="str">
        <f>IF(E74="","",'Name List'!$I$4)</f>
        <v/>
      </c>
      <c r="L74" s="98"/>
      <c r="M74" s="99"/>
      <c r="N74" s="100"/>
      <c r="O74" s="77"/>
      <c r="P74" s="78"/>
      <c r="Q74" s="78"/>
      <c r="R74" s="79"/>
      <c r="S74" s="67"/>
      <c r="U74" s="71"/>
      <c r="V74" s="72"/>
      <c r="W74" s="396" t="str">
        <f t="shared" si="68"/>
        <v/>
      </c>
      <c r="X74" s="77"/>
      <c r="Y74" s="78"/>
      <c r="Z74" s="78"/>
      <c r="AA74" s="79"/>
      <c r="AB74" s="333" t="str">
        <f>IF(W74="","",'Name List'!$I$4)</f>
        <v/>
      </c>
      <c r="AD74" s="98"/>
      <c r="AE74" s="99"/>
      <c r="AF74" s="329" t="str">
        <f t="shared" si="69"/>
        <v/>
      </c>
      <c r="AG74" s="77"/>
      <c r="AH74" s="78"/>
      <c r="AI74" s="78"/>
      <c r="AJ74" s="79"/>
      <c r="AK74" s="333" t="str">
        <f>IF(AF74="","",'Name List'!$I$4)</f>
        <v/>
      </c>
      <c r="AM74" s="98"/>
      <c r="AN74" s="99"/>
      <c r="AO74" s="329" t="str">
        <f t="shared" si="70"/>
        <v/>
      </c>
      <c r="AP74" s="77"/>
      <c r="AQ74" s="78"/>
      <c r="AR74" s="78"/>
      <c r="AS74" s="79"/>
      <c r="AT74" s="333" t="str">
        <f>IF(AO74="","",'Name List'!$I$4)</f>
        <v/>
      </c>
      <c r="AV74" s="458"/>
      <c r="AW74" s="401"/>
      <c r="AX74" s="400" t="str">
        <f t="shared" si="71"/>
        <v/>
      </c>
      <c r="AY74" s="77"/>
      <c r="AZ74" s="78"/>
      <c r="BA74" s="78"/>
      <c r="BB74" s="79"/>
      <c r="BC74" s="457" t="str">
        <f>IF(AX74="","",'Name List'!$I$4)</f>
        <v/>
      </c>
      <c r="BE74" s="71"/>
      <c r="BF74" s="72"/>
      <c r="BG74" s="383" t="str">
        <f t="shared" si="72"/>
        <v/>
      </c>
      <c r="BH74" s="77"/>
      <c r="BI74" s="78"/>
      <c r="BJ74" s="78"/>
      <c r="BK74" s="79"/>
      <c r="BL74" s="333" t="str">
        <f>IF(BG74="","",'Name List'!$I$4)</f>
        <v/>
      </c>
      <c r="BN74" s="98"/>
      <c r="BO74" s="99"/>
      <c r="BP74" s="100"/>
      <c r="BQ74" s="77"/>
      <c r="BR74" s="78"/>
      <c r="BS74" s="78"/>
      <c r="BT74" s="79"/>
      <c r="BU74" s="67"/>
      <c r="BW74" s="98"/>
      <c r="BX74" s="99"/>
      <c r="BY74" s="329" t="str">
        <f t="shared" si="73"/>
        <v/>
      </c>
      <c r="BZ74" s="77"/>
      <c r="CA74" s="78"/>
      <c r="CB74" s="78"/>
      <c r="CC74" s="79"/>
      <c r="CD74" s="333" t="str">
        <f>IF(BY74="","",'Name List'!$I$4)</f>
        <v/>
      </c>
      <c r="CF74" s="68"/>
      <c r="CG74" s="69"/>
      <c r="CH74" s="282" t="str">
        <f t="shared" si="86"/>
        <v/>
      </c>
      <c r="CI74" s="77"/>
      <c r="CJ74" s="78"/>
      <c r="CK74" s="78"/>
      <c r="CL74" s="79"/>
      <c r="CM74" s="333" t="str">
        <f>IF(CH74="","",'Name List'!$I$4)</f>
        <v/>
      </c>
      <c r="CO74" s="71"/>
      <c r="CP74" s="72"/>
      <c r="CQ74" s="383" t="str">
        <f t="shared" si="74"/>
        <v/>
      </c>
      <c r="CR74" s="77"/>
      <c r="CS74" s="78"/>
      <c r="CT74" s="78"/>
      <c r="CU74" s="79"/>
      <c r="CV74" s="333" t="str">
        <f>IF(CQ74="","",'Name List'!$I$4)</f>
        <v/>
      </c>
      <c r="CX74" s="98"/>
      <c r="CY74" s="99"/>
      <c r="CZ74" s="329" t="str">
        <f t="shared" si="75"/>
        <v/>
      </c>
      <c r="DA74" s="77"/>
      <c r="DB74" s="78"/>
      <c r="DC74" s="78"/>
      <c r="DD74" s="79"/>
      <c r="DE74" s="333" t="str">
        <f>IF(CZ74="","",'Name List'!$I$4)</f>
        <v/>
      </c>
      <c r="DG74" s="98"/>
      <c r="DH74" s="99"/>
      <c r="DI74" s="329" t="str">
        <f t="shared" si="76"/>
        <v/>
      </c>
      <c r="DJ74" s="77"/>
      <c r="DK74" s="78"/>
      <c r="DL74" s="78"/>
      <c r="DM74" s="79"/>
      <c r="DN74" s="333" t="str">
        <f>IF(DI74="","",'Name List'!$I$4)</f>
        <v/>
      </c>
      <c r="DP74" s="98"/>
      <c r="DQ74" s="99"/>
      <c r="DR74" s="329" t="str">
        <f t="shared" si="77"/>
        <v/>
      </c>
      <c r="DS74" s="77"/>
      <c r="DT74" s="78"/>
      <c r="DU74" s="78"/>
      <c r="DV74" s="79"/>
      <c r="DW74" s="333" t="str">
        <f>IF(DR74="","",'Name List'!$I$4)</f>
        <v/>
      </c>
      <c r="DY74" s="98"/>
      <c r="DZ74" s="99"/>
      <c r="EA74" s="329" t="str">
        <f t="shared" si="78"/>
        <v/>
      </c>
      <c r="EB74" s="77"/>
      <c r="EC74" s="78"/>
      <c r="ED74" s="78"/>
      <c r="EE74" s="79"/>
      <c r="EF74" s="333" t="str">
        <f>IF(EA74="","",'Name List'!$I$4)</f>
        <v/>
      </c>
      <c r="EH74" s="98"/>
      <c r="EI74" s="99"/>
      <c r="EJ74" s="329" t="str">
        <f t="shared" si="79"/>
        <v/>
      </c>
      <c r="EK74" s="77"/>
      <c r="EL74" s="78"/>
      <c r="EM74" s="78"/>
      <c r="EN74" s="79"/>
      <c r="EO74" s="333" t="str">
        <f>IF(EJ74="","",'Name List'!$I$4)</f>
        <v/>
      </c>
      <c r="EQ74" s="115"/>
      <c r="ER74" s="116"/>
      <c r="ES74" s="390"/>
      <c r="ET74" s="77"/>
      <c r="EU74" s="78"/>
      <c r="EV74" s="78"/>
      <c r="EW74" s="79"/>
      <c r="EX74" s="333" t="str">
        <f>IF(ES74="","",'Name List'!$I$4)</f>
        <v/>
      </c>
      <c r="EZ74" s="68"/>
      <c r="FA74" s="69"/>
      <c r="FB74" s="70"/>
      <c r="FC74" s="77"/>
      <c r="FD74" s="78"/>
      <c r="FE74" s="78"/>
      <c r="FF74" s="79"/>
      <c r="FG74" s="67"/>
      <c r="FI74" s="98"/>
      <c r="FJ74" s="99"/>
      <c r="FK74" s="329" t="str">
        <f t="shared" si="80"/>
        <v/>
      </c>
      <c r="FL74" s="77"/>
      <c r="FM74" s="78"/>
      <c r="FN74" s="78"/>
      <c r="FO74" s="79"/>
      <c r="FP74" s="333" t="str">
        <f>IF(FK74="","",'Name List'!$I$4)</f>
        <v/>
      </c>
      <c r="FR74" s="98"/>
      <c r="FS74" s="99"/>
      <c r="FT74" s="100"/>
      <c r="FU74" s="77"/>
      <c r="FV74" s="78"/>
      <c r="FW74" s="78"/>
      <c r="FX74" s="79"/>
      <c r="FY74" s="333" t="str">
        <f>IF(FT74="","",'Name List'!$I$4)</f>
        <v/>
      </c>
      <c r="GA74" s="98"/>
      <c r="GB74" s="99"/>
      <c r="GC74" s="329" t="str">
        <f t="shared" si="82"/>
        <v/>
      </c>
      <c r="GD74" s="77"/>
      <c r="GE74" s="78"/>
      <c r="GF74" s="78"/>
      <c r="GG74" s="79"/>
      <c r="GH74" s="333" t="str">
        <f>IF(GC74="","",'Name List'!$I$4)</f>
        <v/>
      </c>
      <c r="GJ74" s="98">
        <v>12</v>
      </c>
      <c r="GK74" s="99">
        <v>12</v>
      </c>
      <c r="GL74" s="329">
        <f t="shared" si="83"/>
        <v>24</v>
      </c>
      <c r="GM74" s="77">
        <v>0</v>
      </c>
      <c r="GN74" s="78">
        <v>1</v>
      </c>
      <c r="GO74" s="78">
        <v>5</v>
      </c>
      <c r="GP74" s="79">
        <v>3</v>
      </c>
      <c r="GQ74" s="333">
        <f>IF(GL74="","",'Name List'!$I$4)</f>
        <v>5</v>
      </c>
      <c r="GS74" s="68"/>
      <c r="GT74" s="69"/>
      <c r="GU74" s="70"/>
      <c r="GV74" s="77"/>
      <c r="GW74" s="78"/>
      <c r="GX74" s="78"/>
      <c r="GY74" s="79"/>
      <c r="GZ74" s="67"/>
      <c r="HB74" s="98"/>
      <c r="HC74" s="99"/>
      <c r="HD74" s="329" t="str">
        <f t="shared" si="84"/>
        <v/>
      </c>
      <c r="HE74" s="77"/>
      <c r="HF74" s="78"/>
      <c r="HG74" s="78"/>
      <c r="HH74" s="79"/>
      <c r="HI74" s="333" t="str">
        <f>IF(HD74="","",'Name List'!$I$4)</f>
        <v/>
      </c>
      <c r="HK74" s="71"/>
      <c r="HL74" s="72"/>
      <c r="HM74" s="383" t="str">
        <f t="shared" si="85"/>
        <v/>
      </c>
      <c r="HN74" s="77"/>
      <c r="HO74" s="78"/>
      <c r="HP74" s="78"/>
      <c r="HQ74" s="79"/>
      <c r="HR74" s="333" t="str">
        <f>IF(HM74="","",'Name List'!$I$4)</f>
        <v/>
      </c>
      <c r="HT74" s="68"/>
      <c r="HU74" s="69"/>
      <c r="HV74" s="70"/>
      <c r="HW74" s="77"/>
      <c r="HX74" s="78"/>
      <c r="HY74" s="78"/>
      <c r="HZ74" s="79"/>
      <c r="IA74" s="67"/>
      <c r="IC74" s="115"/>
      <c r="ID74" s="116"/>
      <c r="IE74" s="117"/>
      <c r="IF74" s="77"/>
      <c r="IG74" s="78"/>
      <c r="IH74" s="78"/>
      <c r="II74" s="79"/>
      <c r="IJ74" s="333" t="str">
        <f>IF(IE74="","",'Name List'!$I$4)</f>
        <v/>
      </c>
      <c r="IL74" s="98"/>
      <c r="IM74" s="99"/>
      <c r="IN74" s="100"/>
      <c r="IO74" s="77"/>
      <c r="IP74" s="78"/>
      <c r="IQ74" s="78"/>
      <c r="IR74" s="79"/>
      <c r="IS74" s="67"/>
      <c r="IU74" s="98"/>
      <c r="IV74" s="99"/>
      <c r="IW74" s="100"/>
      <c r="IX74" s="77"/>
      <c r="IY74" s="78"/>
      <c r="IZ74" s="78"/>
      <c r="JA74" s="79"/>
      <c r="JB74" s="67"/>
      <c r="JD74" s="98"/>
      <c r="JE74" s="99"/>
      <c r="JF74" s="100"/>
      <c r="JG74" s="77"/>
      <c r="JH74" s="78"/>
      <c r="JI74" s="78"/>
      <c r="JJ74" s="79"/>
      <c r="JK74" s="67"/>
      <c r="JM74" s="98"/>
      <c r="JN74" s="99"/>
      <c r="JO74" s="275"/>
      <c r="JP74" s="77"/>
      <c r="JQ74" s="78"/>
      <c r="JR74" s="78"/>
      <c r="JS74" s="79"/>
      <c r="JT74" s="67"/>
      <c r="JV74" s="98"/>
      <c r="JW74" s="99"/>
      <c r="JX74" s="100"/>
      <c r="JY74" s="77"/>
      <c r="JZ74" s="78"/>
      <c r="KA74" s="78"/>
      <c r="KB74" s="79"/>
      <c r="KC74" s="67"/>
      <c r="KE74" s="98"/>
      <c r="KF74" s="99"/>
      <c r="KG74" s="100"/>
      <c r="KH74" s="77"/>
      <c r="KI74" s="78"/>
      <c r="KJ74" s="78"/>
      <c r="KK74" s="79"/>
      <c r="KL74" s="67"/>
      <c r="KN74" s="68"/>
      <c r="KO74" s="69"/>
      <c r="KP74" s="70"/>
      <c r="KQ74" s="77"/>
      <c r="KR74" s="78"/>
      <c r="KS74" s="78"/>
      <c r="KT74" s="79"/>
      <c r="KU74" s="67"/>
      <c r="KW74" s="98"/>
      <c r="KX74" s="99"/>
      <c r="KY74" s="100"/>
      <c r="KZ74" s="77"/>
      <c r="LA74" s="78"/>
      <c r="LB74" s="78"/>
      <c r="LC74" s="79"/>
      <c r="LD74" s="67"/>
      <c r="LF74" s="71"/>
      <c r="LG74" s="72"/>
      <c r="LH74" s="73"/>
      <c r="LI74" s="77"/>
      <c r="LJ74" s="78"/>
      <c r="LK74" s="78"/>
      <c r="LL74" s="79"/>
      <c r="LM74" s="67"/>
      <c r="LO74" s="98"/>
      <c r="LP74" s="99"/>
      <c r="LQ74" s="329"/>
      <c r="LR74" s="77"/>
      <c r="LS74" s="78"/>
      <c r="LT74" s="78"/>
      <c r="LU74" s="79"/>
      <c r="LV74" s="67"/>
      <c r="LX74" s="98"/>
      <c r="LY74" s="99"/>
      <c r="LZ74" s="100"/>
      <c r="MA74" s="77"/>
      <c r="MB74" s="78"/>
      <c r="MC74" s="78"/>
      <c r="MD74" s="79"/>
      <c r="ME74" s="67"/>
      <c r="MG74" s="98"/>
      <c r="MH74" s="99"/>
      <c r="MI74" s="100"/>
      <c r="MJ74" s="77"/>
      <c r="MK74" s="78"/>
      <c r="ML74" s="78"/>
      <c r="MM74" s="79"/>
      <c r="MN74" s="67"/>
      <c r="MP74" s="98"/>
      <c r="MQ74" s="99"/>
      <c r="MR74" s="100"/>
      <c r="MS74" s="77"/>
      <c r="MT74" s="78"/>
      <c r="MU74" s="78"/>
      <c r="MV74" s="79"/>
      <c r="MW74" s="67"/>
      <c r="MY74" s="98"/>
      <c r="MZ74" s="99"/>
      <c r="NA74" s="100"/>
      <c r="NB74" s="77"/>
      <c r="NC74" s="78"/>
      <c r="ND74" s="78"/>
      <c r="NE74" s="79"/>
      <c r="NF74" s="67"/>
      <c r="NH74" s="98"/>
      <c r="NI74" s="99"/>
      <c r="NJ74" s="329"/>
      <c r="NK74" s="77"/>
      <c r="NL74" s="78"/>
      <c r="NM74" s="78"/>
      <c r="NN74" s="79"/>
      <c r="NO74" s="67"/>
      <c r="NQ74" s="98"/>
      <c r="NR74" s="99"/>
      <c r="NS74" s="100"/>
      <c r="NT74" s="77"/>
      <c r="NU74" s="78"/>
      <c r="NV74" s="78"/>
      <c r="NW74" s="79"/>
      <c r="NX74" s="67"/>
      <c r="NZ74" s="71"/>
      <c r="OA74" s="72"/>
      <c r="OB74" s="73"/>
      <c r="OC74" s="77"/>
      <c r="OD74" s="78"/>
      <c r="OE74" s="78"/>
      <c r="OF74" s="79"/>
      <c r="OG74" s="67"/>
      <c r="OI74" s="98"/>
      <c r="OJ74" s="99"/>
      <c r="OK74" s="329"/>
      <c r="OL74" s="77"/>
      <c r="OM74" s="78"/>
      <c r="ON74" s="78"/>
      <c r="OO74" s="79"/>
      <c r="OP74" s="67"/>
      <c r="OR74" s="71"/>
      <c r="OS74" s="72"/>
      <c r="OT74" s="73"/>
      <c r="OU74" s="77"/>
      <c r="OV74" s="78"/>
      <c r="OW74" s="78"/>
      <c r="OX74" s="79"/>
      <c r="OY74" s="67"/>
      <c r="PA74" s="98"/>
      <c r="PB74" s="99"/>
      <c r="PC74" s="100"/>
      <c r="PD74" s="77"/>
      <c r="PE74" s="78"/>
      <c r="PF74" s="78"/>
      <c r="PG74" s="79"/>
      <c r="PH74" s="67"/>
      <c r="PJ74" s="68"/>
      <c r="PK74" s="69"/>
      <c r="PL74" s="70"/>
      <c r="PM74" s="77"/>
      <c r="PN74" s="78"/>
      <c r="PO74" s="78"/>
      <c r="PP74" s="79"/>
      <c r="PQ74" s="67"/>
      <c r="PS74" s="403"/>
      <c r="PT74" s="404"/>
      <c r="PU74" s="405"/>
      <c r="PV74" s="330"/>
      <c r="PW74" s="331"/>
      <c r="PX74" s="331"/>
      <c r="PY74" s="332"/>
      <c r="PZ74" s="333"/>
      <c r="QB74" s="71"/>
      <c r="QC74" s="72"/>
      <c r="QD74" s="73"/>
      <c r="QE74" s="77"/>
      <c r="QF74" s="78"/>
      <c r="QG74" s="78"/>
      <c r="QH74" s="79"/>
      <c r="QI74" s="67"/>
      <c r="QK74" s="283"/>
      <c r="QL74" s="284"/>
      <c r="QM74" s="285"/>
      <c r="QN74" s="77"/>
      <c r="QO74" s="78"/>
      <c r="QP74" s="78"/>
      <c r="QQ74" s="79"/>
      <c r="QR74" s="67" t="str">
        <f>IF(QM74="","",'Name List'!$I$4)</f>
        <v/>
      </c>
      <c r="QS74" s="91"/>
      <c r="QT74" s="107">
        <f t="shared" si="87"/>
        <v>0</v>
      </c>
      <c r="QU74" s="130">
        <f t="shared" si="88"/>
        <v>1</v>
      </c>
      <c r="QV74" s="130">
        <f t="shared" si="89"/>
        <v>5</v>
      </c>
      <c r="QW74" s="108">
        <f t="shared" si="90"/>
        <v>3</v>
      </c>
      <c r="QY74" s="260">
        <f t="shared" si="91"/>
        <v>1</v>
      </c>
      <c r="RA74" s="141">
        <f t="shared" si="92"/>
        <v>12</v>
      </c>
      <c r="RB74" s="106">
        <f t="shared" si="93"/>
        <v>12</v>
      </c>
      <c r="RC74" s="106">
        <f t="shared" si="94"/>
        <v>24</v>
      </c>
      <c r="RD74" s="106">
        <f t="shared" si="95"/>
        <v>12</v>
      </c>
      <c r="RE74" s="106">
        <f t="shared" si="96"/>
        <v>12</v>
      </c>
      <c r="RF74" s="142">
        <f t="shared" si="97"/>
        <v>24</v>
      </c>
      <c r="RG74" s="106"/>
      <c r="RH74" s="139">
        <f t="shared" si="98"/>
        <v>0</v>
      </c>
      <c r="RI74" s="140">
        <f t="shared" si="99"/>
        <v>0</v>
      </c>
      <c r="RJ74" s="106"/>
      <c r="RK74" s="136">
        <f t="shared" si="100"/>
        <v>24</v>
      </c>
      <c r="RL74" s="106"/>
      <c r="RM74" s="137">
        <f t="shared" si="101"/>
        <v>0</v>
      </c>
      <c r="RN74" s="138">
        <f t="shared" si="102"/>
        <v>0</v>
      </c>
      <c r="RO74" s="106"/>
      <c r="RP74" s="259">
        <f t="shared" si="103"/>
        <v>0</v>
      </c>
    </row>
    <row r="75" spans="1:484" x14ac:dyDescent="0.2">
      <c r="A75" s="89">
        <f>'Name List'!B75</f>
        <v>1</v>
      </c>
      <c r="C75" s="98"/>
      <c r="D75" s="99"/>
      <c r="E75" s="329" t="str">
        <f t="shared" si="67"/>
        <v/>
      </c>
      <c r="F75" s="77"/>
      <c r="G75" s="78"/>
      <c r="H75" s="78"/>
      <c r="I75" s="79"/>
      <c r="J75" s="333" t="str">
        <f>IF(E75="","",'Name List'!$I$4)</f>
        <v/>
      </c>
      <c r="L75" s="98"/>
      <c r="M75" s="99"/>
      <c r="N75" s="100"/>
      <c r="O75" s="77"/>
      <c r="P75" s="78"/>
      <c r="Q75" s="78"/>
      <c r="R75" s="79"/>
      <c r="S75" s="67"/>
      <c r="U75" s="71"/>
      <c r="V75" s="72"/>
      <c r="W75" s="396" t="str">
        <f t="shared" si="68"/>
        <v/>
      </c>
      <c r="X75" s="77"/>
      <c r="Y75" s="78"/>
      <c r="Z75" s="78"/>
      <c r="AA75" s="79"/>
      <c r="AB75" s="333" t="str">
        <f>IF(W75="","",'Name List'!$I$4)</f>
        <v/>
      </c>
      <c r="AD75" s="98"/>
      <c r="AE75" s="99"/>
      <c r="AF75" s="329" t="str">
        <f t="shared" si="69"/>
        <v/>
      </c>
      <c r="AG75" s="77"/>
      <c r="AH75" s="78"/>
      <c r="AI75" s="78"/>
      <c r="AJ75" s="79"/>
      <c r="AK75" s="333" t="str">
        <f>IF(AF75="","",'Name List'!$I$4)</f>
        <v/>
      </c>
      <c r="AM75" s="98"/>
      <c r="AN75" s="99"/>
      <c r="AO75" s="329" t="str">
        <f t="shared" si="70"/>
        <v/>
      </c>
      <c r="AP75" s="77"/>
      <c r="AQ75" s="78"/>
      <c r="AR75" s="78"/>
      <c r="AS75" s="79"/>
      <c r="AT75" s="333" t="str">
        <f>IF(AO75="","",'Name List'!$I$4)</f>
        <v/>
      </c>
      <c r="AV75" s="458"/>
      <c r="AW75" s="401"/>
      <c r="AX75" s="400" t="str">
        <f t="shared" si="71"/>
        <v/>
      </c>
      <c r="AY75" s="77"/>
      <c r="AZ75" s="78"/>
      <c r="BA75" s="78"/>
      <c r="BB75" s="79"/>
      <c r="BC75" s="457" t="str">
        <f>IF(AX75="","",'Name List'!$I$4)</f>
        <v/>
      </c>
      <c r="BE75" s="71"/>
      <c r="BF75" s="72"/>
      <c r="BG75" s="383" t="str">
        <f t="shared" si="72"/>
        <v/>
      </c>
      <c r="BH75" s="77"/>
      <c r="BI75" s="78"/>
      <c r="BJ75" s="78"/>
      <c r="BK75" s="79"/>
      <c r="BL75" s="333" t="str">
        <f>IF(BG75="","",'Name List'!$I$4)</f>
        <v/>
      </c>
      <c r="BN75" s="98"/>
      <c r="BO75" s="99"/>
      <c r="BP75" s="100"/>
      <c r="BQ75" s="77"/>
      <c r="BR75" s="78"/>
      <c r="BS75" s="78"/>
      <c r="BT75" s="79"/>
      <c r="BU75" s="67"/>
      <c r="BW75" s="98"/>
      <c r="BX75" s="99"/>
      <c r="BY75" s="329" t="str">
        <f t="shared" si="73"/>
        <v/>
      </c>
      <c r="BZ75" s="77"/>
      <c r="CA75" s="78"/>
      <c r="CB75" s="78"/>
      <c r="CC75" s="79"/>
      <c r="CD75" s="333" t="str">
        <f>IF(BY75="","",'Name List'!$I$4)</f>
        <v/>
      </c>
      <c r="CF75" s="68"/>
      <c r="CG75" s="69"/>
      <c r="CH75" s="282" t="str">
        <f t="shared" si="86"/>
        <v/>
      </c>
      <c r="CI75" s="77"/>
      <c r="CJ75" s="78"/>
      <c r="CK75" s="78"/>
      <c r="CL75" s="79"/>
      <c r="CM75" s="333" t="str">
        <f>IF(CH75="","",'Name List'!$I$4)</f>
        <v/>
      </c>
      <c r="CO75" s="71"/>
      <c r="CP75" s="72"/>
      <c r="CQ75" s="383" t="str">
        <f t="shared" si="74"/>
        <v/>
      </c>
      <c r="CR75" s="77"/>
      <c r="CS75" s="78"/>
      <c r="CT75" s="78"/>
      <c r="CU75" s="79"/>
      <c r="CV75" s="333" t="str">
        <f>IF(CQ75="","",'Name List'!$I$4)</f>
        <v/>
      </c>
      <c r="CX75" s="98"/>
      <c r="CY75" s="99"/>
      <c r="CZ75" s="329" t="str">
        <f t="shared" si="75"/>
        <v/>
      </c>
      <c r="DA75" s="77"/>
      <c r="DB75" s="78"/>
      <c r="DC75" s="78"/>
      <c r="DD75" s="79"/>
      <c r="DE75" s="333" t="str">
        <f>IF(CZ75="","",'Name List'!$I$4)</f>
        <v/>
      </c>
      <c r="DG75" s="98"/>
      <c r="DH75" s="99"/>
      <c r="DI75" s="329" t="str">
        <f t="shared" si="76"/>
        <v/>
      </c>
      <c r="DJ75" s="77"/>
      <c r="DK75" s="78"/>
      <c r="DL75" s="78"/>
      <c r="DM75" s="79"/>
      <c r="DN75" s="333" t="str">
        <f>IF(DI75="","",'Name List'!$I$4)</f>
        <v/>
      </c>
      <c r="DP75" s="98"/>
      <c r="DQ75" s="99"/>
      <c r="DR75" s="329" t="str">
        <f t="shared" si="77"/>
        <v/>
      </c>
      <c r="DS75" s="77"/>
      <c r="DT75" s="78"/>
      <c r="DU75" s="78"/>
      <c r="DV75" s="79"/>
      <c r="DW75" s="333" t="str">
        <f>IF(DR75="","",'Name List'!$I$4)</f>
        <v/>
      </c>
      <c r="DY75" s="98"/>
      <c r="DZ75" s="99"/>
      <c r="EA75" s="329" t="str">
        <f t="shared" si="78"/>
        <v/>
      </c>
      <c r="EB75" s="77"/>
      <c r="EC75" s="78"/>
      <c r="ED75" s="78"/>
      <c r="EE75" s="79"/>
      <c r="EF75" s="333" t="str">
        <f>IF(EA75="","",'Name List'!$I$4)</f>
        <v/>
      </c>
      <c r="EH75" s="98"/>
      <c r="EI75" s="99"/>
      <c r="EJ75" s="329" t="str">
        <f t="shared" si="79"/>
        <v/>
      </c>
      <c r="EK75" s="77"/>
      <c r="EL75" s="78"/>
      <c r="EM75" s="78"/>
      <c r="EN75" s="79"/>
      <c r="EO75" s="333" t="str">
        <f>IF(EJ75="","",'Name List'!$I$4)</f>
        <v/>
      </c>
      <c r="EQ75" s="115"/>
      <c r="ER75" s="116"/>
      <c r="ES75" s="390"/>
      <c r="ET75" s="77"/>
      <c r="EU75" s="78"/>
      <c r="EV75" s="78"/>
      <c r="EW75" s="79"/>
      <c r="EX75" s="67"/>
      <c r="EZ75" s="68"/>
      <c r="FA75" s="69"/>
      <c r="FB75" s="70"/>
      <c r="FC75" s="77"/>
      <c r="FD75" s="78"/>
      <c r="FE75" s="78"/>
      <c r="FF75" s="79"/>
      <c r="FG75" s="67"/>
      <c r="FI75" s="98"/>
      <c r="FJ75" s="99"/>
      <c r="FK75" s="100"/>
      <c r="FL75" s="77"/>
      <c r="FM75" s="78"/>
      <c r="FN75" s="78"/>
      <c r="FO75" s="79"/>
      <c r="FP75" s="67"/>
      <c r="FR75" s="98"/>
      <c r="FS75" s="99"/>
      <c r="FT75" s="100"/>
      <c r="FU75" s="77"/>
      <c r="FV75" s="78"/>
      <c r="FW75" s="78"/>
      <c r="FX75" s="79"/>
      <c r="FY75" s="333" t="str">
        <f>IF(FT75="","",'Name List'!$I$4)</f>
        <v/>
      </c>
      <c r="GA75" s="98"/>
      <c r="GB75" s="99"/>
      <c r="GC75" s="329" t="str">
        <f t="shared" si="82"/>
        <v/>
      </c>
      <c r="GD75" s="77"/>
      <c r="GE75" s="78"/>
      <c r="GF75" s="78"/>
      <c r="GG75" s="79"/>
      <c r="GH75" s="67"/>
      <c r="GJ75" s="98"/>
      <c r="GK75" s="99"/>
      <c r="GL75" s="329" t="str">
        <f t="shared" si="83"/>
        <v/>
      </c>
      <c r="GM75" s="77"/>
      <c r="GN75" s="78"/>
      <c r="GO75" s="78"/>
      <c r="GP75" s="79"/>
      <c r="GQ75" s="333" t="str">
        <f>IF(GL75="","",'Name List'!$I$4)</f>
        <v/>
      </c>
      <c r="GS75" s="68"/>
      <c r="GT75" s="69"/>
      <c r="GU75" s="70"/>
      <c r="GV75" s="77"/>
      <c r="GW75" s="78"/>
      <c r="GX75" s="78"/>
      <c r="GY75" s="79"/>
      <c r="GZ75" s="67"/>
      <c r="HB75" s="98"/>
      <c r="HC75" s="99"/>
      <c r="HD75" s="329" t="str">
        <f t="shared" si="84"/>
        <v/>
      </c>
      <c r="HE75" s="77"/>
      <c r="HF75" s="78"/>
      <c r="HG75" s="78"/>
      <c r="HH75" s="79"/>
      <c r="HI75" s="333" t="str">
        <f>IF(HD75="","",'Name List'!$I$4)</f>
        <v/>
      </c>
      <c r="HK75" s="71"/>
      <c r="HL75" s="72"/>
      <c r="HM75" s="383" t="str">
        <f t="shared" si="85"/>
        <v/>
      </c>
      <c r="HN75" s="77"/>
      <c r="HO75" s="78"/>
      <c r="HP75" s="78"/>
      <c r="HQ75" s="79"/>
      <c r="HR75" s="333" t="str">
        <f>IF(HM75="","",'Name List'!$I$4)</f>
        <v/>
      </c>
      <c r="HT75" s="68"/>
      <c r="HU75" s="69"/>
      <c r="HV75" s="70"/>
      <c r="HW75" s="77"/>
      <c r="HX75" s="78"/>
      <c r="HY75" s="78"/>
      <c r="HZ75" s="79"/>
      <c r="IA75" s="67"/>
      <c r="IC75" s="115"/>
      <c r="ID75" s="116"/>
      <c r="IE75" s="117"/>
      <c r="IF75" s="77"/>
      <c r="IG75" s="78"/>
      <c r="IH75" s="78"/>
      <c r="II75" s="79"/>
      <c r="IJ75" s="333" t="str">
        <f>IF(IE75="","",'Name List'!$I$4)</f>
        <v/>
      </c>
      <c r="IL75" s="98"/>
      <c r="IM75" s="99"/>
      <c r="IN75" s="100"/>
      <c r="IO75" s="77"/>
      <c r="IP75" s="78"/>
      <c r="IQ75" s="78"/>
      <c r="IR75" s="79"/>
      <c r="IS75" s="67"/>
      <c r="IU75" s="98"/>
      <c r="IV75" s="99"/>
      <c r="IW75" s="100"/>
      <c r="IX75" s="77"/>
      <c r="IY75" s="78"/>
      <c r="IZ75" s="78"/>
      <c r="JA75" s="79"/>
      <c r="JB75" s="67"/>
      <c r="JD75" s="98"/>
      <c r="JE75" s="99"/>
      <c r="JF75" s="100"/>
      <c r="JG75" s="77"/>
      <c r="JH75" s="78"/>
      <c r="JI75" s="78"/>
      <c r="JJ75" s="79"/>
      <c r="JK75" s="67"/>
      <c r="JM75" s="98"/>
      <c r="JN75" s="99"/>
      <c r="JO75" s="275"/>
      <c r="JP75" s="77"/>
      <c r="JQ75" s="78"/>
      <c r="JR75" s="78"/>
      <c r="JS75" s="79"/>
      <c r="JT75" s="67"/>
      <c r="JV75" s="98"/>
      <c r="JW75" s="99"/>
      <c r="JX75" s="100"/>
      <c r="JY75" s="77"/>
      <c r="JZ75" s="78"/>
      <c r="KA75" s="78"/>
      <c r="KB75" s="79"/>
      <c r="KC75" s="67"/>
      <c r="KE75" s="98"/>
      <c r="KF75" s="99"/>
      <c r="KG75" s="100"/>
      <c r="KH75" s="77"/>
      <c r="KI75" s="78"/>
      <c r="KJ75" s="78"/>
      <c r="KK75" s="79"/>
      <c r="KL75" s="67"/>
      <c r="KN75" s="68"/>
      <c r="KO75" s="69"/>
      <c r="KP75" s="70"/>
      <c r="KQ75" s="77"/>
      <c r="KR75" s="78"/>
      <c r="KS75" s="78"/>
      <c r="KT75" s="79"/>
      <c r="KU75" s="67"/>
      <c r="KW75" s="98"/>
      <c r="KX75" s="99"/>
      <c r="KY75" s="100"/>
      <c r="KZ75" s="77"/>
      <c r="LA75" s="78"/>
      <c r="LB75" s="78"/>
      <c r="LC75" s="79"/>
      <c r="LD75" s="67"/>
      <c r="LF75" s="71"/>
      <c r="LG75" s="72"/>
      <c r="LH75" s="73"/>
      <c r="LI75" s="77"/>
      <c r="LJ75" s="78"/>
      <c r="LK75" s="78"/>
      <c r="LL75" s="79"/>
      <c r="LM75" s="67"/>
      <c r="LO75" s="98"/>
      <c r="LP75" s="99"/>
      <c r="LQ75" s="329"/>
      <c r="LR75" s="77"/>
      <c r="LS75" s="78"/>
      <c r="LT75" s="78"/>
      <c r="LU75" s="79"/>
      <c r="LV75" s="67"/>
      <c r="LX75" s="98"/>
      <c r="LY75" s="99"/>
      <c r="LZ75" s="100"/>
      <c r="MA75" s="77"/>
      <c r="MB75" s="78"/>
      <c r="MC75" s="78"/>
      <c r="MD75" s="79"/>
      <c r="ME75" s="67"/>
      <c r="MG75" s="98"/>
      <c r="MH75" s="99"/>
      <c r="MI75" s="100"/>
      <c r="MJ75" s="77"/>
      <c r="MK75" s="78"/>
      <c r="ML75" s="78"/>
      <c r="MM75" s="79"/>
      <c r="MN75" s="67"/>
      <c r="MP75" s="98"/>
      <c r="MQ75" s="99"/>
      <c r="MR75" s="100"/>
      <c r="MS75" s="77"/>
      <c r="MT75" s="78"/>
      <c r="MU75" s="78"/>
      <c r="MV75" s="79"/>
      <c r="MW75" s="67"/>
      <c r="MY75" s="98"/>
      <c r="MZ75" s="99"/>
      <c r="NA75" s="100"/>
      <c r="NB75" s="77"/>
      <c r="NC75" s="78"/>
      <c r="ND75" s="78"/>
      <c r="NE75" s="79"/>
      <c r="NF75" s="67"/>
      <c r="NH75" s="98"/>
      <c r="NI75" s="99"/>
      <c r="NJ75" s="329"/>
      <c r="NK75" s="77"/>
      <c r="NL75" s="78"/>
      <c r="NM75" s="78"/>
      <c r="NN75" s="79"/>
      <c r="NO75" s="67"/>
      <c r="NQ75" s="98"/>
      <c r="NR75" s="99"/>
      <c r="NS75" s="100"/>
      <c r="NT75" s="77"/>
      <c r="NU75" s="78"/>
      <c r="NV75" s="78"/>
      <c r="NW75" s="79"/>
      <c r="NX75" s="67"/>
      <c r="NZ75" s="71"/>
      <c r="OA75" s="72"/>
      <c r="OB75" s="73"/>
      <c r="OC75" s="77"/>
      <c r="OD75" s="78"/>
      <c r="OE75" s="78"/>
      <c r="OF75" s="79"/>
      <c r="OG75" s="67"/>
      <c r="OI75" s="98"/>
      <c r="OJ75" s="99"/>
      <c r="OK75" s="329"/>
      <c r="OL75" s="77"/>
      <c r="OM75" s="78"/>
      <c r="ON75" s="78"/>
      <c r="OO75" s="79"/>
      <c r="OP75" s="67"/>
      <c r="OR75" s="71"/>
      <c r="OS75" s="72"/>
      <c r="OT75" s="73"/>
      <c r="OU75" s="77"/>
      <c r="OV75" s="78"/>
      <c r="OW75" s="78"/>
      <c r="OX75" s="79"/>
      <c r="OY75" s="67"/>
      <c r="PA75" s="98"/>
      <c r="PB75" s="99"/>
      <c r="PC75" s="100"/>
      <c r="PD75" s="77"/>
      <c r="PE75" s="78"/>
      <c r="PF75" s="78"/>
      <c r="PG75" s="79"/>
      <c r="PH75" s="67"/>
      <c r="PJ75" s="68"/>
      <c r="PK75" s="69"/>
      <c r="PL75" s="70"/>
      <c r="PM75" s="77"/>
      <c r="PN75" s="78"/>
      <c r="PO75" s="78"/>
      <c r="PP75" s="79"/>
      <c r="PQ75" s="67"/>
      <c r="PS75" s="403"/>
      <c r="PT75" s="404"/>
      <c r="PU75" s="405"/>
      <c r="PV75" s="330"/>
      <c r="PW75" s="331"/>
      <c r="PX75" s="331"/>
      <c r="PY75" s="332"/>
      <c r="PZ75" s="333"/>
      <c r="QB75" s="71"/>
      <c r="QC75" s="72"/>
      <c r="QD75" s="73"/>
      <c r="QE75" s="77"/>
      <c r="QF75" s="78"/>
      <c r="QG75" s="78"/>
      <c r="QH75" s="79"/>
      <c r="QI75" s="67"/>
      <c r="QK75" s="283"/>
      <c r="QL75" s="284"/>
      <c r="QM75" s="285"/>
      <c r="QN75" s="77"/>
      <c r="QO75" s="78"/>
      <c r="QP75" s="78"/>
      <c r="QQ75" s="79"/>
      <c r="QR75" s="67" t="str">
        <f>IF(QM75="","",'Name List'!$I$4)</f>
        <v/>
      </c>
      <c r="QS75" s="91"/>
      <c r="QT75" s="107">
        <f t="shared" si="87"/>
        <v>0</v>
      </c>
      <c r="QU75" s="130">
        <f t="shared" si="88"/>
        <v>0</v>
      </c>
      <c r="QV75" s="130">
        <f t="shared" si="89"/>
        <v>0</v>
      </c>
      <c r="QW75" s="108">
        <f t="shared" si="90"/>
        <v>0</v>
      </c>
      <c r="QY75" s="260">
        <f t="shared" si="91"/>
        <v>0</v>
      </c>
      <c r="RA75" s="141">
        <f t="shared" si="92"/>
        <v>0</v>
      </c>
      <c r="RB75" s="106">
        <f t="shared" si="93"/>
        <v>0</v>
      </c>
      <c r="RC75" s="106">
        <f t="shared" si="94"/>
        <v>0</v>
      </c>
      <c r="RD75" s="106">
        <f t="shared" si="95"/>
        <v>0</v>
      </c>
      <c r="RE75" s="106">
        <f t="shared" si="96"/>
        <v>0</v>
      </c>
      <c r="RF75" s="142">
        <f t="shared" si="97"/>
        <v>0</v>
      </c>
      <c r="RG75" s="106"/>
      <c r="RH75" s="139">
        <f t="shared" si="98"/>
        <v>0</v>
      </c>
      <c r="RI75" s="140">
        <f t="shared" si="99"/>
        <v>0</v>
      </c>
      <c r="RJ75" s="106"/>
      <c r="RK75" s="136">
        <f t="shared" si="100"/>
        <v>0</v>
      </c>
      <c r="RL75" s="106"/>
      <c r="RM75" s="137">
        <f t="shared" si="101"/>
        <v>0</v>
      </c>
      <c r="RN75" s="138">
        <f t="shared" si="102"/>
        <v>0</v>
      </c>
      <c r="RO75" s="106"/>
      <c r="RP75" s="259">
        <f t="shared" si="103"/>
        <v>0</v>
      </c>
    </row>
    <row r="76" spans="1:484" x14ac:dyDescent="0.2">
      <c r="A76" s="89">
        <f>'Name List'!B76</f>
        <v>2</v>
      </c>
      <c r="C76" s="98"/>
      <c r="D76" s="99"/>
      <c r="E76" s="329" t="str">
        <f t="shared" si="67"/>
        <v/>
      </c>
      <c r="F76" s="77"/>
      <c r="G76" s="78"/>
      <c r="H76" s="78"/>
      <c r="I76" s="79"/>
      <c r="J76" s="333" t="str">
        <f>IF(E76="","",'Name List'!$I$4)</f>
        <v/>
      </c>
      <c r="L76" s="98"/>
      <c r="M76" s="99"/>
      <c r="N76" s="100"/>
      <c r="O76" s="77"/>
      <c r="P76" s="78"/>
      <c r="Q76" s="78"/>
      <c r="R76" s="79"/>
      <c r="S76" s="67"/>
      <c r="U76" s="71"/>
      <c r="V76" s="72"/>
      <c r="W76" s="396" t="str">
        <f t="shared" si="68"/>
        <v/>
      </c>
      <c r="X76" s="77"/>
      <c r="Y76" s="78"/>
      <c r="Z76" s="78"/>
      <c r="AA76" s="79"/>
      <c r="AB76" s="333" t="str">
        <f>IF(W76="","",'Name List'!$I$4)</f>
        <v/>
      </c>
      <c r="AD76" s="98"/>
      <c r="AE76" s="99"/>
      <c r="AF76" s="329" t="str">
        <f t="shared" si="69"/>
        <v/>
      </c>
      <c r="AG76" s="77"/>
      <c r="AH76" s="78"/>
      <c r="AI76" s="78"/>
      <c r="AJ76" s="79"/>
      <c r="AK76" s="333" t="str">
        <f>IF(AF76="","",'Name List'!$I$4)</f>
        <v/>
      </c>
      <c r="AM76" s="98"/>
      <c r="AN76" s="99"/>
      <c r="AO76" s="329" t="str">
        <f t="shared" si="70"/>
        <v/>
      </c>
      <c r="AP76" s="77"/>
      <c r="AQ76" s="78"/>
      <c r="AR76" s="78"/>
      <c r="AS76" s="79"/>
      <c r="AT76" s="333" t="str">
        <f>IF(AO76="","",'Name List'!$I$4)</f>
        <v/>
      </c>
      <c r="AV76" s="458"/>
      <c r="AW76" s="401"/>
      <c r="AX76" s="400" t="str">
        <f t="shared" si="71"/>
        <v/>
      </c>
      <c r="AY76" s="77"/>
      <c r="AZ76" s="78"/>
      <c r="BA76" s="78"/>
      <c r="BB76" s="79"/>
      <c r="BC76" s="457" t="str">
        <f>IF(AX76="","",'Name List'!$I$4)</f>
        <v/>
      </c>
      <c r="BE76" s="71"/>
      <c r="BF76" s="72"/>
      <c r="BG76" s="383" t="str">
        <f t="shared" si="72"/>
        <v/>
      </c>
      <c r="BH76" s="77"/>
      <c r="BI76" s="78"/>
      <c r="BJ76" s="78"/>
      <c r="BK76" s="79"/>
      <c r="BL76" s="333" t="str">
        <f>IF(BG76="","",'Name List'!$I$4)</f>
        <v/>
      </c>
      <c r="BN76" s="98"/>
      <c r="BO76" s="99"/>
      <c r="BP76" s="100"/>
      <c r="BQ76" s="77"/>
      <c r="BR76" s="78"/>
      <c r="BS76" s="78"/>
      <c r="BT76" s="79"/>
      <c r="BU76" s="67"/>
      <c r="BW76" s="98"/>
      <c r="BX76" s="99"/>
      <c r="BY76" s="329" t="str">
        <f t="shared" si="73"/>
        <v/>
      </c>
      <c r="BZ76" s="77"/>
      <c r="CA76" s="78"/>
      <c r="CB76" s="78"/>
      <c r="CC76" s="79"/>
      <c r="CD76" s="333" t="str">
        <f>IF(BY76="","",'Name List'!$I$4)</f>
        <v/>
      </c>
      <c r="CF76" s="68"/>
      <c r="CG76" s="69"/>
      <c r="CH76" s="282" t="str">
        <f t="shared" si="86"/>
        <v/>
      </c>
      <c r="CI76" s="77"/>
      <c r="CJ76" s="78"/>
      <c r="CK76" s="78"/>
      <c r="CL76" s="79"/>
      <c r="CM76" s="333" t="str">
        <f>IF(CH76="","",'Name List'!$I$4)</f>
        <v/>
      </c>
      <c r="CO76" s="71"/>
      <c r="CP76" s="72"/>
      <c r="CQ76" s="383" t="str">
        <f t="shared" si="74"/>
        <v/>
      </c>
      <c r="CR76" s="77"/>
      <c r="CS76" s="78"/>
      <c r="CT76" s="78"/>
      <c r="CU76" s="79"/>
      <c r="CV76" s="333" t="str">
        <f>IF(CQ76="","",'Name List'!$I$4)</f>
        <v/>
      </c>
      <c r="CX76" s="98"/>
      <c r="CY76" s="99"/>
      <c r="CZ76" s="329" t="str">
        <f t="shared" si="75"/>
        <v/>
      </c>
      <c r="DA76" s="77"/>
      <c r="DB76" s="78"/>
      <c r="DC76" s="78"/>
      <c r="DD76" s="79"/>
      <c r="DE76" s="333" t="str">
        <f>IF(CZ76="","",'Name List'!$I$4)</f>
        <v/>
      </c>
      <c r="DG76" s="98"/>
      <c r="DH76" s="99"/>
      <c r="DI76" s="329" t="str">
        <f t="shared" si="76"/>
        <v/>
      </c>
      <c r="DJ76" s="77"/>
      <c r="DK76" s="78"/>
      <c r="DL76" s="78"/>
      <c r="DM76" s="79"/>
      <c r="DN76" s="333" t="str">
        <f>IF(DI76="","",'Name List'!$I$4)</f>
        <v/>
      </c>
      <c r="DP76" s="98"/>
      <c r="DQ76" s="99"/>
      <c r="DR76" s="329" t="str">
        <f t="shared" si="77"/>
        <v/>
      </c>
      <c r="DS76" s="77"/>
      <c r="DT76" s="78"/>
      <c r="DU76" s="78"/>
      <c r="DV76" s="79"/>
      <c r="DW76" s="333" t="str">
        <f>IF(DR76="","",'Name List'!$I$4)</f>
        <v/>
      </c>
      <c r="DY76" s="98"/>
      <c r="DZ76" s="99"/>
      <c r="EA76" s="329" t="str">
        <f t="shared" si="78"/>
        <v/>
      </c>
      <c r="EB76" s="77"/>
      <c r="EC76" s="78"/>
      <c r="ED76" s="78"/>
      <c r="EE76" s="79"/>
      <c r="EF76" s="333" t="str">
        <f>IF(EA76="","",'Name List'!$I$4)</f>
        <v/>
      </c>
      <c r="EH76" s="98"/>
      <c r="EI76" s="99"/>
      <c r="EJ76" s="329" t="str">
        <f t="shared" si="79"/>
        <v/>
      </c>
      <c r="EK76" s="77"/>
      <c r="EL76" s="78"/>
      <c r="EM76" s="78"/>
      <c r="EN76" s="79"/>
      <c r="EO76" s="333" t="str">
        <f>IF(EJ76="","",'Name List'!$I$4)</f>
        <v/>
      </c>
      <c r="EQ76" s="115"/>
      <c r="ER76" s="116"/>
      <c r="ES76" s="390"/>
      <c r="ET76" s="77"/>
      <c r="EU76" s="78"/>
      <c r="EV76" s="78"/>
      <c r="EW76" s="79"/>
      <c r="EX76" s="67"/>
      <c r="EZ76" s="68"/>
      <c r="FA76" s="69"/>
      <c r="FB76" s="70"/>
      <c r="FC76" s="77"/>
      <c r="FD76" s="78"/>
      <c r="FE76" s="78"/>
      <c r="FF76" s="79"/>
      <c r="FG76" s="67"/>
      <c r="FI76" s="98"/>
      <c r="FJ76" s="99"/>
      <c r="FK76" s="100"/>
      <c r="FL76" s="77"/>
      <c r="FM76" s="78"/>
      <c r="FN76" s="78"/>
      <c r="FO76" s="79"/>
      <c r="FP76" s="67"/>
      <c r="FR76" s="98"/>
      <c r="FS76" s="99"/>
      <c r="FT76" s="100"/>
      <c r="FU76" s="77"/>
      <c r="FV76" s="78"/>
      <c r="FW76" s="78"/>
      <c r="FX76" s="79"/>
      <c r="FY76" s="67"/>
      <c r="GA76" s="98"/>
      <c r="GB76" s="99"/>
      <c r="GC76" s="100"/>
      <c r="GD76" s="77"/>
      <c r="GE76" s="78"/>
      <c r="GF76" s="78"/>
      <c r="GG76" s="79"/>
      <c r="GH76" s="67"/>
      <c r="GJ76" s="98"/>
      <c r="GK76" s="99"/>
      <c r="GL76" s="329" t="str">
        <f t="shared" si="83"/>
        <v/>
      </c>
      <c r="GM76" s="77"/>
      <c r="GN76" s="78"/>
      <c r="GO76" s="78"/>
      <c r="GP76" s="79"/>
      <c r="GQ76" s="333" t="str">
        <f>IF(GL76="","",'Name List'!$I$4)</f>
        <v/>
      </c>
      <c r="GS76" s="68"/>
      <c r="GT76" s="69"/>
      <c r="GU76" s="70"/>
      <c r="GV76" s="77"/>
      <c r="GW76" s="78"/>
      <c r="GX76" s="78"/>
      <c r="GY76" s="79"/>
      <c r="GZ76" s="67"/>
      <c r="HB76" s="98"/>
      <c r="HC76" s="99"/>
      <c r="HD76" s="329" t="str">
        <f t="shared" si="84"/>
        <v/>
      </c>
      <c r="HE76" s="77"/>
      <c r="HF76" s="78"/>
      <c r="HG76" s="78"/>
      <c r="HH76" s="79"/>
      <c r="HI76" s="333" t="str">
        <f>IF(HD76="","",'Name List'!$I$4)</f>
        <v/>
      </c>
      <c r="HK76" s="71"/>
      <c r="HL76" s="72"/>
      <c r="HM76" s="383" t="str">
        <f t="shared" si="85"/>
        <v/>
      </c>
      <c r="HN76" s="77"/>
      <c r="HO76" s="78"/>
      <c r="HP76" s="78"/>
      <c r="HQ76" s="79"/>
      <c r="HR76" s="333" t="str">
        <f>IF(HM76="","",'Name List'!$I$4)</f>
        <v/>
      </c>
      <c r="HT76" s="68"/>
      <c r="HU76" s="69"/>
      <c r="HV76" s="70"/>
      <c r="HW76" s="77"/>
      <c r="HX76" s="78"/>
      <c r="HY76" s="78"/>
      <c r="HZ76" s="79"/>
      <c r="IA76" s="67"/>
      <c r="IC76" s="115"/>
      <c r="ID76" s="116"/>
      <c r="IE76" s="117"/>
      <c r="IF76" s="77"/>
      <c r="IG76" s="78"/>
      <c r="IH76" s="78"/>
      <c r="II76" s="79"/>
      <c r="IJ76" s="67"/>
      <c r="IL76" s="98"/>
      <c r="IM76" s="99"/>
      <c r="IN76" s="100"/>
      <c r="IO76" s="77"/>
      <c r="IP76" s="78"/>
      <c r="IQ76" s="78"/>
      <c r="IR76" s="79"/>
      <c r="IS76" s="67"/>
      <c r="IU76" s="98"/>
      <c r="IV76" s="99"/>
      <c r="IW76" s="100"/>
      <c r="IX76" s="77"/>
      <c r="IY76" s="78"/>
      <c r="IZ76" s="78"/>
      <c r="JA76" s="79"/>
      <c r="JB76" s="67"/>
      <c r="JD76" s="98"/>
      <c r="JE76" s="99"/>
      <c r="JF76" s="100"/>
      <c r="JG76" s="77"/>
      <c r="JH76" s="78"/>
      <c r="JI76" s="78"/>
      <c r="JJ76" s="79"/>
      <c r="JK76" s="67"/>
      <c r="JM76" s="98"/>
      <c r="JN76" s="99"/>
      <c r="JO76" s="275"/>
      <c r="JP76" s="77"/>
      <c r="JQ76" s="78"/>
      <c r="JR76" s="78"/>
      <c r="JS76" s="79"/>
      <c r="JT76" s="67"/>
      <c r="JV76" s="98"/>
      <c r="JW76" s="99"/>
      <c r="JX76" s="100"/>
      <c r="JY76" s="77"/>
      <c r="JZ76" s="78"/>
      <c r="KA76" s="78"/>
      <c r="KB76" s="79"/>
      <c r="KC76" s="67"/>
      <c r="KE76" s="98"/>
      <c r="KF76" s="99"/>
      <c r="KG76" s="100"/>
      <c r="KH76" s="77"/>
      <c r="KI76" s="78"/>
      <c r="KJ76" s="78"/>
      <c r="KK76" s="79"/>
      <c r="KL76" s="67"/>
      <c r="KN76" s="68"/>
      <c r="KO76" s="69"/>
      <c r="KP76" s="70"/>
      <c r="KQ76" s="77"/>
      <c r="KR76" s="78"/>
      <c r="KS76" s="78"/>
      <c r="KT76" s="79"/>
      <c r="KU76" s="67"/>
      <c r="KW76" s="98"/>
      <c r="KX76" s="99"/>
      <c r="KY76" s="100"/>
      <c r="KZ76" s="77"/>
      <c r="LA76" s="78"/>
      <c r="LB76" s="78"/>
      <c r="LC76" s="79"/>
      <c r="LD76" s="67"/>
      <c r="LF76" s="71"/>
      <c r="LG76" s="72"/>
      <c r="LH76" s="73"/>
      <c r="LI76" s="77"/>
      <c r="LJ76" s="78"/>
      <c r="LK76" s="78"/>
      <c r="LL76" s="79"/>
      <c r="LM76" s="67"/>
      <c r="LO76" s="98"/>
      <c r="LP76" s="99"/>
      <c r="LQ76" s="329"/>
      <c r="LR76" s="77"/>
      <c r="LS76" s="78"/>
      <c r="LT76" s="78"/>
      <c r="LU76" s="79"/>
      <c r="LV76" s="67"/>
      <c r="LX76" s="98"/>
      <c r="LY76" s="99"/>
      <c r="LZ76" s="100"/>
      <c r="MA76" s="77"/>
      <c r="MB76" s="78"/>
      <c r="MC76" s="78"/>
      <c r="MD76" s="79"/>
      <c r="ME76" s="67"/>
      <c r="MG76" s="98"/>
      <c r="MH76" s="99"/>
      <c r="MI76" s="100"/>
      <c r="MJ76" s="77"/>
      <c r="MK76" s="78"/>
      <c r="ML76" s="78"/>
      <c r="MM76" s="79"/>
      <c r="MN76" s="67"/>
      <c r="MP76" s="98"/>
      <c r="MQ76" s="99"/>
      <c r="MR76" s="100"/>
      <c r="MS76" s="77"/>
      <c r="MT76" s="78"/>
      <c r="MU76" s="78"/>
      <c r="MV76" s="79"/>
      <c r="MW76" s="67"/>
      <c r="MY76" s="98"/>
      <c r="MZ76" s="99"/>
      <c r="NA76" s="100"/>
      <c r="NB76" s="77"/>
      <c r="NC76" s="78"/>
      <c r="ND76" s="78"/>
      <c r="NE76" s="79"/>
      <c r="NF76" s="67"/>
      <c r="NH76" s="98"/>
      <c r="NI76" s="99"/>
      <c r="NJ76" s="329"/>
      <c r="NK76" s="77"/>
      <c r="NL76" s="78"/>
      <c r="NM76" s="78"/>
      <c r="NN76" s="79"/>
      <c r="NO76" s="67"/>
      <c r="NQ76" s="98"/>
      <c r="NR76" s="99"/>
      <c r="NS76" s="100"/>
      <c r="NT76" s="77"/>
      <c r="NU76" s="78"/>
      <c r="NV76" s="78"/>
      <c r="NW76" s="79"/>
      <c r="NX76" s="67"/>
      <c r="NZ76" s="71"/>
      <c r="OA76" s="72"/>
      <c r="OB76" s="73"/>
      <c r="OC76" s="77"/>
      <c r="OD76" s="78"/>
      <c r="OE76" s="78"/>
      <c r="OF76" s="79"/>
      <c r="OG76" s="67"/>
      <c r="OI76" s="98"/>
      <c r="OJ76" s="99"/>
      <c r="OK76" s="329"/>
      <c r="OL76" s="77"/>
      <c r="OM76" s="78"/>
      <c r="ON76" s="78"/>
      <c r="OO76" s="79"/>
      <c r="OP76" s="67"/>
      <c r="OR76" s="71"/>
      <c r="OS76" s="72"/>
      <c r="OT76" s="73"/>
      <c r="OU76" s="77"/>
      <c r="OV76" s="78"/>
      <c r="OW76" s="78"/>
      <c r="OX76" s="79"/>
      <c r="OY76" s="67"/>
      <c r="PA76" s="98"/>
      <c r="PB76" s="99"/>
      <c r="PC76" s="100"/>
      <c r="PD76" s="77"/>
      <c r="PE76" s="78"/>
      <c r="PF76" s="78"/>
      <c r="PG76" s="79"/>
      <c r="PH76" s="67"/>
      <c r="PJ76" s="68"/>
      <c r="PK76" s="69"/>
      <c r="PL76" s="70"/>
      <c r="PM76" s="77"/>
      <c r="PN76" s="78"/>
      <c r="PO76" s="78"/>
      <c r="PP76" s="79"/>
      <c r="PQ76" s="67"/>
      <c r="PS76" s="403"/>
      <c r="PT76" s="404"/>
      <c r="PU76" s="405"/>
      <c r="PV76" s="330"/>
      <c r="PW76" s="331"/>
      <c r="PX76" s="331"/>
      <c r="PY76" s="332"/>
      <c r="PZ76" s="333"/>
      <c r="QB76" s="71"/>
      <c r="QC76" s="72"/>
      <c r="QD76" s="73"/>
      <c r="QE76" s="77"/>
      <c r="QF76" s="78"/>
      <c r="QG76" s="78"/>
      <c r="QH76" s="79"/>
      <c r="QI76" s="67"/>
      <c r="QK76" s="283"/>
      <c r="QL76" s="284"/>
      <c r="QM76" s="285"/>
      <c r="QN76" s="77"/>
      <c r="QO76" s="78"/>
      <c r="QP76" s="78"/>
      <c r="QQ76" s="79"/>
      <c r="QR76" s="67" t="str">
        <f>IF(QM76="","",'Name List'!$I$4)</f>
        <v/>
      </c>
      <c r="QS76" s="91"/>
      <c r="QT76" s="107">
        <f t="shared" si="87"/>
        <v>0</v>
      </c>
      <c r="QU76" s="130">
        <f t="shared" si="88"/>
        <v>0</v>
      </c>
      <c r="QV76" s="130">
        <f t="shared" si="89"/>
        <v>0</v>
      </c>
      <c r="QW76" s="108">
        <f t="shared" si="90"/>
        <v>0</v>
      </c>
      <c r="QY76" s="260">
        <f t="shared" si="91"/>
        <v>0</v>
      </c>
      <c r="RA76" s="141">
        <f t="shared" si="92"/>
        <v>0</v>
      </c>
      <c r="RB76" s="106">
        <f t="shared" si="93"/>
        <v>0</v>
      </c>
      <c r="RC76" s="106">
        <f t="shared" si="94"/>
        <v>0</v>
      </c>
      <c r="RD76" s="106">
        <f t="shared" si="95"/>
        <v>0</v>
      </c>
      <c r="RE76" s="106">
        <f t="shared" si="96"/>
        <v>0</v>
      </c>
      <c r="RF76" s="142">
        <f t="shared" si="97"/>
        <v>0</v>
      </c>
      <c r="RG76" s="106"/>
      <c r="RH76" s="139">
        <f t="shared" si="98"/>
        <v>0</v>
      </c>
      <c r="RI76" s="140">
        <f t="shared" si="99"/>
        <v>0</v>
      </c>
      <c r="RJ76" s="106"/>
      <c r="RK76" s="136">
        <f t="shared" si="100"/>
        <v>0</v>
      </c>
      <c r="RL76" s="106"/>
      <c r="RM76" s="137">
        <f t="shared" si="101"/>
        <v>0</v>
      </c>
      <c r="RN76" s="138">
        <f t="shared" si="102"/>
        <v>0</v>
      </c>
      <c r="RO76" s="106"/>
      <c r="RP76" s="259">
        <f t="shared" si="103"/>
        <v>0</v>
      </c>
    </row>
    <row r="77" spans="1:484" x14ac:dyDescent="0.2">
      <c r="A77" s="89">
        <f>'Name List'!B77</f>
        <v>3</v>
      </c>
      <c r="C77" s="98"/>
      <c r="D77" s="99"/>
      <c r="E77" s="329" t="str">
        <f t="shared" si="67"/>
        <v/>
      </c>
      <c r="F77" s="77"/>
      <c r="G77" s="78"/>
      <c r="H77" s="78"/>
      <c r="I77" s="79"/>
      <c r="J77" s="333" t="str">
        <f>IF(E77="","",'Name List'!$I$4)</f>
        <v/>
      </c>
      <c r="L77" s="98"/>
      <c r="M77" s="99"/>
      <c r="N77" s="100"/>
      <c r="O77" s="77"/>
      <c r="P77" s="78"/>
      <c r="Q77" s="78"/>
      <c r="R77" s="79"/>
      <c r="S77" s="67"/>
      <c r="U77" s="71"/>
      <c r="V77" s="72"/>
      <c r="W77" s="396" t="str">
        <f t="shared" si="68"/>
        <v/>
      </c>
      <c r="X77" s="77"/>
      <c r="Y77" s="78"/>
      <c r="Z77" s="78"/>
      <c r="AA77" s="79"/>
      <c r="AB77" s="333" t="str">
        <f>IF(W77="","",'Name List'!$I$4)</f>
        <v/>
      </c>
      <c r="AD77" s="98"/>
      <c r="AE77" s="99"/>
      <c r="AF77" s="329" t="str">
        <f t="shared" si="69"/>
        <v/>
      </c>
      <c r="AG77" s="77"/>
      <c r="AH77" s="78"/>
      <c r="AI77" s="78"/>
      <c r="AJ77" s="79"/>
      <c r="AK77" s="333" t="str">
        <f>IF(AF77="","",'Name List'!$I$4)</f>
        <v/>
      </c>
      <c r="AM77" s="98"/>
      <c r="AN77" s="99"/>
      <c r="AO77" s="329" t="str">
        <f t="shared" si="70"/>
        <v/>
      </c>
      <c r="AP77" s="77"/>
      <c r="AQ77" s="78"/>
      <c r="AR77" s="78"/>
      <c r="AS77" s="79"/>
      <c r="AT77" s="333" t="str">
        <f>IF(AO77="","",'Name List'!$I$4)</f>
        <v/>
      </c>
      <c r="AV77" s="458"/>
      <c r="AW77" s="401"/>
      <c r="AX77" s="400" t="str">
        <f t="shared" si="71"/>
        <v/>
      </c>
      <c r="AY77" s="77"/>
      <c r="AZ77" s="78"/>
      <c r="BA77" s="78"/>
      <c r="BB77" s="79"/>
      <c r="BC77" s="457" t="str">
        <f>IF(AX77="","",'Name List'!$I$4)</f>
        <v/>
      </c>
      <c r="BE77" s="71"/>
      <c r="BF77" s="72"/>
      <c r="BG77" s="383" t="str">
        <f t="shared" si="72"/>
        <v/>
      </c>
      <c r="BH77" s="77"/>
      <c r="BI77" s="78"/>
      <c r="BJ77" s="78"/>
      <c r="BK77" s="79"/>
      <c r="BL77" s="333" t="str">
        <f>IF(BG77="","",'Name List'!$I$4)</f>
        <v/>
      </c>
      <c r="BN77" s="98"/>
      <c r="BO77" s="99"/>
      <c r="BP77" s="100"/>
      <c r="BQ77" s="77"/>
      <c r="BR77" s="78"/>
      <c r="BS77" s="78"/>
      <c r="BT77" s="79"/>
      <c r="BU77" s="67"/>
      <c r="BW77" s="98"/>
      <c r="BX77" s="99"/>
      <c r="BY77" s="329" t="str">
        <f t="shared" si="73"/>
        <v/>
      </c>
      <c r="BZ77" s="77"/>
      <c r="CA77" s="78"/>
      <c r="CB77" s="78"/>
      <c r="CC77" s="79"/>
      <c r="CD77" s="333" t="str">
        <f>IF(BY77="","",'Name List'!$I$4)</f>
        <v/>
      </c>
      <c r="CF77" s="68"/>
      <c r="CG77" s="69"/>
      <c r="CH77" s="282" t="str">
        <f t="shared" si="86"/>
        <v/>
      </c>
      <c r="CI77" s="77"/>
      <c r="CJ77" s="78"/>
      <c r="CK77" s="78"/>
      <c r="CL77" s="79"/>
      <c r="CM77" s="333" t="str">
        <f>IF(CH77="","",'Name List'!$I$4)</f>
        <v/>
      </c>
      <c r="CO77" s="71"/>
      <c r="CP77" s="72"/>
      <c r="CQ77" s="383" t="str">
        <f t="shared" si="74"/>
        <v/>
      </c>
      <c r="CR77" s="77"/>
      <c r="CS77" s="78"/>
      <c r="CT77" s="78"/>
      <c r="CU77" s="79"/>
      <c r="CV77" s="333" t="str">
        <f>IF(CQ77="","",'Name List'!$I$4)</f>
        <v/>
      </c>
      <c r="CX77" s="98"/>
      <c r="CY77" s="99"/>
      <c r="CZ77" s="329" t="str">
        <f t="shared" si="75"/>
        <v/>
      </c>
      <c r="DA77" s="77"/>
      <c r="DB77" s="78"/>
      <c r="DC77" s="78"/>
      <c r="DD77" s="79"/>
      <c r="DE77" s="333" t="str">
        <f>IF(CZ77="","",'Name List'!$I$4)</f>
        <v/>
      </c>
      <c r="DG77" s="98"/>
      <c r="DH77" s="99"/>
      <c r="DI77" s="329" t="str">
        <f t="shared" si="76"/>
        <v/>
      </c>
      <c r="DJ77" s="77"/>
      <c r="DK77" s="78"/>
      <c r="DL77" s="78"/>
      <c r="DM77" s="79"/>
      <c r="DN77" s="333" t="str">
        <f>IF(DI77="","",'Name List'!$I$4)</f>
        <v/>
      </c>
      <c r="DP77" s="98"/>
      <c r="DQ77" s="99"/>
      <c r="DR77" s="329" t="str">
        <f t="shared" si="77"/>
        <v/>
      </c>
      <c r="DS77" s="77"/>
      <c r="DT77" s="78"/>
      <c r="DU77" s="78"/>
      <c r="DV77" s="79"/>
      <c r="DW77" s="333" t="str">
        <f>IF(DR77="","",'Name List'!$I$4)</f>
        <v/>
      </c>
      <c r="DY77" s="98"/>
      <c r="DZ77" s="99"/>
      <c r="EA77" s="329" t="str">
        <f t="shared" si="78"/>
        <v/>
      </c>
      <c r="EB77" s="77"/>
      <c r="EC77" s="78"/>
      <c r="ED77" s="78"/>
      <c r="EE77" s="79"/>
      <c r="EF77" s="333" t="str">
        <f>IF(EA77="","",'Name List'!$I$4)</f>
        <v/>
      </c>
      <c r="EH77" s="98"/>
      <c r="EI77" s="99"/>
      <c r="EJ77" s="329" t="str">
        <f t="shared" si="79"/>
        <v/>
      </c>
      <c r="EK77" s="77"/>
      <c r="EL77" s="78"/>
      <c r="EM77" s="78"/>
      <c r="EN77" s="79"/>
      <c r="EO77" s="333" t="str">
        <f>IF(EJ77="","",'Name List'!$I$4)</f>
        <v/>
      </c>
      <c r="EQ77" s="115"/>
      <c r="ER77" s="116"/>
      <c r="ES77" s="390"/>
      <c r="ET77" s="77"/>
      <c r="EU77" s="78"/>
      <c r="EV77" s="78"/>
      <c r="EW77" s="79"/>
      <c r="EX77" s="67"/>
      <c r="EZ77" s="68"/>
      <c r="FA77" s="69"/>
      <c r="FB77" s="70"/>
      <c r="FC77" s="77"/>
      <c r="FD77" s="78"/>
      <c r="FE77" s="78"/>
      <c r="FF77" s="79"/>
      <c r="FG77" s="67"/>
      <c r="FI77" s="98"/>
      <c r="FJ77" s="99"/>
      <c r="FK77" s="100"/>
      <c r="FL77" s="77"/>
      <c r="FM77" s="78"/>
      <c r="FN77" s="78"/>
      <c r="FO77" s="79"/>
      <c r="FP77" s="67"/>
      <c r="FR77" s="98"/>
      <c r="FS77" s="99"/>
      <c r="FT77" s="100"/>
      <c r="FU77" s="77"/>
      <c r="FV77" s="78"/>
      <c r="FW77" s="78"/>
      <c r="FX77" s="79"/>
      <c r="FY77" s="67"/>
      <c r="GA77" s="98"/>
      <c r="GB77" s="99"/>
      <c r="GC77" s="100"/>
      <c r="GD77" s="77"/>
      <c r="GE77" s="78"/>
      <c r="GF77" s="78"/>
      <c r="GG77" s="79"/>
      <c r="GH77" s="67"/>
      <c r="GJ77" s="98"/>
      <c r="GK77" s="99"/>
      <c r="GL77" s="329" t="str">
        <f t="shared" si="83"/>
        <v/>
      </c>
      <c r="GM77" s="77"/>
      <c r="GN77" s="78"/>
      <c r="GO77" s="78"/>
      <c r="GP77" s="79"/>
      <c r="GQ77" s="333" t="str">
        <f>IF(GL77="","",'Name List'!$I$4)</f>
        <v/>
      </c>
      <c r="GS77" s="68"/>
      <c r="GT77" s="69"/>
      <c r="GU77" s="70"/>
      <c r="GV77" s="77"/>
      <c r="GW77" s="78"/>
      <c r="GX77" s="78"/>
      <c r="GY77" s="79"/>
      <c r="GZ77" s="67"/>
      <c r="HB77" s="98"/>
      <c r="HC77" s="99"/>
      <c r="HD77" s="100"/>
      <c r="HE77" s="77"/>
      <c r="HF77" s="78"/>
      <c r="HG77" s="78"/>
      <c r="HH77" s="79"/>
      <c r="HI77" s="333" t="str">
        <f>IF(HD77="","",'Name List'!$I$4)</f>
        <v/>
      </c>
      <c r="HK77" s="71"/>
      <c r="HL77" s="72"/>
      <c r="HM77" s="383" t="str">
        <f t="shared" si="85"/>
        <v/>
      </c>
      <c r="HN77" s="77"/>
      <c r="HO77" s="78"/>
      <c r="HP77" s="78"/>
      <c r="HQ77" s="79"/>
      <c r="HR77" s="333" t="str">
        <f>IF(HM77="","",'Name List'!$I$4)</f>
        <v/>
      </c>
      <c r="HT77" s="68"/>
      <c r="HU77" s="69"/>
      <c r="HV77" s="70"/>
      <c r="HW77" s="77"/>
      <c r="HX77" s="78"/>
      <c r="HY77" s="78"/>
      <c r="HZ77" s="79"/>
      <c r="IA77" s="67"/>
      <c r="IC77" s="115"/>
      <c r="ID77" s="116"/>
      <c r="IE77" s="117"/>
      <c r="IF77" s="77"/>
      <c r="IG77" s="78"/>
      <c r="IH77" s="78"/>
      <c r="II77" s="79"/>
      <c r="IJ77" s="67"/>
      <c r="IL77" s="98"/>
      <c r="IM77" s="99"/>
      <c r="IN77" s="100"/>
      <c r="IO77" s="77"/>
      <c r="IP77" s="78"/>
      <c r="IQ77" s="78"/>
      <c r="IR77" s="79"/>
      <c r="IS77" s="67"/>
      <c r="IU77" s="98"/>
      <c r="IV77" s="99"/>
      <c r="IW77" s="100"/>
      <c r="IX77" s="77"/>
      <c r="IY77" s="78"/>
      <c r="IZ77" s="78"/>
      <c r="JA77" s="79"/>
      <c r="JB77" s="67"/>
      <c r="JD77" s="98"/>
      <c r="JE77" s="99"/>
      <c r="JF77" s="100"/>
      <c r="JG77" s="77"/>
      <c r="JH77" s="78"/>
      <c r="JI77" s="78"/>
      <c r="JJ77" s="79"/>
      <c r="JK77" s="67"/>
      <c r="JM77" s="98"/>
      <c r="JN77" s="99"/>
      <c r="JO77" s="275"/>
      <c r="JP77" s="77"/>
      <c r="JQ77" s="78"/>
      <c r="JR77" s="78"/>
      <c r="JS77" s="79"/>
      <c r="JT77" s="67"/>
      <c r="JV77" s="98"/>
      <c r="JW77" s="99"/>
      <c r="JX77" s="100"/>
      <c r="JY77" s="77"/>
      <c r="JZ77" s="78"/>
      <c r="KA77" s="78"/>
      <c r="KB77" s="79"/>
      <c r="KC77" s="67"/>
      <c r="KE77" s="98"/>
      <c r="KF77" s="99"/>
      <c r="KG77" s="100"/>
      <c r="KH77" s="77"/>
      <c r="KI77" s="78"/>
      <c r="KJ77" s="78"/>
      <c r="KK77" s="79"/>
      <c r="KL77" s="67"/>
      <c r="KN77" s="68"/>
      <c r="KO77" s="69"/>
      <c r="KP77" s="70"/>
      <c r="KQ77" s="77"/>
      <c r="KR77" s="78"/>
      <c r="KS77" s="78"/>
      <c r="KT77" s="79"/>
      <c r="KU77" s="67"/>
      <c r="KW77" s="98"/>
      <c r="KX77" s="99"/>
      <c r="KY77" s="100"/>
      <c r="KZ77" s="77"/>
      <c r="LA77" s="78"/>
      <c r="LB77" s="78"/>
      <c r="LC77" s="79"/>
      <c r="LD77" s="67"/>
      <c r="LF77" s="71"/>
      <c r="LG77" s="72"/>
      <c r="LH77" s="73"/>
      <c r="LI77" s="77"/>
      <c r="LJ77" s="78"/>
      <c r="LK77" s="78"/>
      <c r="LL77" s="79"/>
      <c r="LM77" s="67"/>
      <c r="LO77" s="98"/>
      <c r="LP77" s="99"/>
      <c r="LQ77" s="329"/>
      <c r="LR77" s="77"/>
      <c r="LS77" s="78"/>
      <c r="LT77" s="78"/>
      <c r="LU77" s="79"/>
      <c r="LV77" s="67"/>
      <c r="LX77" s="98"/>
      <c r="LY77" s="99"/>
      <c r="LZ77" s="100"/>
      <c r="MA77" s="77"/>
      <c r="MB77" s="78"/>
      <c r="MC77" s="78"/>
      <c r="MD77" s="79"/>
      <c r="ME77" s="67"/>
      <c r="MG77" s="98"/>
      <c r="MH77" s="99"/>
      <c r="MI77" s="100"/>
      <c r="MJ77" s="77"/>
      <c r="MK77" s="78"/>
      <c r="ML77" s="78"/>
      <c r="MM77" s="79"/>
      <c r="MN77" s="67"/>
      <c r="MP77" s="98"/>
      <c r="MQ77" s="99"/>
      <c r="MR77" s="100"/>
      <c r="MS77" s="77"/>
      <c r="MT77" s="78"/>
      <c r="MU77" s="78"/>
      <c r="MV77" s="79"/>
      <c r="MW77" s="67"/>
      <c r="MY77" s="98"/>
      <c r="MZ77" s="99"/>
      <c r="NA77" s="100"/>
      <c r="NB77" s="77"/>
      <c r="NC77" s="78"/>
      <c r="ND77" s="78"/>
      <c r="NE77" s="79"/>
      <c r="NF77" s="67"/>
      <c r="NH77" s="98"/>
      <c r="NI77" s="99"/>
      <c r="NJ77" s="329"/>
      <c r="NK77" s="77"/>
      <c r="NL77" s="78"/>
      <c r="NM77" s="78"/>
      <c r="NN77" s="79"/>
      <c r="NO77" s="67"/>
      <c r="NQ77" s="98"/>
      <c r="NR77" s="99"/>
      <c r="NS77" s="100"/>
      <c r="NT77" s="77"/>
      <c r="NU77" s="78"/>
      <c r="NV77" s="78"/>
      <c r="NW77" s="79"/>
      <c r="NX77" s="67"/>
      <c r="NZ77" s="71"/>
      <c r="OA77" s="72"/>
      <c r="OB77" s="73"/>
      <c r="OC77" s="77"/>
      <c r="OD77" s="78"/>
      <c r="OE77" s="78"/>
      <c r="OF77" s="79"/>
      <c r="OG77" s="67"/>
      <c r="OI77" s="98"/>
      <c r="OJ77" s="99"/>
      <c r="OK77" s="329"/>
      <c r="OL77" s="77"/>
      <c r="OM77" s="78"/>
      <c r="ON77" s="78"/>
      <c r="OO77" s="79"/>
      <c r="OP77" s="67"/>
      <c r="OR77" s="71"/>
      <c r="OS77" s="72"/>
      <c r="OT77" s="73"/>
      <c r="OU77" s="77"/>
      <c r="OV77" s="78"/>
      <c r="OW77" s="78"/>
      <c r="OX77" s="79"/>
      <c r="OY77" s="67"/>
      <c r="PA77" s="98"/>
      <c r="PB77" s="99"/>
      <c r="PC77" s="100"/>
      <c r="PD77" s="77"/>
      <c r="PE77" s="78"/>
      <c r="PF77" s="78"/>
      <c r="PG77" s="79"/>
      <c r="PH77" s="67"/>
      <c r="PJ77" s="68"/>
      <c r="PK77" s="69"/>
      <c r="PL77" s="70"/>
      <c r="PM77" s="77"/>
      <c r="PN77" s="78"/>
      <c r="PO77" s="78"/>
      <c r="PP77" s="79"/>
      <c r="PQ77" s="67"/>
      <c r="PS77" s="403"/>
      <c r="PT77" s="404"/>
      <c r="PU77" s="405"/>
      <c r="PV77" s="330"/>
      <c r="PW77" s="331"/>
      <c r="PX77" s="331"/>
      <c r="PY77" s="332"/>
      <c r="PZ77" s="333"/>
      <c r="QB77" s="71"/>
      <c r="QC77" s="72"/>
      <c r="QD77" s="73"/>
      <c r="QE77" s="77"/>
      <c r="QF77" s="78"/>
      <c r="QG77" s="78"/>
      <c r="QH77" s="79"/>
      <c r="QI77" s="67"/>
      <c r="QK77" s="283"/>
      <c r="QL77" s="284"/>
      <c r="QM77" s="285"/>
      <c r="QN77" s="77"/>
      <c r="QO77" s="78"/>
      <c r="QP77" s="78"/>
      <c r="QQ77" s="79"/>
      <c r="QR77" s="67" t="str">
        <f>IF(QM77="","",'Name List'!$I$4)</f>
        <v/>
      </c>
      <c r="QS77" s="91"/>
      <c r="QT77" s="107">
        <f t="shared" si="87"/>
        <v>0</v>
      </c>
      <c r="QU77" s="130">
        <f t="shared" si="88"/>
        <v>0</v>
      </c>
      <c r="QV77" s="130">
        <f t="shared" si="89"/>
        <v>0</v>
      </c>
      <c r="QW77" s="108">
        <f t="shared" si="90"/>
        <v>0</v>
      </c>
      <c r="QY77" s="260">
        <f t="shared" si="91"/>
        <v>0</v>
      </c>
      <c r="RA77" s="141">
        <f t="shared" si="92"/>
        <v>0</v>
      </c>
      <c r="RB77" s="106">
        <f t="shared" si="93"/>
        <v>0</v>
      </c>
      <c r="RC77" s="106">
        <f t="shared" si="94"/>
        <v>0</v>
      </c>
      <c r="RD77" s="106">
        <f t="shared" si="95"/>
        <v>0</v>
      </c>
      <c r="RE77" s="106">
        <f t="shared" si="96"/>
        <v>0</v>
      </c>
      <c r="RF77" s="142">
        <f t="shared" si="97"/>
        <v>0</v>
      </c>
      <c r="RG77" s="106"/>
      <c r="RH77" s="139">
        <f t="shared" si="98"/>
        <v>0</v>
      </c>
      <c r="RI77" s="140">
        <f t="shared" si="99"/>
        <v>0</v>
      </c>
      <c r="RJ77" s="106"/>
      <c r="RK77" s="136">
        <f t="shared" si="100"/>
        <v>0</v>
      </c>
      <c r="RL77" s="106"/>
      <c r="RM77" s="137">
        <f t="shared" si="101"/>
        <v>0</v>
      </c>
      <c r="RN77" s="138">
        <f t="shared" si="102"/>
        <v>0</v>
      </c>
      <c r="RO77" s="106"/>
      <c r="RP77" s="259">
        <f t="shared" si="103"/>
        <v>0</v>
      </c>
    </row>
    <row r="78" spans="1:484" x14ac:dyDescent="0.2">
      <c r="A78" s="89">
        <f>'Name List'!B78</f>
        <v>4</v>
      </c>
      <c r="C78" s="98"/>
      <c r="D78" s="99"/>
      <c r="E78" s="329" t="str">
        <f t="shared" si="67"/>
        <v/>
      </c>
      <c r="F78" s="77"/>
      <c r="G78" s="78"/>
      <c r="H78" s="78"/>
      <c r="I78" s="79"/>
      <c r="J78" s="333" t="str">
        <f>IF(E78="","",'Name List'!$I$4)</f>
        <v/>
      </c>
      <c r="L78" s="98"/>
      <c r="M78" s="99"/>
      <c r="N78" s="100"/>
      <c r="O78" s="77"/>
      <c r="P78" s="78"/>
      <c r="Q78" s="78"/>
      <c r="R78" s="79"/>
      <c r="S78" s="67"/>
      <c r="U78" s="71"/>
      <c r="V78" s="72"/>
      <c r="W78" s="396" t="str">
        <f t="shared" si="68"/>
        <v/>
      </c>
      <c r="X78" s="77"/>
      <c r="Y78" s="78"/>
      <c r="Z78" s="78"/>
      <c r="AA78" s="79"/>
      <c r="AB78" s="333" t="str">
        <f>IF(W78="","",'Name List'!$I$4)</f>
        <v/>
      </c>
      <c r="AD78" s="98"/>
      <c r="AE78" s="99"/>
      <c r="AF78" s="329" t="str">
        <f t="shared" si="69"/>
        <v/>
      </c>
      <c r="AG78" s="77"/>
      <c r="AH78" s="78"/>
      <c r="AI78" s="78"/>
      <c r="AJ78" s="79"/>
      <c r="AK78" s="333" t="str">
        <f>IF(AF78="","",'Name List'!$I$4)</f>
        <v/>
      </c>
      <c r="AM78" s="98"/>
      <c r="AN78" s="99"/>
      <c r="AO78" s="329" t="str">
        <f t="shared" si="70"/>
        <v/>
      </c>
      <c r="AP78" s="77"/>
      <c r="AQ78" s="78"/>
      <c r="AR78" s="78"/>
      <c r="AS78" s="79"/>
      <c r="AT78" s="333" t="str">
        <f>IF(AO78="","",'Name List'!$I$4)</f>
        <v/>
      </c>
      <c r="AV78" s="458"/>
      <c r="AW78" s="401"/>
      <c r="AX78" s="400" t="str">
        <f t="shared" si="71"/>
        <v/>
      </c>
      <c r="AY78" s="77"/>
      <c r="AZ78" s="78"/>
      <c r="BA78" s="78"/>
      <c r="BB78" s="79"/>
      <c r="BC78" s="457" t="str">
        <f>IF(AX78="","",'Name List'!$I$4)</f>
        <v/>
      </c>
      <c r="BE78" s="71"/>
      <c r="BF78" s="72"/>
      <c r="BG78" s="383" t="str">
        <f t="shared" si="72"/>
        <v/>
      </c>
      <c r="BH78" s="77"/>
      <c r="BI78" s="78"/>
      <c r="BJ78" s="78"/>
      <c r="BK78" s="79"/>
      <c r="BL78" s="333" t="str">
        <f>IF(BG78="","",'Name List'!$I$4)</f>
        <v/>
      </c>
      <c r="BN78" s="98"/>
      <c r="BO78" s="99"/>
      <c r="BP78" s="100"/>
      <c r="BQ78" s="77"/>
      <c r="BR78" s="78"/>
      <c r="BS78" s="78"/>
      <c r="BT78" s="79"/>
      <c r="BU78" s="67"/>
      <c r="BW78" s="98"/>
      <c r="BX78" s="99"/>
      <c r="BY78" s="329" t="str">
        <f t="shared" si="73"/>
        <v/>
      </c>
      <c r="BZ78" s="77"/>
      <c r="CA78" s="78"/>
      <c r="CB78" s="78"/>
      <c r="CC78" s="79"/>
      <c r="CD78" s="333" t="str">
        <f>IF(BY78="","",'Name List'!$I$4)</f>
        <v/>
      </c>
      <c r="CF78" s="68"/>
      <c r="CG78" s="69"/>
      <c r="CH78" s="282" t="str">
        <f t="shared" si="86"/>
        <v/>
      </c>
      <c r="CI78" s="77"/>
      <c r="CJ78" s="78"/>
      <c r="CK78" s="78"/>
      <c r="CL78" s="79"/>
      <c r="CM78" s="333" t="str">
        <f>IF(CH78="","",'Name List'!$I$4)</f>
        <v/>
      </c>
      <c r="CO78" s="71"/>
      <c r="CP78" s="72"/>
      <c r="CQ78" s="383" t="str">
        <f t="shared" si="74"/>
        <v/>
      </c>
      <c r="CR78" s="77"/>
      <c r="CS78" s="78"/>
      <c r="CT78" s="78"/>
      <c r="CU78" s="79"/>
      <c r="CV78" s="333" t="str">
        <f>IF(CQ78="","",'Name List'!$I$4)</f>
        <v/>
      </c>
      <c r="CX78" s="98"/>
      <c r="CY78" s="99"/>
      <c r="CZ78" s="329" t="str">
        <f t="shared" si="75"/>
        <v/>
      </c>
      <c r="DA78" s="77"/>
      <c r="DB78" s="78"/>
      <c r="DC78" s="78"/>
      <c r="DD78" s="79"/>
      <c r="DE78" s="333" t="str">
        <f>IF(CZ78="","",'Name List'!$I$4)</f>
        <v/>
      </c>
      <c r="DG78" s="98"/>
      <c r="DH78" s="99"/>
      <c r="DI78" s="329" t="str">
        <f t="shared" si="76"/>
        <v/>
      </c>
      <c r="DJ78" s="77"/>
      <c r="DK78" s="78"/>
      <c r="DL78" s="78"/>
      <c r="DM78" s="79"/>
      <c r="DN78" s="333" t="str">
        <f>IF(DI78="","",'Name List'!$I$4)</f>
        <v/>
      </c>
      <c r="DP78" s="98"/>
      <c r="DQ78" s="99"/>
      <c r="DR78" s="329" t="str">
        <f t="shared" si="77"/>
        <v/>
      </c>
      <c r="DS78" s="77"/>
      <c r="DT78" s="78"/>
      <c r="DU78" s="78"/>
      <c r="DV78" s="79"/>
      <c r="DW78" s="333" t="str">
        <f>IF(DR78="","",'Name List'!$I$4)</f>
        <v/>
      </c>
      <c r="DY78" s="98"/>
      <c r="DZ78" s="99"/>
      <c r="EA78" s="329" t="str">
        <f t="shared" si="78"/>
        <v/>
      </c>
      <c r="EB78" s="77"/>
      <c r="EC78" s="78"/>
      <c r="ED78" s="78"/>
      <c r="EE78" s="79"/>
      <c r="EF78" s="333" t="str">
        <f>IF(EA78="","",'Name List'!$I$4)</f>
        <v/>
      </c>
      <c r="EH78" s="98"/>
      <c r="EI78" s="99"/>
      <c r="EJ78" s="329" t="str">
        <f t="shared" si="79"/>
        <v/>
      </c>
      <c r="EK78" s="77"/>
      <c r="EL78" s="78"/>
      <c r="EM78" s="78"/>
      <c r="EN78" s="79"/>
      <c r="EO78" s="333" t="str">
        <f>IF(EJ78="","",'Name List'!$I$4)</f>
        <v/>
      </c>
      <c r="EQ78" s="115"/>
      <c r="ER78" s="116"/>
      <c r="ES78" s="390"/>
      <c r="ET78" s="77"/>
      <c r="EU78" s="78"/>
      <c r="EV78" s="78"/>
      <c r="EW78" s="79"/>
      <c r="EX78" s="67"/>
      <c r="EZ78" s="68"/>
      <c r="FA78" s="69"/>
      <c r="FB78" s="70"/>
      <c r="FC78" s="77"/>
      <c r="FD78" s="78"/>
      <c r="FE78" s="78"/>
      <c r="FF78" s="79"/>
      <c r="FG78" s="67"/>
      <c r="FI78" s="98"/>
      <c r="FJ78" s="99"/>
      <c r="FK78" s="100"/>
      <c r="FL78" s="77"/>
      <c r="FM78" s="78"/>
      <c r="FN78" s="78"/>
      <c r="FO78" s="79"/>
      <c r="FP78" s="67"/>
      <c r="FR78" s="98"/>
      <c r="FS78" s="99"/>
      <c r="FT78" s="100"/>
      <c r="FU78" s="77"/>
      <c r="FV78" s="78"/>
      <c r="FW78" s="78"/>
      <c r="FX78" s="79"/>
      <c r="FY78" s="67"/>
      <c r="GA78" s="98"/>
      <c r="GB78" s="99"/>
      <c r="GC78" s="100"/>
      <c r="GD78" s="77"/>
      <c r="GE78" s="78"/>
      <c r="GF78" s="78"/>
      <c r="GG78" s="79"/>
      <c r="GH78" s="67"/>
      <c r="GJ78" s="98"/>
      <c r="GK78" s="99"/>
      <c r="GL78" s="329" t="str">
        <f t="shared" si="83"/>
        <v/>
      </c>
      <c r="GM78" s="77"/>
      <c r="GN78" s="78"/>
      <c r="GO78" s="78"/>
      <c r="GP78" s="79"/>
      <c r="GQ78" s="333" t="str">
        <f>IF(GL78="","",'Name List'!$I$4)</f>
        <v/>
      </c>
      <c r="GS78" s="68"/>
      <c r="GT78" s="69"/>
      <c r="GU78" s="70"/>
      <c r="GV78" s="77"/>
      <c r="GW78" s="78"/>
      <c r="GX78" s="78"/>
      <c r="GY78" s="79"/>
      <c r="GZ78" s="67"/>
      <c r="HB78" s="98"/>
      <c r="HC78" s="99"/>
      <c r="HD78" s="100"/>
      <c r="HE78" s="77"/>
      <c r="HF78" s="78"/>
      <c r="HG78" s="78"/>
      <c r="HH78" s="79"/>
      <c r="HI78" s="67"/>
      <c r="HK78" s="71"/>
      <c r="HL78" s="72"/>
      <c r="HM78" s="383" t="str">
        <f t="shared" si="85"/>
        <v/>
      </c>
      <c r="HN78" s="77"/>
      <c r="HO78" s="78"/>
      <c r="HP78" s="78"/>
      <c r="HQ78" s="79"/>
      <c r="HR78" s="333" t="str">
        <f>IF(HM78="","",'Name List'!$I$4)</f>
        <v/>
      </c>
      <c r="HT78" s="68"/>
      <c r="HU78" s="69"/>
      <c r="HV78" s="70"/>
      <c r="HW78" s="77"/>
      <c r="HX78" s="78"/>
      <c r="HY78" s="78"/>
      <c r="HZ78" s="79"/>
      <c r="IA78" s="67"/>
      <c r="IC78" s="115"/>
      <c r="ID78" s="116"/>
      <c r="IE78" s="117"/>
      <c r="IF78" s="77"/>
      <c r="IG78" s="78"/>
      <c r="IH78" s="78"/>
      <c r="II78" s="79"/>
      <c r="IJ78" s="67"/>
      <c r="IL78" s="98"/>
      <c r="IM78" s="99"/>
      <c r="IN78" s="100"/>
      <c r="IO78" s="77"/>
      <c r="IP78" s="78"/>
      <c r="IQ78" s="78"/>
      <c r="IR78" s="79"/>
      <c r="IS78" s="67"/>
      <c r="IU78" s="98"/>
      <c r="IV78" s="99"/>
      <c r="IW78" s="100"/>
      <c r="IX78" s="77"/>
      <c r="IY78" s="78"/>
      <c r="IZ78" s="78"/>
      <c r="JA78" s="79"/>
      <c r="JB78" s="67"/>
      <c r="JD78" s="98"/>
      <c r="JE78" s="99"/>
      <c r="JF78" s="100"/>
      <c r="JG78" s="77"/>
      <c r="JH78" s="78"/>
      <c r="JI78" s="78"/>
      <c r="JJ78" s="79"/>
      <c r="JK78" s="67"/>
      <c r="JM78" s="98"/>
      <c r="JN78" s="99"/>
      <c r="JO78" s="275"/>
      <c r="JP78" s="77"/>
      <c r="JQ78" s="78"/>
      <c r="JR78" s="78"/>
      <c r="JS78" s="79"/>
      <c r="JT78" s="67"/>
      <c r="JV78" s="98"/>
      <c r="JW78" s="99"/>
      <c r="JX78" s="100"/>
      <c r="JY78" s="77"/>
      <c r="JZ78" s="78"/>
      <c r="KA78" s="78"/>
      <c r="KB78" s="79"/>
      <c r="KC78" s="67"/>
      <c r="KE78" s="98"/>
      <c r="KF78" s="99"/>
      <c r="KG78" s="100"/>
      <c r="KH78" s="77"/>
      <c r="KI78" s="78"/>
      <c r="KJ78" s="78"/>
      <c r="KK78" s="79"/>
      <c r="KL78" s="67"/>
      <c r="KN78" s="68"/>
      <c r="KO78" s="69"/>
      <c r="KP78" s="70"/>
      <c r="KQ78" s="77"/>
      <c r="KR78" s="78"/>
      <c r="KS78" s="78"/>
      <c r="KT78" s="79"/>
      <c r="KU78" s="67"/>
      <c r="KW78" s="98"/>
      <c r="KX78" s="99"/>
      <c r="KY78" s="100"/>
      <c r="KZ78" s="77"/>
      <c r="LA78" s="78"/>
      <c r="LB78" s="78"/>
      <c r="LC78" s="79"/>
      <c r="LD78" s="67"/>
      <c r="LF78" s="71"/>
      <c r="LG78" s="72"/>
      <c r="LH78" s="73"/>
      <c r="LI78" s="77"/>
      <c r="LJ78" s="78"/>
      <c r="LK78" s="78"/>
      <c r="LL78" s="79"/>
      <c r="LM78" s="67"/>
      <c r="LO78" s="98"/>
      <c r="LP78" s="99"/>
      <c r="LQ78" s="329"/>
      <c r="LR78" s="77"/>
      <c r="LS78" s="78"/>
      <c r="LT78" s="78"/>
      <c r="LU78" s="79"/>
      <c r="LV78" s="67"/>
      <c r="LX78" s="98"/>
      <c r="LY78" s="99"/>
      <c r="LZ78" s="100"/>
      <c r="MA78" s="77"/>
      <c r="MB78" s="78"/>
      <c r="MC78" s="78"/>
      <c r="MD78" s="79"/>
      <c r="ME78" s="67"/>
      <c r="MG78" s="98"/>
      <c r="MH78" s="99"/>
      <c r="MI78" s="100"/>
      <c r="MJ78" s="77"/>
      <c r="MK78" s="78"/>
      <c r="ML78" s="78"/>
      <c r="MM78" s="79"/>
      <c r="MN78" s="67"/>
      <c r="MP78" s="98"/>
      <c r="MQ78" s="99"/>
      <c r="MR78" s="100"/>
      <c r="MS78" s="77"/>
      <c r="MT78" s="78"/>
      <c r="MU78" s="78"/>
      <c r="MV78" s="79"/>
      <c r="MW78" s="67"/>
      <c r="MY78" s="98"/>
      <c r="MZ78" s="99"/>
      <c r="NA78" s="100"/>
      <c r="NB78" s="77"/>
      <c r="NC78" s="78"/>
      <c r="ND78" s="78"/>
      <c r="NE78" s="79"/>
      <c r="NF78" s="67"/>
      <c r="NH78" s="98"/>
      <c r="NI78" s="99"/>
      <c r="NJ78" s="329"/>
      <c r="NK78" s="77"/>
      <c r="NL78" s="78"/>
      <c r="NM78" s="78"/>
      <c r="NN78" s="79"/>
      <c r="NO78" s="67"/>
      <c r="NQ78" s="98"/>
      <c r="NR78" s="99"/>
      <c r="NS78" s="100"/>
      <c r="NT78" s="77"/>
      <c r="NU78" s="78"/>
      <c r="NV78" s="78"/>
      <c r="NW78" s="79"/>
      <c r="NX78" s="67"/>
      <c r="NZ78" s="71"/>
      <c r="OA78" s="72"/>
      <c r="OB78" s="73"/>
      <c r="OC78" s="77"/>
      <c r="OD78" s="78"/>
      <c r="OE78" s="78"/>
      <c r="OF78" s="79"/>
      <c r="OG78" s="67"/>
      <c r="OI78" s="98"/>
      <c r="OJ78" s="99"/>
      <c r="OK78" s="329"/>
      <c r="OL78" s="77"/>
      <c r="OM78" s="78"/>
      <c r="ON78" s="78"/>
      <c r="OO78" s="79"/>
      <c r="OP78" s="67"/>
      <c r="OR78" s="71"/>
      <c r="OS78" s="72"/>
      <c r="OT78" s="73"/>
      <c r="OU78" s="77"/>
      <c r="OV78" s="78"/>
      <c r="OW78" s="78"/>
      <c r="OX78" s="79"/>
      <c r="OY78" s="67"/>
      <c r="PA78" s="98"/>
      <c r="PB78" s="99"/>
      <c r="PC78" s="100"/>
      <c r="PD78" s="77"/>
      <c r="PE78" s="78"/>
      <c r="PF78" s="78"/>
      <c r="PG78" s="79"/>
      <c r="PH78" s="67"/>
      <c r="PJ78" s="68"/>
      <c r="PK78" s="69"/>
      <c r="PL78" s="70"/>
      <c r="PM78" s="77"/>
      <c r="PN78" s="78"/>
      <c r="PO78" s="78"/>
      <c r="PP78" s="79"/>
      <c r="PQ78" s="67"/>
      <c r="PS78" s="403"/>
      <c r="PT78" s="404"/>
      <c r="PU78" s="405"/>
      <c r="PV78" s="330"/>
      <c r="PW78" s="331"/>
      <c r="PX78" s="331"/>
      <c r="PY78" s="332"/>
      <c r="PZ78" s="333"/>
      <c r="QB78" s="71"/>
      <c r="QC78" s="72"/>
      <c r="QD78" s="73"/>
      <c r="QE78" s="77"/>
      <c r="QF78" s="78"/>
      <c r="QG78" s="78"/>
      <c r="QH78" s="79"/>
      <c r="QI78" s="67"/>
      <c r="QK78" s="283"/>
      <c r="QL78" s="284"/>
      <c r="QM78" s="285"/>
      <c r="QN78" s="77"/>
      <c r="QO78" s="78"/>
      <c r="QP78" s="78"/>
      <c r="QQ78" s="79"/>
      <c r="QR78" s="67" t="str">
        <f>IF(QM78="","",'Name List'!$I$4)</f>
        <v/>
      </c>
      <c r="QS78" s="91"/>
      <c r="QT78" s="107">
        <f t="shared" si="87"/>
        <v>0</v>
      </c>
      <c r="QU78" s="130">
        <f t="shared" si="88"/>
        <v>0</v>
      </c>
      <c r="QV78" s="130">
        <f t="shared" si="89"/>
        <v>0</v>
      </c>
      <c r="QW78" s="108">
        <f t="shared" si="90"/>
        <v>0</v>
      </c>
      <c r="QY78" s="260">
        <f t="shared" si="91"/>
        <v>0</v>
      </c>
      <c r="RA78" s="141">
        <f t="shared" si="92"/>
        <v>0</v>
      </c>
      <c r="RB78" s="106">
        <f t="shared" si="93"/>
        <v>0</v>
      </c>
      <c r="RC78" s="106">
        <f t="shared" si="94"/>
        <v>0</v>
      </c>
      <c r="RD78" s="106">
        <f t="shared" si="95"/>
        <v>0</v>
      </c>
      <c r="RE78" s="106">
        <f t="shared" si="96"/>
        <v>0</v>
      </c>
      <c r="RF78" s="142">
        <f t="shared" si="97"/>
        <v>0</v>
      </c>
      <c r="RG78" s="106"/>
      <c r="RH78" s="139">
        <f t="shared" si="98"/>
        <v>0</v>
      </c>
      <c r="RI78" s="140">
        <f t="shared" si="99"/>
        <v>0</v>
      </c>
      <c r="RJ78" s="106"/>
      <c r="RK78" s="136">
        <f t="shared" si="100"/>
        <v>0</v>
      </c>
      <c r="RL78" s="106"/>
      <c r="RM78" s="137">
        <f t="shared" si="101"/>
        <v>0</v>
      </c>
      <c r="RN78" s="138">
        <f t="shared" si="102"/>
        <v>0</v>
      </c>
      <c r="RO78" s="106"/>
      <c r="RP78" s="259">
        <f t="shared" si="103"/>
        <v>0</v>
      </c>
    </row>
    <row r="79" spans="1:484" x14ac:dyDescent="0.2">
      <c r="A79" s="89">
        <f>'Name List'!B79</f>
        <v>5</v>
      </c>
      <c r="C79" s="98"/>
      <c r="D79" s="99"/>
      <c r="E79" s="329" t="str">
        <f t="shared" si="67"/>
        <v/>
      </c>
      <c r="F79" s="77"/>
      <c r="G79" s="78"/>
      <c r="H79" s="78"/>
      <c r="I79" s="79"/>
      <c r="J79" s="333" t="str">
        <f>IF(E79="","",'Name List'!$I$4)</f>
        <v/>
      </c>
      <c r="L79" s="98"/>
      <c r="M79" s="99"/>
      <c r="N79" s="100"/>
      <c r="O79" s="77"/>
      <c r="P79" s="78"/>
      <c r="Q79" s="78"/>
      <c r="R79" s="79"/>
      <c r="S79" s="67"/>
      <c r="U79" s="71"/>
      <c r="V79" s="72"/>
      <c r="W79" s="396" t="str">
        <f t="shared" si="68"/>
        <v/>
      </c>
      <c r="X79" s="77"/>
      <c r="Y79" s="78"/>
      <c r="Z79" s="78"/>
      <c r="AA79" s="79"/>
      <c r="AB79" s="333" t="str">
        <f>IF(W79="","",'Name List'!$I$4)</f>
        <v/>
      </c>
      <c r="AD79" s="98"/>
      <c r="AE79" s="99"/>
      <c r="AF79" s="329" t="str">
        <f t="shared" si="69"/>
        <v/>
      </c>
      <c r="AG79" s="77"/>
      <c r="AH79" s="78"/>
      <c r="AI79" s="78"/>
      <c r="AJ79" s="79"/>
      <c r="AK79" s="333" t="str">
        <f>IF(AF79="","",'Name List'!$I$4)</f>
        <v/>
      </c>
      <c r="AM79" s="98"/>
      <c r="AN79" s="99"/>
      <c r="AO79" s="329" t="str">
        <f t="shared" si="70"/>
        <v/>
      </c>
      <c r="AP79" s="77"/>
      <c r="AQ79" s="78"/>
      <c r="AR79" s="78"/>
      <c r="AS79" s="79"/>
      <c r="AT79" s="333" t="str">
        <f>IF(AO79="","",'Name List'!$I$4)</f>
        <v/>
      </c>
      <c r="AV79" s="458"/>
      <c r="AW79" s="401"/>
      <c r="AX79" s="400" t="str">
        <f t="shared" si="71"/>
        <v/>
      </c>
      <c r="AY79" s="77"/>
      <c r="AZ79" s="78"/>
      <c r="BA79" s="78"/>
      <c r="BB79" s="79"/>
      <c r="BC79" s="457" t="str">
        <f>IF(AX79="","",'Name List'!$I$4)</f>
        <v/>
      </c>
      <c r="BE79" s="71"/>
      <c r="BF79" s="72"/>
      <c r="BG79" s="383" t="str">
        <f t="shared" si="72"/>
        <v/>
      </c>
      <c r="BH79" s="77"/>
      <c r="BI79" s="78"/>
      <c r="BJ79" s="78"/>
      <c r="BK79" s="79"/>
      <c r="BL79" s="333" t="str">
        <f>IF(BG79="","",'Name List'!$I$4)</f>
        <v/>
      </c>
      <c r="BN79" s="98"/>
      <c r="BO79" s="99"/>
      <c r="BP79" s="100"/>
      <c r="BQ79" s="77"/>
      <c r="BR79" s="78"/>
      <c r="BS79" s="78"/>
      <c r="BT79" s="79"/>
      <c r="BU79" s="67"/>
      <c r="BW79" s="98"/>
      <c r="BX79" s="99"/>
      <c r="BY79" s="329" t="str">
        <f t="shared" si="73"/>
        <v/>
      </c>
      <c r="BZ79" s="77"/>
      <c r="CA79" s="78"/>
      <c r="CB79" s="78"/>
      <c r="CC79" s="79"/>
      <c r="CD79" s="333" t="str">
        <f>IF(BY79="","",'Name List'!$I$4)</f>
        <v/>
      </c>
      <c r="CF79" s="68"/>
      <c r="CG79" s="69"/>
      <c r="CH79" s="282" t="str">
        <f t="shared" si="86"/>
        <v/>
      </c>
      <c r="CI79" s="77"/>
      <c r="CJ79" s="78"/>
      <c r="CK79" s="78"/>
      <c r="CL79" s="79"/>
      <c r="CM79" s="333" t="str">
        <f>IF(CH79="","",'Name List'!$I$4)</f>
        <v/>
      </c>
      <c r="CO79" s="71"/>
      <c r="CP79" s="72"/>
      <c r="CQ79" s="383" t="str">
        <f t="shared" si="74"/>
        <v/>
      </c>
      <c r="CR79" s="77"/>
      <c r="CS79" s="78"/>
      <c r="CT79" s="78"/>
      <c r="CU79" s="79"/>
      <c r="CV79" s="333" t="str">
        <f>IF(CQ79="","",'Name List'!$I$4)</f>
        <v/>
      </c>
      <c r="CX79" s="98"/>
      <c r="CY79" s="99"/>
      <c r="CZ79" s="329" t="str">
        <f t="shared" si="75"/>
        <v/>
      </c>
      <c r="DA79" s="77"/>
      <c r="DB79" s="78"/>
      <c r="DC79" s="78"/>
      <c r="DD79" s="79"/>
      <c r="DE79" s="333" t="str">
        <f>IF(CZ79="","",'Name List'!$I$4)</f>
        <v/>
      </c>
      <c r="DG79" s="98"/>
      <c r="DH79" s="99"/>
      <c r="DI79" s="329" t="str">
        <f t="shared" si="76"/>
        <v/>
      </c>
      <c r="DJ79" s="77"/>
      <c r="DK79" s="78"/>
      <c r="DL79" s="78"/>
      <c r="DM79" s="79"/>
      <c r="DN79" s="333" t="str">
        <f>IF(DI79="","",'Name List'!$I$4)</f>
        <v/>
      </c>
      <c r="DP79" s="98"/>
      <c r="DQ79" s="99"/>
      <c r="DR79" s="329" t="str">
        <f t="shared" si="77"/>
        <v/>
      </c>
      <c r="DS79" s="77"/>
      <c r="DT79" s="78"/>
      <c r="DU79" s="78"/>
      <c r="DV79" s="79"/>
      <c r="DW79" s="333" t="str">
        <f>IF(DR79="","",'Name List'!$I$4)</f>
        <v/>
      </c>
      <c r="DY79" s="98"/>
      <c r="DZ79" s="99"/>
      <c r="EA79" s="329" t="str">
        <f t="shared" si="78"/>
        <v/>
      </c>
      <c r="EB79" s="77"/>
      <c r="EC79" s="78"/>
      <c r="ED79" s="78"/>
      <c r="EE79" s="79"/>
      <c r="EF79" s="333" t="str">
        <f>IF(EA79="","",'Name List'!$I$4)</f>
        <v/>
      </c>
      <c r="EH79" s="98"/>
      <c r="EI79" s="99"/>
      <c r="EJ79" s="329" t="str">
        <f t="shared" si="79"/>
        <v/>
      </c>
      <c r="EK79" s="77"/>
      <c r="EL79" s="78"/>
      <c r="EM79" s="78"/>
      <c r="EN79" s="79"/>
      <c r="EO79" s="333" t="str">
        <f>IF(EJ79="","",'Name List'!$I$4)</f>
        <v/>
      </c>
      <c r="EQ79" s="115"/>
      <c r="ER79" s="116"/>
      <c r="ES79" s="390"/>
      <c r="ET79" s="77"/>
      <c r="EU79" s="78"/>
      <c r="EV79" s="78"/>
      <c r="EW79" s="79"/>
      <c r="EX79" s="67"/>
      <c r="EZ79" s="68"/>
      <c r="FA79" s="69"/>
      <c r="FB79" s="70"/>
      <c r="FC79" s="77"/>
      <c r="FD79" s="78"/>
      <c r="FE79" s="78"/>
      <c r="FF79" s="79"/>
      <c r="FG79" s="67"/>
      <c r="FI79" s="98"/>
      <c r="FJ79" s="99"/>
      <c r="FK79" s="100"/>
      <c r="FL79" s="77"/>
      <c r="FM79" s="78"/>
      <c r="FN79" s="78"/>
      <c r="FO79" s="79"/>
      <c r="FP79" s="67"/>
      <c r="FR79" s="98"/>
      <c r="FS79" s="99"/>
      <c r="FT79" s="100"/>
      <c r="FU79" s="77"/>
      <c r="FV79" s="78"/>
      <c r="FW79" s="78"/>
      <c r="FX79" s="79"/>
      <c r="FY79" s="67"/>
      <c r="GA79" s="98"/>
      <c r="GB79" s="99"/>
      <c r="GC79" s="100"/>
      <c r="GD79" s="77"/>
      <c r="GE79" s="78"/>
      <c r="GF79" s="78"/>
      <c r="GG79" s="79"/>
      <c r="GH79" s="67"/>
      <c r="GJ79" s="98"/>
      <c r="GK79" s="99"/>
      <c r="GL79" s="329" t="str">
        <f t="shared" si="83"/>
        <v/>
      </c>
      <c r="GM79" s="77"/>
      <c r="GN79" s="78"/>
      <c r="GO79" s="78"/>
      <c r="GP79" s="79"/>
      <c r="GQ79" s="333" t="str">
        <f>IF(GL79="","",'Name List'!$I$4)</f>
        <v/>
      </c>
      <c r="GS79" s="68"/>
      <c r="GT79" s="69"/>
      <c r="GU79" s="70"/>
      <c r="GV79" s="77"/>
      <c r="GW79" s="78"/>
      <c r="GX79" s="78"/>
      <c r="GY79" s="79"/>
      <c r="GZ79" s="67"/>
      <c r="HB79" s="98"/>
      <c r="HC79" s="99"/>
      <c r="HD79" s="100"/>
      <c r="HE79" s="77"/>
      <c r="HF79" s="78"/>
      <c r="HG79" s="78"/>
      <c r="HH79" s="79"/>
      <c r="HI79" s="67"/>
      <c r="HK79" s="71"/>
      <c r="HL79" s="72"/>
      <c r="HM79" s="383" t="str">
        <f t="shared" si="85"/>
        <v/>
      </c>
      <c r="HN79" s="77"/>
      <c r="HO79" s="78"/>
      <c r="HP79" s="78"/>
      <c r="HQ79" s="79"/>
      <c r="HR79" s="333" t="str">
        <f>IF(HM79="","",'Name List'!$I$4)</f>
        <v/>
      </c>
      <c r="HT79" s="68"/>
      <c r="HU79" s="69"/>
      <c r="HV79" s="70"/>
      <c r="HW79" s="77"/>
      <c r="HX79" s="78"/>
      <c r="HY79" s="78"/>
      <c r="HZ79" s="79"/>
      <c r="IA79" s="67"/>
      <c r="IC79" s="115"/>
      <c r="ID79" s="116"/>
      <c r="IE79" s="117"/>
      <c r="IF79" s="77"/>
      <c r="IG79" s="78"/>
      <c r="IH79" s="78"/>
      <c r="II79" s="79"/>
      <c r="IJ79" s="67"/>
      <c r="IL79" s="98"/>
      <c r="IM79" s="99"/>
      <c r="IN79" s="100"/>
      <c r="IO79" s="77"/>
      <c r="IP79" s="78"/>
      <c r="IQ79" s="78"/>
      <c r="IR79" s="79"/>
      <c r="IS79" s="67"/>
      <c r="IU79" s="98"/>
      <c r="IV79" s="99"/>
      <c r="IW79" s="100"/>
      <c r="IX79" s="77"/>
      <c r="IY79" s="78"/>
      <c r="IZ79" s="78"/>
      <c r="JA79" s="79"/>
      <c r="JB79" s="67"/>
      <c r="JD79" s="98"/>
      <c r="JE79" s="99"/>
      <c r="JF79" s="100"/>
      <c r="JG79" s="77"/>
      <c r="JH79" s="78"/>
      <c r="JI79" s="78"/>
      <c r="JJ79" s="79"/>
      <c r="JK79" s="67"/>
      <c r="JM79" s="98"/>
      <c r="JN79" s="99"/>
      <c r="JO79" s="275"/>
      <c r="JP79" s="77"/>
      <c r="JQ79" s="78"/>
      <c r="JR79" s="78"/>
      <c r="JS79" s="79"/>
      <c r="JT79" s="67"/>
      <c r="JV79" s="98"/>
      <c r="JW79" s="99"/>
      <c r="JX79" s="100"/>
      <c r="JY79" s="77"/>
      <c r="JZ79" s="78"/>
      <c r="KA79" s="78"/>
      <c r="KB79" s="79"/>
      <c r="KC79" s="67"/>
      <c r="KE79" s="98"/>
      <c r="KF79" s="99"/>
      <c r="KG79" s="100"/>
      <c r="KH79" s="77"/>
      <c r="KI79" s="78"/>
      <c r="KJ79" s="78"/>
      <c r="KK79" s="79"/>
      <c r="KL79" s="67"/>
      <c r="KN79" s="68"/>
      <c r="KO79" s="69"/>
      <c r="KP79" s="70"/>
      <c r="KQ79" s="77"/>
      <c r="KR79" s="78"/>
      <c r="KS79" s="78"/>
      <c r="KT79" s="79"/>
      <c r="KU79" s="67"/>
      <c r="KW79" s="98"/>
      <c r="KX79" s="99"/>
      <c r="KY79" s="100"/>
      <c r="KZ79" s="77"/>
      <c r="LA79" s="78"/>
      <c r="LB79" s="78"/>
      <c r="LC79" s="79"/>
      <c r="LD79" s="67"/>
      <c r="LF79" s="71"/>
      <c r="LG79" s="72"/>
      <c r="LH79" s="73"/>
      <c r="LI79" s="77"/>
      <c r="LJ79" s="78"/>
      <c r="LK79" s="78"/>
      <c r="LL79" s="79"/>
      <c r="LM79" s="67"/>
      <c r="LO79" s="98"/>
      <c r="LP79" s="99"/>
      <c r="LQ79" s="329"/>
      <c r="LR79" s="77"/>
      <c r="LS79" s="78"/>
      <c r="LT79" s="78"/>
      <c r="LU79" s="79"/>
      <c r="LV79" s="67"/>
      <c r="LX79" s="98"/>
      <c r="LY79" s="99"/>
      <c r="LZ79" s="100"/>
      <c r="MA79" s="77"/>
      <c r="MB79" s="78"/>
      <c r="MC79" s="78"/>
      <c r="MD79" s="79"/>
      <c r="ME79" s="67"/>
      <c r="MG79" s="98"/>
      <c r="MH79" s="99"/>
      <c r="MI79" s="100"/>
      <c r="MJ79" s="77"/>
      <c r="MK79" s="78"/>
      <c r="ML79" s="78"/>
      <c r="MM79" s="79"/>
      <c r="MN79" s="67"/>
      <c r="MP79" s="98"/>
      <c r="MQ79" s="99"/>
      <c r="MR79" s="100"/>
      <c r="MS79" s="77"/>
      <c r="MT79" s="78"/>
      <c r="MU79" s="78"/>
      <c r="MV79" s="79"/>
      <c r="MW79" s="67"/>
      <c r="MY79" s="98"/>
      <c r="MZ79" s="99"/>
      <c r="NA79" s="100"/>
      <c r="NB79" s="77"/>
      <c r="NC79" s="78"/>
      <c r="ND79" s="78"/>
      <c r="NE79" s="79"/>
      <c r="NF79" s="67"/>
      <c r="NH79" s="98"/>
      <c r="NI79" s="99"/>
      <c r="NJ79" s="329"/>
      <c r="NK79" s="77"/>
      <c r="NL79" s="78"/>
      <c r="NM79" s="78"/>
      <c r="NN79" s="79"/>
      <c r="NO79" s="67"/>
      <c r="NQ79" s="98"/>
      <c r="NR79" s="99"/>
      <c r="NS79" s="100"/>
      <c r="NT79" s="77"/>
      <c r="NU79" s="78"/>
      <c r="NV79" s="78"/>
      <c r="NW79" s="79"/>
      <c r="NX79" s="67"/>
      <c r="NZ79" s="71"/>
      <c r="OA79" s="72"/>
      <c r="OB79" s="73"/>
      <c r="OC79" s="77"/>
      <c r="OD79" s="78"/>
      <c r="OE79" s="78"/>
      <c r="OF79" s="79"/>
      <c r="OG79" s="67"/>
      <c r="OI79" s="98"/>
      <c r="OJ79" s="99"/>
      <c r="OK79" s="329"/>
      <c r="OL79" s="77"/>
      <c r="OM79" s="78"/>
      <c r="ON79" s="78"/>
      <c r="OO79" s="79"/>
      <c r="OP79" s="67"/>
      <c r="OR79" s="71"/>
      <c r="OS79" s="72"/>
      <c r="OT79" s="73"/>
      <c r="OU79" s="77"/>
      <c r="OV79" s="78"/>
      <c r="OW79" s="78"/>
      <c r="OX79" s="79"/>
      <c r="OY79" s="67"/>
      <c r="PA79" s="98"/>
      <c r="PB79" s="99"/>
      <c r="PC79" s="100"/>
      <c r="PD79" s="77"/>
      <c r="PE79" s="78"/>
      <c r="PF79" s="78"/>
      <c r="PG79" s="79"/>
      <c r="PH79" s="67"/>
      <c r="PJ79" s="68"/>
      <c r="PK79" s="69"/>
      <c r="PL79" s="70"/>
      <c r="PM79" s="77"/>
      <c r="PN79" s="78"/>
      <c r="PO79" s="78"/>
      <c r="PP79" s="79"/>
      <c r="PQ79" s="67"/>
      <c r="PS79" s="403"/>
      <c r="PT79" s="404"/>
      <c r="PU79" s="405"/>
      <c r="PV79" s="330"/>
      <c r="PW79" s="331"/>
      <c r="PX79" s="331"/>
      <c r="PY79" s="332"/>
      <c r="PZ79" s="333"/>
      <c r="QB79" s="71"/>
      <c r="QC79" s="72"/>
      <c r="QD79" s="73"/>
      <c r="QE79" s="77"/>
      <c r="QF79" s="78"/>
      <c r="QG79" s="78"/>
      <c r="QH79" s="79"/>
      <c r="QI79" s="67"/>
      <c r="QK79" s="283"/>
      <c r="QL79" s="284"/>
      <c r="QM79" s="285"/>
      <c r="QN79" s="77"/>
      <c r="QO79" s="78"/>
      <c r="QP79" s="78"/>
      <c r="QQ79" s="79"/>
      <c r="QR79" s="67" t="str">
        <f>IF(QM79="","",'Name List'!$I$4)</f>
        <v/>
      </c>
      <c r="QS79" s="91"/>
      <c r="QT79" s="107">
        <f t="shared" si="87"/>
        <v>0</v>
      </c>
      <c r="QU79" s="130">
        <f t="shared" si="88"/>
        <v>0</v>
      </c>
      <c r="QV79" s="130">
        <f t="shared" si="89"/>
        <v>0</v>
      </c>
      <c r="QW79" s="108">
        <f t="shared" si="90"/>
        <v>0</v>
      </c>
      <c r="QY79" s="260">
        <f t="shared" si="91"/>
        <v>0</v>
      </c>
      <c r="RA79" s="141">
        <f t="shared" si="92"/>
        <v>0</v>
      </c>
      <c r="RB79" s="106">
        <f t="shared" si="93"/>
        <v>0</v>
      </c>
      <c r="RC79" s="106">
        <f t="shared" si="94"/>
        <v>0</v>
      </c>
      <c r="RD79" s="106">
        <f t="shared" si="95"/>
        <v>0</v>
      </c>
      <c r="RE79" s="106">
        <f t="shared" si="96"/>
        <v>0</v>
      </c>
      <c r="RF79" s="142">
        <f t="shared" si="97"/>
        <v>0</v>
      </c>
      <c r="RG79" s="106"/>
      <c r="RH79" s="139">
        <f t="shared" si="98"/>
        <v>0</v>
      </c>
      <c r="RI79" s="140">
        <f t="shared" si="99"/>
        <v>0</v>
      </c>
      <c r="RJ79" s="106"/>
      <c r="RK79" s="136">
        <f t="shared" si="100"/>
        <v>0</v>
      </c>
      <c r="RL79" s="106"/>
      <c r="RM79" s="137">
        <f t="shared" si="101"/>
        <v>0</v>
      </c>
      <c r="RN79" s="138">
        <f t="shared" si="102"/>
        <v>0</v>
      </c>
      <c r="RO79" s="106"/>
      <c r="RP79" s="259">
        <f t="shared" si="103"/>
        <v>0</v>
      </c>
    </row>
    <row r="80" spans="1:484" x14ac:dyDescent="0.2">
      <c r="A80" s="89">
        <f>'Name List'!B80</f>
        <v>6</v>
      </c>
      <c r="C80" s="98"/>
      <c r="D80" s="99"/>
      <c r="E80" s="329" t="str">
        <f t="shared" si="67"/>
        <v/>
      </c>
      <c r="F80" s="77"/>
      <c r="G80" s="78"/>
      <c r="H80" s="78"/>
      <c r="I80" s="79"/>
      <c r="J80" s="333" t="str">
        <f>IF(E80="","",'Name List'!$I$4)</f>
        <v/>
      </c>
      <c r="L80" s="98"/>
      <c r="M80" s="99"/>
      <c r="N80" s="100"/>
      <c r="O80" s="77"/>
      <c r="P80" s="78"/>
      <c r="Q80" s="78"/>
      <c r="R80" s="79"/>
      <c r="S80" s="67"/>
      <c r="U80" s="71"/>
      <c r="V80" s="72"/>
      <c r="W80" s="396" t="str">
        <f t="shared" si="68"/>
        <v/>
      </c>
      <c r="X80" s="77"/>
      <c r="Y80" s="78"/>
      <c r="Z80" s="78"/>
      <c r="AA80" s="79"/>
      <c r="AB80" s="333" t="str">
        <f>IF(W80="","",'Name List'!$I$4)</f>
        <v/>
      </c>
      <c r="AD80" s="98"/>
      <c r="AE80" s="99"/>
      <c r="AF80" s="329" t="str">
        <f t="shared" si="69"/>
        <v/>
      </c>
      <c r="AG80" s="77"/>
      <c r="AH80" s="78"/>
      <c r="AI80" s="78"/>
      <c r="AJ80" s="79"/>
      <c r="AK80" s="333" t="str">
        <f>IF(AF80="","",'Name List'!$I$4)</f>
        <v/>
      </c>
      <c r="AM80" s="98"/>
      <c r="AN80" s="99"/>
      <c r="AO80" s="329" t="str">
        <f t="shared" si="70"/>
        <v/>
      </c>
      <c r="AP80" s="77"/>
      <c r="AQ80" s="78"/>
      <c r="AR80" s="78"/>
      <c r="AS80" s="79"/>
      <c r="AT80" s="333" t="str">
        <f>IF(AO80="","",'Name List'!$I$4)</f>
        <v/>
      </c>
      <c r="AV80" s="458"/>
      <c r="AW80" s="401"/>
      <c r="AX80" s="400" t="str">
        <f t="shared" si="71"/>
        <v/>
      </c>
      <c r="AY80" s="77"/>
      <c r="AZ80" s="78"/>
      <c r="BA80" s="78"/>
      <c r="BB80" s="79"/>
      <c r="BC80" s="457" t="str">
        <f>IF(AX80="","",'Name List'!$I$4)</f>
        <v/>
      </c>
      <c r="BE80" s="71"/>
      <c r="BF80" s="72"/>
      <c r="BG80" s="383" t="str">
        <f t="shared" si="72"/>
        <v/>
      </c>
      <c r="BH80" s="77"/>
      <c r="BI80" s="78"/>
      <c r="BJ80" s="78"/>
      <c r="BK80" s="79"/>
      <c r="BL80" s="333" t="str">
        <f>IF(BG80="","",'Name List'!$I$4)</f>
        <v/>
      </c>
      <c r="BN80" s="98"/>
      <c r="BO80" s="99"/>
      <c r="BP80" s="100"/>
      <c r="BQ80" s="77"/>
      <c r="BR80" s="78"/>
      <c r="BS80" s="78"/>
      <c r="BT80" s="79"/>
      <c r="BU80" s="67"/>
      <c r="BW80" s="98"/>
      <c r="BX80" s="99"/>
      <c r="BY80" s="329" t="str">
        <f t="shared" si="73"/>
        <v/>
      </c>
      <c r="BZ80" s="77"/>
      <c r="CA80" s="78"/>
      <c r="CB80" s="78"/>
      <c r="CC80" s="79"/>
      <c r="CD80" s="333" t="str">
        <f>IF(BY80="","",'Name List'!$I$4)</f>
        <v/>
      </c>
      <c r="CF80" s="68"/>
      <c r="CG80" s="69"/>
      <c r="CH80" s="282" t="str">
        <f t="shared" si="86"/>
        <v/>
      </c>
      <c r="CI80" s="77"/>
      <c r="CJ80" s="78"/>
      <c r="CK80" s="78"/>
      <c r="CL80" s="79"/>
      <c r="CM80" s="333" t="str">
        <f>IF(CH80="","",'Name List'!$I$4)</f>
        <v/>
      </c>
      <c r="CO80" s="71"/>
      <c r="CP80" s="72"/>
      <c r="CQ80" s="383" t="str">
        <f t="shared" si="74"/>
        <v/>
      </c>
      <c r="CR80" s="77"/>
      <c r="CS80" s="78"/>
      <c r="CT80" s="78"/>
      <c r="CU80" s="79"/>
      <c r="CV80" s="333" t="str">
        <f>IF(CQ80="","",'Name List'!$I$4)</f>
        <v/>
      </c>
      <c r="CX80" s="98"/>
      <c r="CY80" s="99"/>
      <c r="CZ80" s="329" t="str">
        <f t="shared" si="75"/>
        <v/>
      </c>
      <c r="DA80" s="77"/>
      <c r="DB80" s="78"/>
      <c r="DC80" s="78"/>
      <c r="DD80" s="79"/>
      <c r="DE80" s="333" t="str">
        <f>IF(CZ80="","",'Name List'!$I$4)</f>
        <v/>
      </c>
      <c r="DG80" s="98"/>
      <c r="DH80" s="99"/>
      <c r="DI80" s="329" t="str">
        <f t="shared" si="76"/>
        <v/>
      </c>
      <c r="DJ80" s="77"/>
      <c r="DK80" s="78"/>
      <c r="DL80" s="78"/>
      <c r="DM80" s="79"/>
      <c r="DN80" s="333" t="str">
        <f>IF(DI80="","",'Name List'!$I$4)</f>
        <v/>
      </c>
      <c r="DP80" s="98"/>
      <c r="DQ80" s="99"/>
      <c r="DR80" s="329" t="str">
        <f t="shared" si="77"/>
        <v/>
      </c>
      <c r="DS80" s="77"/>
      <c r="DT80" s="78"/>
      <c r="DU80" s="78"/>
      <c r="DV80" s="79"/>
      <c r="DW80" s="333" t="str">
        <f>IF(DR80="","",'Name List'!$I$4)</f>
        <v/>
      </c>
      <c r="DY80" s="98"/>
      <c r="DZ80" s="99"/>
      <c r="EA80" s="329" t="str">
        <f t="shared" si="78"/>
        <v/>
      </c>
      <c r="EB80" s="77"/>
      <c r="EC80" s="78"/>
      <c r="ED80" s="78"/>
      <c r="EE80" s="79"/>
      <c r="EF80" s="333" t="str">
        <f>IF(EA80="","",'Name List'!$I$4)</f>
        <v/>
      </c>
      <c r="EH80" s="98"/>
      <c r="EI80" s="99"/>
      <c r="EJ80" s="329" t="str">
        <f t="shared" si="79"/>
        <v/>
      </c>
      <c r="EK80" s="77"/>
      <c r="EL80" s="78"/>
      <c r="EM80" s="78"/>
      <c r="EN80" s="79"/>
      <c r="EO80" s="333" t="str">
        <f>IF(EJ80="","",'Name List'!$I$4)</f>
        <v/>
      </c>
      <c r="EQ80" s="115"/>
      <c r="ER80" s="116"/>
      <c r="ES80" s="390"/>
      <c r="ET80" s="77"/>
      <c r="EU80" s="78"/>
      <c r="EV80" s="78"/>
      <c r="EW80" s="79"/>
      <c r="EX80" s="67"/>
      <c r="EZ80" s="68"/>
      <c r="FA80" s="69"/>
      <c r="FB80" s="70"/>
      <c r="FC80" s="77"/>
      <c r="FD80" s="78"/>
      <c r="FE80" s="78"/>
      <c r="FF80" s="79"/>
      <c r="FG80" s="67"/>
      <c r="FI80" s="98"/>
      <c r="FJ80" s="99"/>
      <c r="FK80" s="100"/>
      <c r="FL80" s="77"/>
      <c r="FM80" s="78"/>
      <c r="FN80" s="78"/>
      <c r="FO80" s="79"/>
      <c r="FP80" s="67"/>
      <c r="FR80" s="98"/>
      <c r="FS80" s="99"/>
      <c r="FT80" s="100"/>
      <c r="FU80" s="77"/>
      <c r="FV80" s="78"/>
      <c r="FW80" s="78"/>
      <c r="FX80" s="79"/>
      <c r="FY80" s="67"/>
      <c r="GA80" s="98"/>
      <c r="GB80" s="99"/>
      <c r="GC80" s="100"/>
      <c r="GD80" s="77"/>
      <c r="GE80" s="78"/>
      <c r="GF80" s="78"/>
      <c r="GG80" s="79"/>
      <c r="GH80" s="67"/>
      <c r="GJ80" s="98"/>
      <c r="GK80" s="99"/>
      <c r="GL80" s="329" t="str">
        <f t="shared" si="83"/>
        <v/>
      </c>
      <c r="GM80" s="77"/>
      <c r="GN80" s="78"/>
      <c r="GO80" s="78"/>
      <c r="GP80" s="79"/>
      <c r="GQ80" s="67"/>
      <c r="GS80" s="68"/>
      <c r="GT80" s="69"/>
      <c r="GU80" s="70"/>
      <c r="GV80" s="77"/>
      <c r="GW80" s="78"/>
      <c r="GX80" s="78"/>
      <c r="GY80" s="79"/>
      <c r="GZ80" s="67"/>
      <c r="HB80" s="98"/>
      <c r="HC80" s="99"/>
      <c r="HD80" s="100"/>
      <c r="HE80" s="77"/>
      <c r="HF80" s="78"/>
      <c r="HG80" s="78"/>
      <c r="HH80" s="79"/>
      <c r="HI80" s="67"/>
      <c r="HK80" s="71"/>
      <c r="HL80" s="72"/>
      <c r="HM80" s="383" t="str">
        <f t="shared" si="85"/>
        <v/>
      </c>
      <c r="HN80" s="77"/>
      <c r="HO80" s="78"/>
      <c r="HP80" s="78"/>
      <c r="HQ80" s="79"/>
      <c r="HR80" s="333" t="str">
        <f>IF(HM80="","",'Name List'!$I$4)</f>
        <v/>
      </c>
      <c r="HT80" s="68"/>
      <c r="HU80" s="69"/>
      <c r="HV80" s="70"/>
      <c r="HW80" s="77"/>
      <c r="HX80" s="78"/>
      <c r="HY80" s="78"/>
      <c r="HZ80" s="79"/>
      <c r="IA80" s="67"/>
      <c r="IC80" s="115"/>
      <c r="ID80" s="116"/>
      <c r="IE80" s="117"/>
      <c r="IF80" s="77"/>
      <c r="IG80" s="78"/>
      <c r="IH80" s="78"/>
      <c r="II80" s="79"/>
      <c r="IJ80" s="67"/>
      <c r="IL80" s="98"/>
      <c r="IM80" s="99"/>
      <c r="IN80" s="100"/>
      <c r="IO80" s="77"/>
      <c r="IP80" s="78"/>
      <c r="IQ80" s="78"/>
      <c r="IR80" s="79"/>
      <c r="IS80" s="67"/>
      <c r="IU80" s="98"/>
      <c r="IV80" s="99"/>
      <c r="IW80" s="100"/>
      <c r="IX80" s="77"/>
      <c r="IY80" s="78"/>
      <c r="IZ80" s="78"/>
      <c r="JA80" s="79"/>
      <c r="JB80" s="67"/>
      <c r="JD80" s="98"/>
      <c r="JE80" s="99"/>
      <c r="JF80" s="100"/>
      <c r="JG80" s="77"/>
      <c r="JH80" s="78"/>
      <c r="JI80" s="78"/>
      <c r="JJ80" s="79"/>
      <c r="JK80" s="67"/>
      <c r="JM80" s="98"/>
      <c r="JN80" s="99"/>
      <c r="JO80" s="275"/>
      <c r="JP80" s="77"/>
      <c r="JQ80" s="78"/>
      <c r="JR80" s="78"/>
      <c r="JS80" s="79"/>
      <c r="JT80" s="67"/>
      <c r="JV80" s="98"/>
      <c r="JW80" s="99"/>
      <c r="JX80" s="100"/>
      <c r="JY80" s="77"/>
      <c r="JZ80" s="78"/>
      <c r="KA80" s="78"/>
      <c r="KB80" s="79"/>
      <c r="KC80" s="67"/>
      <c r="KE80" s="98"/>
      <c r="KF80" s="99"/>
      <c r="KG80" s="100"/>
      <c r="KH80" s="77"/>
      <c r="KI80" s="78"/>
      <c r="KJ80" s="78"/>
      <c r="KK80" s="79"/>
      <c r="KL80" s="67"/>
      <c r="KN80" s="68"/>
      <c r="KO80" s="69"/>
      <c r="KP80" s="70"/>
      <c r="KQ80" s="77"/>
      <c r="KR80" s="78"/>
      <c r="KS80" s="78"/>
      <c r="KT80" s="79"/>
      <c r="KU80" s="67"/>
      <c r="KW80" s="98"/>
      <c r="KX80" s="99"/>
      <c r="KY80" s="100"/>
      <c r="KZ80" s="77"/>
      <c r="LA80" s="78"/>
      <c r="LB80" s="78"/>
      <c r="LC80" s="79"/>
      <c r="LD80" s="67"/>
      <c r="LF80" s="71"/>
      <c r="LG80" s="72"/>
      <c r="LH80" s="73"/>
      <c r="LI80" s="77"/>
      <c r="LJ80" s="78"/>
      <c r="LK80" s="78"/>
      <c r="LL80" s="79"/>
      <c r="LM80" s="67"/>
      <c r="LO80" s="98"/>
      <c r="LP80" s="99"/>
      <c r="LQ80" s="329"/>
      <c r="LR80" s="77"/>
      <c r="LS80" s="78"/>
      <c r="LT80" s="78"/>
      <c r="LU80" s="79"/>
      <c r="LV80" s="67"/>
      <c r="LX80" s="98"/>
      <c r="LY80" s="99"/>
      <c r="LZ80" s="100"/>
      <c r="MA80" s="77"/>
      <c r="MB80" s="78"/>
      <c r="MC80" s="78"/>
      <c r="MD80" s="79"/>
      <c r="ME80" s="67"/>
      <c r="MG80" s="98"/>
      <c r="MH80" s="99"/>
      <c r="MI80" s="100"/>
      <c r="MJ80" s="77"/>
      <c r="MK80" s="78"/>
      <c r="ML80" s="78"/>
      <c r="MM80" s="79"/>
      <c r="MN80" s="67"/>
      <c r="MP80" s="98"/>
      <c r="MQ80" s="99"/>
      <c r="MR80" s="100"/>
      <c r="MS80" s="77"/>
      <c r="MT80" s="78"/>
      <c r="MU80" s="78"/>
      <c r="MV80" s="79"/>
      <c r="MW80" s="67"/>
      <c r="MY80" s="98"/>
      <c r="MZ80" s="99"/>
      <c r="NA80" s="100"/>
      <c r="NB80" s="77"/>
      <c r="NC80" s="78"/>
      <c r="ND80" s="78"/>
      <c r="NE80" s="79"/>
      <c r="NF80" s="67"/>
      <c r="NH80" s="98"/>
      <c r="NI80" s="99"/>
      <c r="NJ80" s="329"/>
      <c r="NK80" s="77"/>
      <c r="NL80" s="78"/>
      <c r="NM80" s="78"/>
      <c r="NN80" s="79"/>
      <c r="NO80" s="67"/>
      <c r="NQ80" s="98"/>
      <c r="NR80" s="99"/>
      <c r="NS80" s="100"/>
      <c r="NT80" s="77"/>
      <c r="NU80" s="78"/>
      <c r="NV80" s="78"/>
      <c r="NW80" s="79"/>
      <c r="NX80" s="67"/>
      <c r="NZ80" s="71"/>
      <c r="OA80" s="72"/>
      <c r="OB80" s="73"/>
      <c r="OC80" s="77"/>
      <c r="OD80" s="78"/>
      <c r="OE80" s="78"/>
      <c r="OF80" s="79"/>
      <c r="OG80" s="67"/>
      <c r="OI80" s="98"/>
      <c r="OJ80" s="99"/>
      <c r="OK80" s="329"/>
      <c r="OL80" s="77"/>
      <c r="OM80" s="78"/>
      <c r="ON80" s="78"/>
      <c r="OO80" s="79"/>
      <c r="OP80" s="67"/>
      <c r="OR80" s="71"/>
      <c r="OS80" s="72"/>
      <c r="OT80" s="73"/>
      <c r="OU80" s="77"/>
      <c r="OV80" s="78"/>
      <c r="OW80" s="78"/>
      <c r="OX80" s="79"/>
      <c r="OY80" s="67"/>
      <c r="PA80" s="98"/>
      <c r="PB80" s="99"/>
      <c r="PC80" s="100"/>
      <c r="PD80" s="77"/>
      <c r="PE80" s="78"/>
      <c r="PF80" s="78"/>
      <c r="PG80" s="79"/>
      <c r="PH80" s="67"/>
      <c r="PJ80" s="68"/>
      <c r="PK80" s="69"/>
      <c r="PL80" s="70"/>
      <c r="PM80" s="77"/>
      <c r="PN80" s="78"/>
      <c r="PO80" s="78"/>
      <c r="PP80" s="79"/>
      <c r="PQ80" s="67"/>
      <c r="PS80" s="403"/>
      <c r="PT80" s="404"/>
      <c r="PU80" s="405"/>
      <c r="PV80" s="330"/>
      <c r="PW80" s="331"/>
      <c r="PX80" s="331"/>
      <c r="PY80" s="332"/>
      <c r="PZ80" s="333"/>
      <c r="QB80" s="71"/>
      <c r="QC80" s="72"/>
      <c r="QD80" s="73"/>
      <c r="QE80" s="77"/>
      <c r="QF80" s="78"/>
      <c r="QG80" s="78"/>
      <c r="QH80" s="79"/>
      <c r="QI80" s="67"/>
      <c r="QK80" s="283"/>
      <c r="QL80" s="284"/>
      <c r="QM80" s="285"/>
      <c r="QN80" s="77"/>
      <c r="QO80" s="78"/>
      <c r="QP80" s="78"/>
      <c r="QQ80" s="79"/>
      <c r="QR80" s="67" t="str">
        <f>IF(QM80="","",'Name List'!$I$4)</f>
        <v/>
      </c>
      <c r="QS80" s="91"/>
      <c r="QT80" s="107">
        <f t="shared" si="87"/>
        <v>0</v>
      </c>
      <c r="QU80" s="130">
        <f t="shared" si="88"/>
        <v>0</v>
      </c>
      <c r="QV80" s="130">
        <f t="shared" si="89"/>
        <v>0</v>
      </c>
      <c r="QW80" s="108">
        <f t="shared" si="90"/>
        <v>0</v>
      </c>
      <c r="QY80" s="260">
        <f t="shared" si="91"/>
        <v>0</v>
      </c>
      <c r="RA80" s="141">
        <f t="shared" si="92"/>
        <v>0</v>
      </c>
      <c r="RB80" s="106">
        <f t="shared" si="93"/>
        <v>0</v>
      </c>
      <c r="RC80" s="106">
        <f t="shared" si="94"/>
        <v>0</v>
      </c>
      <c r="RD80" s="106">
        <f t="shared" si="95"/>
        <v>0</v>
      </c>
      <c r="RE80" s="106">
        <f t="shared" si="96"/>
        <v>0</v>
      </c>
      <c r="RF80" s="142">
        <f t="shared" si="97"/>
        <v>0</v>
      </c>
      <c r="RG80" s="106"/>
      <c r="RH80" s="139">
        <f t="shared" si="98"/>
        <v>0</v>
      </c>
      <c r="RI80" s="140">
        <f t="shared" si="99"/>
        <v>0</v>
      </c>
      <c r="RJ80" s="106"/>
      <c r="RK80" s="136">
        <f t="shared" si="100"/>
        <v>0</v>
      </c>
      <c r="RL80" s="106"/>
      <c r="RM80" s="137">
        <f t="shared" si="101"/>
        <v>0</v>
      </c>
      <c r="RN80" s="138">
        <f t="shared" si="102"/>
        <v>0</v>
      </c>
      <c r="RO80" s="106"/>
      <c r="RP80" s="259">
        <f t="shared" si="103"/>
        <v>0</v>
      </c>
    </row>
    <row r="81" spans="1:484" x14ac:dyDescent="0.2">
      <c r="A81" s="89">
        <f>'Name List'!B81</f>
        <v>7</v>
      </c>
      <c r="C81" s="98"/>
      <c r="D81" s="99"/>
      <c r="E81" s="329" t="str">
        <f t="shared" si="67"/>
        <v/>
      </c>
      <c r="F81" s="77"/>
      <c r="G81" s="78"/>
      <c r="H81" s="78"/>
      <c r="I81" s="79"/>
      <c r="J81" s="333" t="str">
        <f>IF(E81="","",'Name List'!$I$4)</f>
        <v/>
      </c>
      <c r="L81" s="98"/>
      <c r="M81" s="99"/>
      <c r="N81" s="100"/>
      <c r="O81" s="77"/>
      <c r="P81" s="78"/>
      <c r="Q81" s="78"/>
      <c r="R81" s="79"/>
      <c r="S81" s="67"/>
      <c r="U81" s="71"/>
      <c r="V81" s="72"/>
      <c r="W81" s="396" t="str">
        <f t="shared" si="68"/>
        <v/>
      </c>
      <c r="X81" s="77"/>
      <c r="Y81" s="78"/>
      <c r="Z81" s="78"/>
      <c r="AA81" s="79"/>
      <c r="AB81" s="333" t="str">
        <f>IF(W81="","",'Name List'!$I$4)</f>
        <v/>
      </c>
      <c r="AD81" s="98"/>
      <c r="AE81" s="99"/>
      <c r="AF81" s="329" t="str">
        <f t="shared" si="69"/>
        <v/>
      </c>
      <c r="AG81" s="77"/>
      <c r="AH81" s="78"/>
      <c r="AI81" s="78"/>
      <c r="AJ81" s="79"/>
      <c r="AK81" s="333" t="str">
        <f>IF(AF81="","",'Name List'!$I$4)</f>
        <v/>
      </c>
      <c r="AM81" s="98"/>
      <c r="AN81" s="99"/>
      <c r="AO81" s="329" t="str">
        <f t="shared" si="70"/>
        <v/>
      </c>
      <c r="AP81" s="77"/>
      <c r="AQ81" s="78"/>
      <c r="AR81" s="78"/>
      <c r="AS81" s="79"/>
      <c r="AT81" s="333" t="str">
        <f>IF(AO81="","",'Name List'!$I$4)</f>
        <v/>
      </c>
      <c r="AV81" s="458"/>
      <c r="AW81" s="401"/>
      <c r="AX81" s="400" t="str">
        <f t="shared" si="71"/>
        <v/>
      </c>
      <c r="AY81" s="77"/>
      <c r="AZ81" s="78"/>
      <c r="BA81" s="78"/>
      <c r="BB81" s="79"/>
      <c r="BC81" s="457" t="str">
        <f>IF(AX81="","",'Name List'!$I$4)</f>
        <v/>
      </c>
      <c r="BE81" s="71"/>
      <c r="BF81" s="72"/>
      <c r="BG81" s="383" t="str">
        <f t="shared" si="72"/>
        <v/>
      </c>
      <c r="BH81" s="77"/>
      <c r="BI81" s="78"/>
      <c r="BJ81" s="78"/>
      <c r="BK81" s="79"/>
      <c r="BL81" s="333" t="str">
        <f>IF(BG81="","",'Name List'!$I$4)</f>
        <v/>
      </c>
      <c r="BN81" s="98"/>
      <c r="BO81" s="99"/>
      <c r="BP81" s="100"/>
      <c r="BQ81" s="77"/>
      <c r="BR81" s="78"/>
      <c r="BS81" s="78"/>
      <c r="BT81" s="79"/>
      <c r="BU81" s="67"/>
      <c r="BW81" s="98"/>
      <c r="BX81" s="99"/>
      <c r="BY81" s="329" t="str">
        <f t="shared" si="73"/>
        <v/>
      </c>
      <c r="BZ81" s="77"/>
      <c r="CA81" s="78"/>
      <c r="CB81" s="78"/>
      <c r="CC81" s="79"/>
      <c r="CD81" s="333" t="str">
        <f>IF(BY81="","",'Name List'!$I$4)</f>
        <v/>
      </c>
      <c r="CF81" s="68"/>
      <c r="CG81" s="69"/>
      <c r="CH81" s="282" t="str">
        <f t="shared" si="86"/>
        <v/>
      </c>
      <c r="CI81" s="77"/>
      <c r="CJ81" s="78"/>
      <c r="CK81" s="78"/>
      <c r="CL81" s="79"/>
      <c r="CM81" s="333" t="str">
        <f>IF(CH81="","",'Name List'!$I$4)</f>
        <v/>
      </c>
      <c r="CO81" s="71"/>
      <c r="CP81" s="72"/>
      <c r="CQ81" s="383" t="str">
        <f t="shared" si="74"/>
        <v/>
      </c>
      <c r="CR81" s="77"/>
      <c r="CS81" s="78"/>
      <c r="CT81" s="78"/>
      <c r="CU81" s="79"/>
      <c r="CV81" s="333" t="str">
        <f>IF(CQ81="","",'Name List'!$I$4)</f>
        <v/>
      </c>
      <c r="CX81" s="98"/>
      <c r="CY81" s="99"/>
      <c r="CZ81" s="329" t="str">
        <f t="shared" si="75"/>
        <v/>
      </c>
      <c r="DA81" s="77"/>
      <c r="DB81" s="78"/>
      <c r="DC81" s="78"/>
      <c r="DD81" s="79"/>
      <c r="DE81" s="333" t="str">
        <f>IF(CZ81="","",'Name List'!$I$4)</f>
        <v/>
      </c>
      <c r="DG81" s="98"/>
      <c r="DH81" s="99"/>
      <c r="DI81" s="329" t="str">
        <f t="shared" si="76"/>
        <v/>
      </c>
      <c r="DJ81" s="77"/>
      <c r="DK81" s="78"/>
      <c r="DL81" s="78"/>
      <c r="DM81" s="79"/>
      <c r="DN81" s="333" t="str">
        <f>IF(DI81="","",'Name List'!$I$4)</f>
        <v/>
      </c>
      <c r="DP81" s="98"/>
      <c r="DQ81" s="99"/>
      <c r="DR81" s="329" t="str">
        <f t="shared" si="77"/>
        <v/>
      </c>
      <c r="DS81" s="77"/>
      <c r="DT81" s="78"/>
      <c r="DU81" s="78"/>
      <c r="DV81" s="79"/>
      <c r="DW81" s="333" t="str">
        <f>IF(DR81="","",'Name List'!$I$4)</f>
        <v/>
      </c>
      <c r="DY81" s="98"/>
      <c r="DZ81" s="99"/>
      <c r="EA81" s="329" t="str">
        <f t="shared" si="78"/>
        <v/>
      </c>
      <c r="EB81" s="77"/>
      <c r="EC81" s="78"/>
      <c r="ED81" s="78"/>
      <c r="EE81" s="79"/>
      <c r="EF81" s="333" t="str">
        <f>IF(EA81="","",'Name List'!$I$4)</f>
        <v/>
      </c>
      <c r="EH81" s="98"/>
      <c r="EI81" s="99"/>
      <c r="EJ81" s="329" t="str">
        <f t="shared" si="79"/>
        <v/>
      </c>
      <c r="EK81" s="77"/>
      <c r="EL81" s="78"/>
      <c r="EM81" s="78"/>
      <c r="EN81" s="79"/>
      <c r="EO81" s="333" t="str">
        <f>IF(EJ81="","",'Name List'!$I$4)</f>
        <v/>
      </c>
      <c r="EQ81" s="115"/>
      <c r="ER81" s="116"/>
      <c r="ES81" s="390"/>
      <c r="ET81" s="77"/>
      <c r="EU81" s="78"/>
      <c r="EV81" s="78"/>
      <c r="EW81" s="79"/>
      <c r="EX81" s="67"/>
      <c r="EZ81" s="68"/>
      <c r="FA81" s="69"/>
      <c r="FB81" s="70"/>
      <c r="FC81" s="77"/>
      <c r="FD81" s="78"/>
      <c r="FE81" s="78"/>
      <c r="FF81" s="79"/>
      <c r="FG81" s="67"/>
      <c r="FI81" s="98"/>
      <c r="FJ81" s="99"/>
      <c r="FK81" s="100"/>
      <c r="FL81" s="77"/>
      <c r="FM81" s="78"/>
      <c r="FN81" s="78"/>
      <c r="FO81" s="79"/>
      <c r="FP81" s="67"/>
      <c r="FR81" s="98"/>
      <c r="FS81" s="99"/>
      <c r="FT81" s="100"/>
      <c r="FU81" s="77"/>
      <c r="FV81" s="78"/>
      <c r="FW81" s="78"/>
      <c r="FX81" s="79"/>
      <c r="FY81" s="67"/>
      <c r="GA81" s="98"/>
      <c r="GB81" s="99"/>
      <c r="GC81" s="100"/>
      <c r="GD81" s="77"/>
      <c r="GE81" s="78"/>
      <c r="GF81" s="78"/>
      <c r="GG81" s="79"/>
      <c r="GH81" s="67"/>
      <c r="GJ81" s="98"/>
      <c r="GK81" s="99"/>
      <c r="GL81" s="100"/>
      <c r="GM81" s="77"/>
      <c r="GN81" s="78"/>
      <c r="GO81" s="78"/>
      <c r="GP81" s="79"/>
      <c r="GQ81" s="67"/>
      <c r="GS81" s="68"/>
      <c r="GT81" s="69"/>
      <c r="GU81" s="70"/>
      <c r="GV81" s="77"/>
      <c r="GW81" s="78"/>
      <c r="GX81" s="78"/>
      <c r="GY81" s="79"/>
      <c r="GZ81" s="67"/>
      <c r="HB81" s="98"/>
      <c r="HC81" s="99"/>
      <c r="HD81" s="100"/>
      <c r="HE81" s="77"/>
      <c r="HF81" s="78"/>
      <c r="HG81" s="78"/>
      <c r="HH81" s="79"/>
      <c r="HI81" s="67"/>
      <c r="HK81" s="71"/>
      <c r="HL81" s="72"/>
      <c r="HM81" s="383" t="str">
        <f t="shared" si="85"/>
        <v/>
      </c>
      <c r="HN81" s="77"/>
      <c r="HO81" s="78"/>
      <c r="HP81" s="78"/>
      <c r="HQ81" s="79"/>
      <c r="HR81" s="333" t="str">
        <f>IF(HM81="","",'Name List'!$I$4)</f>
        <v/>
      </c>
      <c r="HT81" s="68"/>
      <c r="HU81" s="69"/>
      <c r="HV81" s="70"/>
      <c r="HW81" s="77"/>
      <c r="HX81" s="78"/>
      <c r="HY81" s="78"/>
      <c r="HZ81" s="79"/>
      <c r="IA81" s="67"/>
      <c r="IC81" s="115"/>
      <c r="ID81" s="116"/>
      <c r="IE81" s="117"/>
      <c r="IF81" s="77"/>
      <c r="IG81" s="78"/>
      <c r="IH81" s="78"/>
      <c r="II81" s="79"/>
      <c r="IJ81" s="67"/>
      <c r="IL81" s="98"/>
      <c r="IM81" s="99"/>
      <c r="IN81" s="100"/>
      <c r="IO81" s="77"/>
      <c r="IP81" s="78"/>
      <c r="IQ81" s="78"/>
      <c r="IR81" s="79"/>
      <c r="IS81" s="67"/>
      <c r="IU81" s="98"/>
      <c r="IV81" s="99"/>
      <c r="IW81" s="100"/>
      <c r="IX81" s="77"/>
      <c r="IY81" s="78"/>
      <c r="IZ81" s="78"/>
      <c r="JA81" s="79"/>
      <c r="JB81" s="67"/>
      <c r="JD81" s="98"/>
      <c r="JE81" s="99"/>
      <c r="JF81" s="100"/>
      <c r="JG81" s="77"/>
      <c r="JH81" s="78"/>
      <c r="JI81" s="78"/>
      <c r="JJ81" s="79"/>
      <c r="JK81" s="67"/>
      <c r="JM81" s="98"/>
      <c r="JN81" s="99"/>
      <c r="JO81" s="275"/>
      <c r="JP81" s="77"/>
      <c r="JQ81" s="78"/>
      <c r="JR81" s="78"/>
      <c r="JS81" s="79"/>
      <c r="JT81" s="67"/>
      <c r="JV81" s="98"/>
      <c r="JW81" s="99"/>
      <c r="JX81" s="100"/>
      <c r="JY81" s="77"/>
      <c r="JZ81" s="78"/>
      <c r="KA81" s="78"/>
      <c r="KB81" s="79"/>
      <c r="KC81" s="67"/>
      <c r="KE81" s="98"/>
      <c r="KF81" s="99"/>
      <c r="KG81" s="100"/>
      <c r="KH81" s="77"/>
      <c r="KI81" s="78"/>
      <c r="KJ81" s="78"/>
      <c r="KK81" s="79"/>
      <c r="KL81" s="67"/>
      <c r="KN81" s="68"/>
      <c r="KO81" s="69"/>
      <c r="KP81" s="70"/>
      <c r="KQ81" s="77"/>
      <c r="KR81" s="78"/>
      <c r="KS81" s="78"/>
      <c r="KT81" s="79"/>
      <c r="KU81" s="67"/>
      <c r="KW81" s="98"/>
      <c r="KX81" s="99"/>
      <c r="KY81" s="100"/>
      <c r="KZ81" s="77"/>
      <c r="LA81" s="78"/>
      <c r="LB81" s="78"/>
      <c r="LC81" s="79"/>
      <c r="LD81" s="67"/>
      <c r="LF81" s="71"/>
      <c r="LG81" s="72"/>
      <c r="LH81" s="73"/>
      <c r="LI81" s="77"/>
      <c r="LJ81" s="78"/>
      <c r="LK81" s="78"/>
      <c r="LL81" s="79"/>
      <c r="LM81" s="67"/>
      <c r="LO81" s="98"/>
      <c r="LP81" s="99"/>
      <c r="LQ81" s="329"/>
      <c r="LR81" s="77"/>
      <c r="LS81" s="78"/>
      <c r="LT81" s="78"/>
      <c r="LU81" s="79"/>
      <c r="LV81" s="67"/>
      <c r="LX81" s="98"/>
      <c r="LY81" s="99"/>
      <c r="LZ81" s="100"/>
      <c r="MA81" s="77"/>
      <c r="MB81" s="78"/>
      <c r="MC81" s="78"/>
      <c r="MD81" s="79"/>
      <c r="ME81" s="67"/>
      <c r="MG81" s="98"/>
      <c r="MH81" s="99"/>
      <c r="MI81" s="100"/>
      <c r="MJ81" s="77"/>
      <c r="MK81" s="78"/>
      <c r="ML81" s="78"/>
      <c r="MM81" s="79"/>
      <c r="MN81" s="67"/>
      <c r="MP81" s="98"/>
      <c r="MQ81" s="99"/>
      <c r="MR81" s="100"/>
      <c r="MS81" s="77"/>
      <c r="MT81" s="78"/>
      <c r="MU81" s="78"/>
      <c r="MV81" s="79"/>
      <c r="MW81" s="67"/>
      <c r="MY81" s="98"/>
      <c r="MZ81" s="99"/>
      <c r="NA81" s="100"/>
      <c r="NB81" s="77"/>
      <c r="NC81" s="78"/>
      <c r="ND81" s="78"/>
      <c r="NE81" s="79"/>
      <c r="NF81" s="67"/>
      <c r="NH81" s="98"/>
      <c r="NI81" s="99"/>
      <c r="NJ81" s="329"/>
      <c r="NK81" s="77"/>
      <c r="NL81" s="78"/>
      <c r="NM81" s="78"/>
      <c r="NN81" s="79"/>
      <c r="NO81" s="67"/>
      <c r="NQ81" s="98"/>
      <c r="NR81" s="99"/>
      <c r="NS81" s="100"/>
      <c r="NT81" s="77"/>
      <c r="NU81" s="78"/>
      <c r="NV81" s="78"/>
      <c r="NW81" s="79"/>
      <c r="NX81" s="67"/>
      <c r="NZ81" s="71"/>
      <c r="OA81" s="72"/>
      <c r="OB81" s="73"/>
      <c r="OC81" s="77"/>
      <c r="OD81" s="78"/>
      <c r="OE81" s="78"/>
      <c r="OF81" s="79"/>
      <c r="OG81" s="67"/>
      <c r="OI81" s="98"/>
      <c r="OJ81" s="99"/>
      <c r="OK81" s="329"/>
      <c r="OL81" s="77"/>
      <c r="OM81" s="78"/>
      <c r="ON81" s="78"/>
      <c r="OO81" s="79"/>
      <c r="OP81" s="67"/>
      <c r="OR81" s="71"/>
      <c r="OS81" s="72"/>
      <c r="OT81" s="73"/>
      <c r="OU81" s="77"/>
      <c r="OV81" s="78"/>
      <c r="OW81" s="78"/>
      <c r="OX81" s="79"/>
      <c r="OY81" s="67"/>
      <c r="PA81" s="98"/>
      <c r="PB81" s="99"/>
      <c r="PC81" s="100"/>
      <c r="PD81" s="77"/>
      <c r="PE81" s="78"/>
      <c r="PF81" s="78"/>
      <c r="PG81" s="79"/>
      <c r="PH81" s="67"/>
      <c r="PJ81" s="68"/>
      <c r="PK81" s="69"/>
      <c r="PL81" s="70"/>
      <c r="PM81" s="77"/>
      <c r="PN81" s="78"/>
      <c r="PO81" s="78"/>
      <c r="PP81" s="79"/>
      <c r="PQ81" s="67"/>
      <c r="PS81" s="403"/>
      <c r="PT81" s="404"/>
      <c r="PU81" s="405"/>
      <c r="PV81" s="330"/>
      <c r="PW81" s="331"/>
      <c r="PX81" s="331"/>
      <c r="PY81" s="332"/>
      <c r="PZ81" s="333"/>
      <c r="QB81" s="71"/>
      <c r="QC81" s="72"/>
      <c r="QD81" s="73"/>
      <c r="QE81" s="77"/>
      <c r="QF81" s="78"/>
      <c r="QG81" s="78"/>
      <c r="QH81" s="79"/>
      <c r="QI81" s="67"/>
      <c r="QK81" s="283"/>
      <c r="QL81" s="284"/>
      <c r="QM81" s="285"/>
      <c r="QN81" s="77"/>
      <c r="QO81" s="78"/>
      <c r="QP81" s="78"/>
      <c r="QQ81" s="79"/>
      <c r="QR81" s="67" t="str">
        <f>IF(QM81="","",'Name List'!$I$4)</f>
        <v/>
      </c>
      <c r="QS81" s="91"/>
      <c r="QT81" s="107">
        <f t="shared" si="87"/>
        <v>0</v>
      </c>
      <c r="QU81" s="130">
        <f t="shared" si="88"/>
        <v>0</v>
      </c>
      <c r="QV81" s="130">
        <f t="shared" si="89"/>
        <v>0</v>
      </c>
      <c r="QW81" s="108">
        <f t="shared" si="90"/>
        <v>0</v>
      </c>
      <c r="QY81" s="260">
        <f t="shared" si="91"/>
        <v>0</v>
      </c>
      <c r="RA81" s="141">
        <f t="shared" si="92"/>
        <v>0</v>
      </c>
      <c r="RB81" s="106">
        <f t="shared" si="93"/>
        <v>0</v>
      </c>
      <c r="RC81" s="106">
        <f t="shared" si="94"/>
        <v>0</v>
      </c>
      <c r="RD81" s="106">
        <f t="shared" si="95"/>
        <v>0</v>
      </c>
      <c r="RE81" s="106">
        <f t="shared" si="96"/>
        <v>0</v>
      </c>
      <c r="RF81" s="142">
        <f t="shared" si="97"/>
        <v>0</v>
      </c>
      <c r="RG81" s="106"/>
      <c r="RH81" s="139">
        <f t="shared" si="98"/>
        <v>0</v>
      </c>
      <c r="RI81" s="140">
        <f t="shared" si="99"/>
        <v>0</v>
      </c>
      <c r="RJ81" s="106"/>
      <c r="RK81" s="136">
        <f t="shared" si="100"/>
        <v>0</v>
      </c>
      <c r="RL81" s="106"/>
      <c r="RM81" s="137">
        <f t="shared" si="101"/>
        <v>0</v>
      </c>
      <c r="RN81" s="138">
        <f t="shared" si="102"/>
        <v>0</v>
      </c>
      <c r="RO81" s="106"/>
      <c r="RP81" s="259">
        <f t="shared" si="103"/>
        <v>0</v>
      </c>
    </row>
    <row r="82" spans="1:484" x14ac:dyDescent="0.2">
      <c r="A82" s="89">
        <f>'Name List'!B82</f>
        <v>8</v>
      </c>
      <c r="C82" s="98"/>
      <c r="D82" s="99"/>
      <c r="E82" s="329" t="str">
        <f t="shared" si="67"/>
        <v/>
      </c>
      <c r="F82" s="77"/>
      <c r="G82" s="78"/>
      <c r="H82" s="78"/>
      <c r="I82" s="79"/>
      <c r="J82" s="333" t="str">
        <f>IF(E82="","",'Name List'!$I$4)</f>
        <v/>
      </c>
      <c r="L82" s="98"/>
      <c r="M82" s="99"/>
      <c r="N82" s="100"/>
      <c r="O82" s="77"/>
      <c r="P82" s="78"/>
      <c r="Q82" s="78"/>
      <c r="R82" s="79"/>
      <c r="S82" s="67"/>
      <c r="U82" s="71"/>
      <c r="V82" s="72"/>
      <c r="W82" s="396" t="str">
        <f t="shared" si="68"/>
        <v/>
      </c>
      <c r="X82" s="77"/>
      <c r="Y82" s="78"/>
      <c r="Z82" s="78"/>
      <c r="AA82" s="79"/>
      <c r="AB82" s="333" t="str">
        <f>IF(W82="","",'Name List'!$I$4)</f>
        <v/>
      </c>
      <c r="AD82" s="98"/>
      <c r="AE82" s="99"/>
      <c r="AF82" s="329" t="str">
        <f t="shared" si="69"/>
        <v/>
      </c>
      <c r="AG82" s="77"/>
      <c r="AH82" s="78"/>
      <c r="AI82" s="78"/>
      <c r="AJ82" s="79"/>
      <c r="AK82" s="333" t="str">
        <f>IF(AF82="","",'Name List'!$I$4)</f>
        <v/>
      </c>
      <c r="AM82" s="98"/>
      <c r="AN82" s="99"/>
      <c r="AO82" s="329" t="str">
        <f t="shared" si="70"/>
        <v/>
      </c>
      <c r="AP82" s="77"/>
      <c r="AQ82" s="78"/>
      <c r="AR82" s="78"/>
      <c r="AS82" s="79"/>
      <c r="AT82" s="333" t="str">
        <f>IF(AO82="","",'Name List'!$I$4)</f>
        <v/>
      </c>
      <c r="AV82" s="458"/>
      <c r="AW82" s="401"/>
      <c r="AX82" s="400" t="str">
        <f t="shared" si="71"/>
        <v/>
      </c>
      <c r="AY82" s="77"/>
      <c r="AZ82" s="78"/>
      <c r="BA82" s="78"/>
      <c r="BB82" s="79"/>
      <c r="BC82" s="457" t="str">
        <f>IF(AX82="","",'Name List'!$I$4)</f>
        <v/>
      </c>
      <c r="BE82" s="71"/>
      <c r="BF82" s="72"/>
      <c r="BG82" s="383" t="str">
        <f t="shared" si="72"/>
        <v/>
      </c>
      <c r="BH82" s="77"/>
      <c r="BI82" s="78"/>
      <c r="BJ82" s="78"/>
      <c r="BK82" s="79"/>
      <c r="BL82" s="67"/>
      <c r="BN82" s="98"/>
      <c r="BO82" s="99"/>
      <c r="BP82" s="100"/>
      <c r="BQ82" s="77"/>
      <c r="BR82" s="78"/>
      <c r="BS82" s="78"/>
      <c r="BT82" s="79"/>
      <c r="BU82" s="67"/>
      <c r="BW82" s="98"/>
      <c r="BX82" s="99"/>
      <c r="BY82" s="329" t="str">
        <f t="shared" si="73"/>
        <v/>
      </c>
      <c r="BZ82" s="77"/>
      <c r="CA82" s="78"/>
      <c r="CB82" s="78"/>
      <c r="CC82" s="79"/>
      <c r="CD82" s="333" t="str">
        <f>IF(BY82="","",'Name List'!$I$4)</f>
        <v/>
      </c>
      <c r="CF82" s="68"/>
      <c r="CG82" s="69"/>
      <c r="CH82" s="282" t="str">
        <f t="shared" si="86"/>
        <v/>
      </c>
      <c r="CI82" s="77"/>
      <c r="CJ82" s="78"/>
      <c r="CK82" s="78"/>
      <c r="CL82" s="79"/>
      <c r="CM82" s="333" t="str">
        <f>IF(CH82="","",'Name List'!$I$4)</f>
        <v/>
      </c>
      <c r="CO82" s="71"/>
      <c r="CP82" s="72"/>
      <c r="CQ82" s="383" t="str">
        <f t="shared" si="74"/>
        <v/>
      </c>
      <c r="CR82" s="77"/>
      <c r="CS82" s="78"/>
      <c r="CT82" s="78"/>
      <c r="CU82" s="79"/>
      <c r="CV82" s="333" t="str">
        <f>IF(CQ82="","",'Name List'!$I$4)</f>
        <v/>
      </c>
      <c r="CX82" s="98"/>
      <c r="CY82" s="99"/>
      <c r="CZ82" s="329" t="str">
        <f t="shared" si="75"/>
        <v/>
      </c>
      <c r="DA82" s="77"/>
      <c r="DB82" s="78"/>
      <c r="DC82" s="78"/>
      <c r="DD82" s="79"/>
      <c r="DE82" s="333" t="str">
        <f>IF(CZ82="","",'Name List'!$I$4)</f>
        <v/>
      </c>
      <c r="DG82" s="98"/>
      <c r="DH82" s="99"/>
      <c r="DI82" s="329" t="str">
        <f t="shared" si="76"/>
        <v/>
      </c>
      <c r="DJ82" s="77"/>
      <c r="DK82" s="78"/>
      <c r="DL82" s="78"/>
      <c r="DM82" s="79"/>
      <c r="DN82" s="333" t="str">
        <f>IF(DI82="","",'Name List'!$I$4)</f>
        <v/>
      </c>
      <c r="DP82" s="98"/>
      <c r="DQ82" s="99"/>
      <c r="DR82" s="329" t="str">
        <f t="shared" si="77"/>
        <v/>
      </c>
      <c r="DS82" s="77"/>
      <c r="DT82" s="78"/>
      <c r="DU82" s="78"/>
      <c r="DV82" s="79"/>
      <c r="DW82" s="333" t="str">
        <f>IF(DR82="","",'Name List'!$I$4)</f>
        <v/>
      </c>
      <c r="DY82" s="98"/>
      <c r="DZ82" s="99"/>
      <c r="EA82" s="329" t="str">
        <f t="shared" si="78"/>
        <v/>
      </c>
      <c r="EB82" s="77"/>
      <c r="EC82" s="78"/>
      <c r="ED82" s="78"/>
      <c r="EE82" s="79"/>
      <c r="EF82" s="333" t="str">
        <f>IF(EA82="","",'Name List'!$I$4)</f>
        <v/>
      </c>
      <c r="EH82" s="98"/>
      <c r="EI82" s="99"/>
      <c r="EJ82" s="329" t="str">
        <f t="shared" si="79"/>
        <v/>
      </c>
      <c r="EK82" s="77"/>
      <c r="EL82" s="78"/>
      <c r="EM82" s="78"/>
      <c r="EN82" s="79"/>
      <c r="EO82" s="333" t="str">
        <f>IF(EJ82="","",'Name List'!$I$4)</f>
        <v/>
      </c>
      <c r="EQ82" s="115"/>
      <c r="ER82" s="116"/>
      <c r="ES82" s="390"/>
      <c r="ET82" s="77"/>
      <c r="EU82" s="78"/>
      <c r="EV82" s="78"/>
      <c r="EW82" s="79"/>
      <c r="EX82" s="67"/>
      <c r="EZ82" s="68"/>
      <c r="FA82" s="69"/>
      <c r="FB82" s="70"/>
      <c r="FC82" s="77"/>
      <c r="FD82" s="78"/>
      <c r="FE82" s="78"/>
      <c r="FF82" s="79"/>
      <c r="FG82" s="67"/>
      <c r="FI82" s="98"/>
      <c r="FJ82" s="99"/>
      <c r="FK82" s="100"/>
      <c r="FL82" s="77"/>
      <c r="FM82" s="78"/>
      <c r="FN82" s="78"/>
      <c r="FO82" s="79"/>
      <c r="FP82" s="67"/>
      <c r="FR82" s="98"/>
      <c r="FS82" s="99"/>
      <c r="FT82" s="100"/>
      <c r="FU82" s="77"/>
      <c r="FV82" s="78"/>
      <c r="FW82" s="78"/>
      <c r="FX82" s="79"/>
      <c r="FY82" s="67"/>
      <c r="GA82" s="98"/>
      <c r="GB82" s="99"/>
      <c r="GC82" s="100"/>
      <c r="GD82" s="77"/>
      <c r="GE82" s="78"/>
      <c r="GF82" s="78"/>
      <c r="GG82" s="79"/>
      <c r="GH82" s="67"/>
      <c r="GJ82" s="98"/>
      <c r="GK82" s="99"/>
      <c r="GL82" s="100"/>
      <c r="GM82" s="77"/>
      <c r="GN82" s="78"/>
      <c r="GO82" s="78"/>
      <c r="GP82" s="79"/>
      <c r="GQ82" s="67"/>
      <c r="GS82" s="68"/>
      <c r="GT82" s="69"/>
      <c r="GU82" s="70"/>
      <c r="GV82" s="77"/>
      <c r="GW82" s="78"/>
      <c r="GX82" s="78"/>
      <c r="GY82" s="79"/>
      <c r="GZ82" s="67"/>
      <c r="HB82" s="98"/>
      <c r="HC82" s="99"/>
      <c r="HD82" s="100"/>
      <c r="HE82" s="77"/>
      <c r="HF82" s="78"/>
      <c r="HG82" s="78"/>
      <c r="HH82" s="79"/>
      <c r="HI82" s="67"/>
      <c r="HK82" s="71"/>
      <c r="HL82" s="72"/>
      <c r="HM82" s="383" t="str">
        <f t="shared" si="85"/>
        <v/>
      </c>
      <c r="HN82" s="77"/>
      <c r="HO82" s="78"/>
      <c r="HP82" s="78"/>
      <c r="HQ82" s="79"/>
      <c r="HR82" s="333" t="str">
        <f>IF(HM82="","",'Name List'!$I$4)</f>
        <v/>
      </c>
      <c r="HT82" s="68"/>
      <c r="HU82" s="69"/>
      <c r="HV82" s="70"/>
      <c r="HW82" s="77"/>
      <c r="HX82" s="78"/>
      <c r="HY82" s="78"/>
      <c r="HZ82" s="79"/>
      <c r="IA82" s="67"/>
      <c r="IC82" s="115"/>
      <c r="ID82" s="116"/>
      <c r="IE82" s="117"/>
      <c r="IF82" s="77"/>
      <c r="IG82" s="78"/>
      <c r="IH82" s="78"/>
      <c r="II82" s="79"/>
      <c r="IJ82" s="67"/>
      <c r="IL82" s="98"/>
      <c r="IM82" s="99"/>
      <c r="IN82" s="100"/>
      <c r="IO82" s="77"/>
      <c r="IP82" s="78"/>
      <c r="IQ82" s="78"/>
      <c r="IR82" s="79"/>
      <c r="IS82" s="67"/>
      <c r="IU82" s="98"/>
      <c r="IV82" s="99"/>
      <c r="IW82" s="100"/>
      <c r="IX82" s="77"/>
      <c r="IY82" s="78"/>
      <c r="IZ82" s="78"/>
      <c r="JA82" s="79"/>
      <c r="JB82" s="67"/>
      <c r="JD82" s="98"/>
      <c r="JE82" s="99"/>
      <c r="JF82" s="100"/>
      <c r="JG82" s="77"/>
      <c r="JH82" s="78"/>
      <c r="JI82" s="78"/>
      <c r="JJ82" s="79"/>
      <c r="JK82" s="67"/>
      <c r="JM82" s="98"/>
      <c r="JN82" s="99"/>
      <c r="JO82" s="275"/>
      <c r="JP82" s="77"/>
      <c r="JQ82" s="78"/>
      <c r="JR82" s="78"/>
      <c r="JS82" s="79"/>
      <c r="JT82" s="67"/>
      <c r="JV82" s="98"/>
      <c r="JW82" s="99"/>
      <c r="JX82" s="100"/>
      <c r="JY82" s="77"/>
      <c r="JZ82" s="78"/>
      <c r="KA82" s="78"/>
      <c r="KB82" s="79"/>
      <c r="KC82" s="67"/>
      <c r="KE82" s="98"/>
      <c r="KF82" s="99"/>
      <c r="KG82" s="100"/>
      <c r="KH82" s="77"/>
      <c r="KI82" s="78"/>
      <c r="KJ82" s="78"/>
      <c r="KK82" s="79"/>
      <c r="KL82" s="67"/>
      <c r="KN82" s="68"/>
      <c r="KO82" s="69"/>
      <c r="KP82" s="70"/>
      <c r="KQ82" s="77"/>
      <c r="KR82" s="78"/>
      <c r="KS82" s="78"/>
      <c r="KT82" s="79"/>
      <c r="KU82" s="67"/>
      <c r="KW82" s="98"/>
      <c r="KX82" s="99"/>
      <c r="KY82" s="100"/>
      <c r="KZ82" s="77"/>
      <c r="LA82" s="78"/>
      <c r="LB82" s="78"/>
      <c r="LC82" s="79"/>
      <c r="LD82" s="67"/>
      <c r="LF82" s="71"/>
      <c r="LG82" s="72"/>
      <c r="LH82" s="73"/>
      <c r="LI82" s="77"/>
      <c r="LJ82" s="78"/>
      <c r="LK82" s="78"/>
      <c r="LL82" s="79"/>
      <c r="LM82" s="67"/>
      <c r="LO82" s="98"/>
      <c r="LP82" s="99"/>
      <c r="LQ82" s="329"/>
      <c r="LR82" s="77"/>
      <c r="LS82" s="78"/>
      <c r="LT82" s="78"/>
      <c r="LU82" s="79"/>
      <c r="LV82" s="67"/>
      <c r="LX82" s="98"/>
      <c r="LY82" s="99"/>
      <c r="LZ82" s="100"/>
      <c r="MA82" s="77"/>
      <c r="MB82" s="78"/>
      <c r="MC82" s="78"/>
      <c r="MD82" s="79"/>
      <c r="ME82" s="67"/>
      <c r="MG82" s="98"/>
      <c r="MH82" s="99"/>
      <c r="MI82" s="100"/>
      <c r="MJ82" s="77"/>
      <c r="MK82" s="78"/>
      <c r="ML82" s="78"/>
      <c r="MM82" s="79"/>
      <c r="MN82" s="67"/>
      <c r="MP82" s="98"/>
      <c r="MQ82" s="99"/>
      <c r="MR82" s="100"/>
      <c r="MS82" s="77"/>
      <c r="MT82" s="78"/>
      <c r="MU82" s="78"/>
      <c r="MV82" s="79"/>
      <c r="MW82" s="67"/>
      <c r="MY82" s="98"/>
      <c r="MZ82" s="99"/>
      <c r="NA82" s="100"/>
      <c r="NB82" s="77"/>
      <c r="NC82" s="78"/>
      <c r="ND82" s="78"/>
      <c r="NE82" s="79"/>
      <c r="NF82" s="67"/>
      <c r="NH82" s="98"/>
      <c r="NI82" s="99"/>
      <c r="NJ82" s="329"/>
      <c r="NK82" s="77"/>
      <c r="NL82" s="78"/>
      <c r="NM82" s="78"/>
      <c r="NN82" s="79"/>
      <c r="NO82" s="67"/>
      <c r="NQ82" s="98"/>
      <c r="NR82" s="99"/>
      <c r="NS82" s="100"/>
      <c r="NT82" s="77"/>
      <c r="NU82" s="78"/>
      <c r="NV82" s="78"/>
      <c r="NW82" s="79"/>
      <c r="NX82" s="67"/>
      <c r="NZ82" s="71"/>
      <c r="OA82" s="72"/>
      <c r="OB82" s="73"/>
      <c r="OC82" s="77"/>
      <c r="OD82" s="78"/>
      <c r="OE82" s="78"/>
      <c r="OF82" s="79"/>
      <c r="OG82" s="67"/>
      <c r="OI82" s="98"/>
      <c r="OJ82" s="99"/>
      <c r="OK82" s="329"/>
      <c r="OL82" s="77"/>
      <c r="OM82" s="78"/>
      <c r="ON82" s="78"/>
      <c r="OO82" s="79"/>
      <c r="OP82" s="67"/>
      <c r="OR82" s="71"/>
      <c r="OS82" s="72"/>
      <c r="OT82" s="73"/>
      <c r="OU82" s="77"/>
      <c r="OV82" s="78"/>
      <c r="OW82" s="78"/>
      <c r="OX82" s="79"/>
      <c r="OY82" s="67"/>
      <c r="PA82" s="98"/>
      <c r="PB82" s="99"/>
      <c r="PC82" s="100"/>
      <c r="PD82" s="77"/>
      <c r="PE82" s="78"/>
      <c r="PF82" s="78"/>
      <c r="PG82" s="79"/>
      <c r="PH82" s="67"/>
      <c r="PJ82" s="68"/>
      <c r="PK82" s="69"/>
      <c r="PL82" s="70"/>
      <c r="PM82" s="77"/>
      <c r="PN82" s="78"/>
      <c r="PO82" s="78"/>
      <c r="PP82" s="79"/>
      <c r="PQ82" s="67"/>
      <c r="PS82" s="403"/>
      <c r="PT82" s="404"/>
      <c r="PU82" s="405"/>
      <c r="PV82" s="330"/>
      <c r="PW82" s="331"/>
      <c r="PX82" s="331"/>
      <c r="PY82" s="332"/>
      <c r="PZ82" s="333"/>
      <c r="QB82" s="71"/>
      <c r="QC82" s="72"/>
      <c r="QD82" s="73"/>
      <c r="QE82" s="77"/>
      <c r="QF82" s="78"/>
      <c r="QG82" s="78"/>
      <c r="QH82" s="79"/>
      <c r="QI82" s="67"/>
      <c r="QK82" s="283"/>
      <c r="QL82" s="284"/>
      <c r="QM82" s="285"/>
      <c r="QN82" s="77"/>
      <c r="QO82" s="78"/>
      <c r="QP82" s="78"/>
      <c r="QQ82" s="79"/>
      <c r="QR82" s="67" t="str">
        <f>IF(QM82="","",'Name List'!$I$4)</f>
        <v/>
      </c>
      <c r="QS82" s="91"/>
      <c r="QT82" s="107">
        <f t="shared" si="87"/>
        <v>0</v>
      </c>
      <c r="QU82" s="130">
        <f t="shared" si="88"/>
        <v>0</v>
      </c>
      <c r="QV82" s="130">
        <f t="shared" si="89"/>
        <v>0</v>
      </c>
      <c r="QW82" s="108">
        <f t="shared" si="90"/>
        <v>0</v>
      </c>
      <c r="QY82" s="260">
        <f t="shared" si="91"/>
        <v>0</v>
      </c>
      <c r="RA82" s="141">
        <f t="shared" si="92"/>
        <v>0</v>
      </c>
      <c r="RB82" s="106">
        <f t="shared" si="93"/>
        <v>0</v>
      </c>
      <c r="RC82" s="106">
        <f t="shared" si="94"/>
        <v>0</v>
      </c>
      <c r="RD82" s="106">
        <f t="shared" si="95"/>
        <v>0</v>
      </c>
      <c r="RE82" s="106">
        <f t="shared" si="96"/>
        <v>0</v>
      </c>
      <c r="RF82" s="142">
        <f t="shared" si="97"/>
        <v>0</v>
      </c>
      <c r="RG82" s="106"/>
      <c r="RH82" s="139">
        <f t="shared" si="98"/>
        <v>0</v>
      </c>
      <c r="RI82" s="140">
        <f t="shared" si="99"/>
        <v>0</v>
      </c>
      <c r="RJ82" s="106"/>
      <c r="RK82" s="136">
        <f t="shared" si="100"/>
        <v>0</v>
      </c>
      <c r="RL82" s="106"/>
      <c r="RM82" s="137">
        <f t="shared" si="101"/>
        <v>0</v>
      </c>
      <c r="RN82" s="138">
        <f t="shared" si="102"/>
        <v>0</v>
      </c>
      <c r="RO82" s="106"/>
      <c r="RP82" s="259">
        <f t="shared" si="103"/>
        <v>0</v>
      </c>
    </row>
    <row r="83" spans="1:484" x14ac:dyDescent="0.2">
      <c r="A83" s="89">
        <f>'Name List'!B83</f>
        <v>9</v>
      </c>
      <c r="C83" s="98"/>
      <c r="D83" s="99"/>
      <c r="E83" s="329" t="str">
        <f t="shared" si="67"/>
        <v/>
      </c>
      <c r="F83" s="77"/>
      <c r="G83" s="78"/>
      <c r="H83" s="78"/>
      <c r="I83" s="79"/>
      <c r="J83" s="333" t="str">
        <f>IF(E83="","",'Name List'!$I$4)</f>
        <v/>
      </c>
      <c r="L83" s="98"/>
      <c r="M83" s="99"/>
      <c r="N83" s="100"/>
      <c r="O83" s="77"/>
      <c r="P83" s="78"/>
      <c r="Q83" s="78"/>
      <c r="R83" s="79"/>
      <c r="S83" s="67"/>
      <c r="U83" s="71"/>
      <c r="V83" s="72"/>
      <c r="W83" s="396" t="str">
        <f t="shared" si="68"/>
        <v/>
      </c>
      <c r="X83" s="77"/>
      <c r="Y83" s="78"/>
      <c r="Z83" s="78"/>
      <c r="AA83" s="79"/>
      <c r="AB83" s="333" t="str">
        <f>IF(W83="","",'Name List'!$I$4)</f>
        <v/>
      </c>
      <c r="AD83" s="98"/>
      <c r="AE83" s="99"/>
      <c r="AF83" s="329" t="str">
        <f t="shared" si="69"/>
        <v/>
      </c>
      <c r="AG83" s="77"/>
      <c r="AH83" s="78"/>
      <c r="AI83" s="78"/>
      <c r="AJ83" s="79"/>
      <c r="AK83" s="333" t="str">
        <f>IF(AF83="","",'Name List'!$I$4)</f>
        <v/>
      </c>
      <c r="AM83" s="98"/>
      <c r="AN83" s="99"/>
      <c r="AO83" s="329" t="str">
        <f t="shared" si="70"/>
        <v/>
      </c>
      <c r="AP83" s="77"/>
      <c r="AQ83" s="78"/>
      <c r="AR83" s="78"/>
      <c r="AS83" s="79"/>
      <c r="AT83" s="333" t="str">
        <f>IF(AO83="","",'Name List'!$I$4)</f>
        <v/>
      </c>
      <c r="AV83" s="458"/>
      <c r="AW83" s="401"/>
      <c r="AX83" s="400" t="str">
        <f t="shared" si="71"/>
        <v/>
      </c>
      <c r="AY83" s="77"/>
      <c r="AZ83" s="78"/>
      <c r="BA83" s="78"/>
      <c r="BB83" s="79"/>
      <c r="BC83" s="457" t="str">
        <f>IF(AX83="","",'Name List'!$I$4)</f>
        <v/>
      </c>
      <c r="BE83" s="71"/>
      <c r="BF83" s="72"/>
      <c r="BG83" s="383" t="str">
        <f t="shared" si="72"/>
        <v/>
      </c>
      <c r="BH83" s="77"/>
      <c r="BI83" s="78"/>
      <c r="BJ83" s="78"/>
      <c r="BK83" s="79"/>
      <c r="BL83" s="67"/>
      <c r="BN83" s="98"/>
      <c r="BO83" s="99"/>
      <c r="BP83" s="100"/>
      <c r="BQ83" s="77"/>
      <c r="BR83" s="78"/>
      <c r="BS83" s="78"/>
      <c r="BT83" s="79"/>
      <c r="BU83" s="67"/>
      <c r="BW83" s="98"/>
      <c r="BX83" s="99"/>
      <c r="BY83" s="329" t="str">
        <f t="shared" si="73"/>
        <v/>
      </c>
      <c r="BZ83" s="77"/>
      <c r="CA83" s="78"/>
      <c r="CB83" s="78"/>
      <c r="CC83" s="79"/>
      <c r="CD83" s="333" t="str">
        <f>IF(BY83="","",'Name List'!$I$4)</f>
        <v/>
      </c>
      <c r="CF83" s="68"/>
      <c r="CG83" s="69"/>
      <c r="CH83" s="282" t="str">
        <f t="shared" si="86"/>
        <v/>
      </c>
      <c r="CI83" s="77"/>
      <c r="CJ83" s="78"/>
      <c r="CK83" s="78"/>
      <c r="CL83" s="79"/>
      <c r="CM83" s="333" t="str">
        <f>IF(CH83="","",'Name List'!$I$4)</f>
        <v/>
      </c>
      <c r="CO83" s="71"/>
      <c r="CP83" s="72"/>
      <c r="CQ83" s="383" t="str">
        <f t="shared" si="74"/>
        <v/>
      </c>
      <c r="CR83" s="77"/>
      <c r="CS83" s="78"/>
      <c r="CT83" s="78"/>
      <c r="CU83" s="79"/>
      <c r="CV83" s="333" t="str">
        <f>IF(CQ83="","",'Name List'!$I$4)</f>
        <v/>
      </c>
      <c r="CX83" s="98"/>
      <c r="CY83" s="99"/>
      <c r="CZ83" s="329" t="str">
        <f t="shared" si="75"/>
        <v/>
      </c>
      <c r="DA83" s="77"/>
      <c r="DB83" s="78"/>
      <c r="DC83" s="78"/>
      <c r="DD83" s="79"/>
      <c r="DE83" s="333" t="str">
        <f>IF(CZ83="","",'Name List'!$I$4)</f>
        <v/>
      </c>
      <c r="DG83" s="98"/>
      <c r="DH83" s="99"/>
      <c r="DI83" s="329" t="str">
        <f t="shared" si="76"/>
        <v/>
      </c>
      <c r="DJ83" s="77"/>
      <c r="DK83" s="78"/>
      <c r="DL83" s="78"/>
      <c r="DM83" s="79"/>
      <c r="DN83" s="333" t="str">
        <f>IF(DI83="","",'Name List'!$I$4)</f>
        <v/>
      </c>
      <c r="DP83" s="98"/>
      <c r="DQ83" s="99"/>
      <c r="DR83" s="329" t="str">
        <f t="shared" si="77"/>
        <v/>
      </c>
      <c r="DS83" s="77"/>
      <c r="DT83" s="78"/>
      <c r="DU83" s="78"/>
      <c r="DV83" s="79"/>
      <c r="DW83" s="333" t="str">
        <f>IF(DR83="","",'Name List'!$I$4)</f>
        <v/>
      </c>
      <c r="DY83" s="98"/>
      <c r="DZ83" s="99"/>
      <c r="EA83" s="329" t="str">
        <f t="shared" si="78"/>
        <v/>
      </c>
      <c r="EB83" s="77"/>
      <c r="EC83" s="78"/>
      <c r="ED83" s="78"/>
      <c r="EE83" s="79"/>
      <c r="EF83" s="333" t="str">
        <f>IF(EA83="","",'Name List'!$I$4)</f>
        <v/>
      </c>
      <c r="EH83" s="98"/>
      <c r="EI83" s="99"/>
      <c r="EJ83" s="329" t="str">
        <f t="shared" si="79"/>
        <v/>
      </c>
      <c r="EK83" s="77"/>
      <c r="EL83" s="78"/>
      <c r="EM83" s="78"/>
      <c r="EN83" s="79"/>
      <c r="EO83" s="333" t="str">
        <f>IF(EJ83="","",'Name List'!$I$4)</f>
        <v/>
      </c>
      <c r="EQ83" s="115"/>
      <c r="ER83" s="116"/>
      <c r="ES83" s="390"/>
      <c r="ET83" s="77"/>
      <c r="EU83" s="78"/>
      <c r="EV83" s="78"/>
      <c r="EW83" s="79"/>
      <c r="EX83" s="67"/>
      <c r="EZ83" s="68"/>
      <c r="FA83" s="69"/>
      <c r="FB83" s="70"/>
      <c r="FC83" s="77"/>
      <c r="FD83" s="78"/>
      <c r="FE83" s="78"/>
      <c r="FF83" s="79"/>
      <c r="FG83" s="67"/>
      <c r="FI83" s="98"/>
      <c r="FJ83" s="99"/>
      <c r="FK83" s="100"/>
      <c r="FL83" s="77"/>
      <c r="FM83" s="78"/>
      <c r="FN83" s="78"/>
      <c r="FO83" s="79"/>
      <c r="FP83" s="67"/>
      <c r="FR83" s="98"/>
      <c r="FS83" s="99"/>
      <c r="FT83" s="100"/>
      <c r="FU83" s="77"/>
      <c r="FV83" s="78"/>
      <c r="FW83" s="78"/>
      <c r="FX83" s="79"/>
      <c r="FY83" s="67"/>
      <c r="GA83" s="98"/>
      <c r="GB83" s="99"/>
      <c r="GC83" s="100"/>
      <c r="GD83" s="77"/>
      <c r="GE83" s="78"/>
      <c r="GF83" s="78"/>
      <c r="GG83" s="79"/>
      <c r="GH83" s="67"/>
      <c r="GJ83" s="98"/>
      <c r="GK83" s="99"/>
      <c r="GL83" s="100"/>
      <c r="GM83" s="77"/>
      <c r="GN83" s="78"/>
      <c r="GO83" s="78"/>
      <c r="GP83" s="79"/>
      <c r="GQ83" s="67"/>
      <c r="GS83" s="68"/>
      <c r="GT83" s="69"/>
      <c r="GU83" s="70"/>
      <c r="GV83" s="77"/>
      <c r="GW83" s="78"/>
      <c r="GX83" s="78"/>
      <c r="GY83" s="79"/>
      <c r="GZ83" s="67"/>
      <c r="HB83" s="98"/>
      <c r="HC83" s="99"/>
      <c r="HD83" s="100"/>
      <c r="HE83" s="77"/>
      <c r="HF83" s="78"/>
      <c r="HG83" s="78"/>
      <c r="HH83" s="79"/>
      <c r="HI83" s="67"/>
      <c r="HK83" s="71"/>
      <c r="HL83" s="72"/>
      <c r="HM83" s="383" t="str">
        <f t="shared" si="85"/>
        <v/>
      </c>
      <c r="HN83" s="77"/>
      <c r="HO83" s="78"/>
      <c r="HP83" s="78"/>
      <c r="HQ83" s="79"/>
      <c r="HR83" s="333" t="str">
        <f>IF(HM83="","",'Name List'!$I$4)</f>
        <v/>
      </c>
      <c r="HT83" s="68"/>
      <c r="HU83" s="69"/>
      <c r="HV83" s="70"/>
      <c r="HW83" s="77"/>
      <c r="HX83" s="78"/>
      <c r="HY83" s="78"/>
      <c r="HZ83" s="79"/>
      <c r="IA83" s="67"/>
      <c r="IC83" s="115"/>
      <c r="ID83" s="116"/>
      <c r="IE83" s="117"/>
      <c r="IF83" s="77"/>
      <c r="IG83" s="78"/>
      <c r="IH83" s="78"/>
      <c r="II83" s="79"/>
      <c r="IJ83" s="67"/>
      <c r="IL83" s="98"/>
      <c r="IM83" s="99"/>
      <c r="IN83" s="100"/>
      <c r="IO83" s="77"/>
      <c r="IP83" s="78"/>
      <c r="IQ83" s="78"/>
      <c r="IR83" s="79"/>
      <c r="IS83" s="67"/>
      <c r="IU83" s="98"/>
      <c r="IV83" s="99"/>
      <c r="IW83" s="100"/>
      <c r="IX83" s="77"/>
      <c r="IY83" s="78"/>
      <c r="IZ83" s="78"/>
      <c r="JA83" s="79"/>
      <c r="JB83" s="67"/>
      <c r="JD83" s="98"/>
      <c r="JE83" s="99"/>
      <c r="JF83" s="100"/>
      <c r="JG83" s="77"/>
      <c r="JH83" s="78"/>
      <c r="JI83" s="78"/>
      <c r="JJ83" s="79"/>
      <c r="JK83" s="67"/>
      <c r="JM83" s="98"/>
      <c r="JN83" s="99"/>
      <c r="JO83" s="275"/>
      <c r="JP83" s="77"/>
      <c r="JQ83" s="78"/>
      <c r="JR83" s="78"/>
      <c r="JS83" s="79"/>
      <c r="JT83" s="67"/>
      <c r="JV83" s="98"/>
      <c r="JW83" s="99"/>
      <c r="JX83" s="100"/>
      <c r="JY83" s="77"/>
      <c r="JZ83" s="78"/>
      <c r="KA83" s="78"/>
      <c r="KB83" s="79"/>
      <c r="KC83" s="67"/>
      <c r="KE83" s="98"/>
      <c r="KF83" s="99"/>
      <c r="KG83" s="100"/>
      <c r="KH83" s="77"/>
      <c r="KI83" s="78"/>
      <c r="KJ83" s="78"/>
      <c r="KK83" s="79"/>
      <c r="KL83" s="67"/>
      <c r="KN83" s="68"/>
      <c r="KO83" s="69"/>
      <c r="KP83" s="70"/>
      <c r="KQ83" s="77"/>
      <c r="KR83" s="78"/>
      <c r="KS83" s="78"/>
      <c r="KT83" s="79"/>
      <c r="KU83" s="67"/>
      <c r="KW83" s="98"/>
      <c r="KX83" s="99"/>
      <c r="KY83" s="100"/>
      <c r="KZ83" s="77"/>
      <c r="LA83" s="78"/>
      <c r="LB83" s="78"/>
      <c r="LC83" s="79"/>
      <c r="LD83" s="67"/>
      <c r="LF83" s="71"/>
      <c r="LG83" s="72"/>
      <c r="LH83" s="73"/>
      <c r="LI83" s="77"/>
      <c r="LJ83" s="78"/>
      <c r="LK83" s="78"/>
      <c r="LL83" s="79"/>
      <c r="LM83" s="67"/>
      <c r="LO83" s="98"/>
      <c r="LP83" s="99"/>
      <c r="LQ83" s="329"/>
      <c r="LR83" s="77"/>
      <c r="LS83" s="78"/>
      <c r="LT83" s="78"/>
      <c r="LU83" s="79"/>
      <c r="LV83" s="67"/>
      <c r="LX83" s="98"/>
      <c r="LY83" s="99"/>
      <c r="LZ83" s="100"/>
      <c r="MA83" s="77"/>
      <c r="MB83" s="78"/>
      <c r="MC83" s="78"/>
      <c r="MD83" s="79"/>
      <c r="ME83" s="67"/>
      <c r="MG83" s="98"/>
      <c r="MH83" s="99"/>
      <c r="MI83" s="100"/>
      <c r="MJ83" s="77"/>
      <c r="MK83" s="78"/>
      <c r="ML83" s="78"/>
      <c r="MM83" s="79"/>
      <c r="MN83" s="67"/>
      <c r="MP83" s="98"/>
      <c r="MQ83" s="99"/>
      <c r="MR83" s="100"/>
      <c r="MS83" s="77"/>
      <c r="MT83" s="78"/>
      <c r="MU83" s="78"/>
      <c r="MV83" s="79"/>
      <c r="MW83" s="67"/>
      <c r="MY83" s="98"/>
      <c r="MZ83" s="99"/>
      <c r="NA83" s="100"/>
      <c r="NB83" s="77"/>
      <c r="NC83" s="78"/>
      <c r="ND83" s="78"/>
      <c r="NE83" s="79"/>
      <c r="NF83" s="67"/>
      <c r="NH83" s="98"/>
      <c r="NI83" s="99"/>
      <c r="NJ83" s="329"/>
      <c r="NK83" s="77"/>
      <c r="NL83" s="78"/>
      <c r="NM83" s="78"/>
      <c r="NN83" s="79"/>
      <c r="NO83" s="67"/>
      <c r="NQ83" s="98"/>
      <c r="NR83" s="99"/>
      <c r="NS83" s="100"/>
      <c r="NT83" s="77"/>
      <c r="NU83" s="78"/>
      <c r="NV83" s="78"/>
      <c r="NW83" s="79"/>
      <c r="NX83" s="67"/>
      <c r="NZ83" s="71"/>
      <c r="OA83" s="72"/>
      <c r="OB83" s="73"/>
      <c r="OC83" s="77"/>
      <c r="OD83" s="78"/>
      <c r="OE83" s="78"/>
      <c r="OF83" s="79"/>
      <c r="OG83" s="67"/>
      <c r="OI83" s="98"/>
      <c r="OJ83" s="99"/>
      <c r="OK83" s="329"/>
      <c r="OL83" s="77"/>
      <c r="OM83" s="78"/>
      <c r="ON83" s="78"/>
      <c r="OO83" s="79"/>
      <c r="OP83" s="67"/>
      <c r="OR83" s="71"/>
      <c r="OS83" s="72"/>
      <c r="OT83" s="73"/>
      <c r="OU83" s="77"/>
      <c r="OV83" s="78"/>
      <c r="OW83" s="78"/>
      <c r="OX83" s="79"/>
      <c r="OY83" s="67"/>
      <c r="PA83" s="98"/>
      <c r="PB83" s="99"/>
      <c r="PC83" s="100"/>
      <c r="PD83" s="77"/>
      <c r="PE83" s="78"/>
      <c r="PF83" s="78"/>
      <c r="PG83" s="79"/>
      <c r="PH83" s="67"/>
      <c r="PJ83" s="68"/>
      <c r="PK83" s="69"/>
      <c r="PL83" s="70"/>
      <c r="PM83" s="77"/>
      <c r="PN83" s="78"/>
      <c r="PO83" s="78"/>
      <c r="PP83" s="79"/>
      <c r="PQ83" s="67"/>
      <c r="PS83" s="403"/>
      <c r="PT83" s="404"/>
      <c r="PU83" s="405"/>
      <c r="PV83" s="330"/>
      <c r="PW83" s="331"/>
      <c r="PX83" s="331"/>
      <c r="PY83" s="332"/>
      <c r="PZ83" s="333"/>
      <c r="QB83" s="71"/>
      <c r="QC83" s="72"/>
      <c r="QD83" s="73"/>
      <c r="QE83" s="77"/>
      <c r="QF83" s="78"/>
      <c r="QG83" s="78"/>
      <c r="QH83" s="79"/>
      <c r="QI83" s="67"/>
      <c r="QK83" s="283"/>
      <c r="QL83" s="284"/>
      <c r="QM83" s="285"/>
      <c r="QN83" s="77"/>
      <c r="QO83" s="78"/>
      <c r="QP83" s="78"/>
      <c r="QQ83" s="79"/>
      <c r="QR83" s="67" t="str">
        <f>IF(QM83="","",'Name List'!$I$4)</f>
        <v/>
      </c>
      <c r="QS83" s="91"/>
      <c r="QT83" s="107">
        <f t="shared" si="87"/>
        <v>0</v>
      </c>
      <c r="QU83" s="130">
        <f t="shared" si="88"/>
        <v>0</v>
      </c>
      <c r="QV83" s="130">
        <f t="shared" si="89"/>
        <v>0</v>
      </c>
      <c r="QW83" s="108">
        <f t="shared" si="90"/>
        <v>0</v>
      </c>
      <c r="QY83" s="260">
        <f t="shared" si="91"/>
        <v>0</v>
      </c>
      <c r="RA83" s="141">
        <f t="shared" si="92"/>
        <v>0</v>
      </c>
      <c r="RB83" s="106">
        <f t="shared" si="93"/>
        <v>0</v>
      </c>
      <c r="RC83" s="106">
        <f t="shared" si="94"/>
        <v>0</v>
      </c>
      <c r="RD83" s="106">
        <f t="shared" si="95"/>
        <v>0</v>
      </c>
      <c r="RE83" s="106">
        <f t="shared" si="96"/>
        <v>0</v>
      </c>
      <c r="RF83" s="142">
        <f t="shared" si="97"/>
        <v>0</v>
      </c>
      <c r="RG83" s="106"/>
      <c r="RH83" s="139">
        <f t="shared" si="98"/>
        <v>0</v>
      </c>
      <c r="RI83" s="140">
        <f t="shared" si="99"/>
        <v>0</v>
      </c>
      <c r="RJ83" s="106"/>
      <c r="RK83" s="136">
        <f t="shared" si="100"/>
        <v>0</v>
      </c>
      <c r="RL83" s="106"/>
      <c r="RM83" s="137">
        <f t="shared" si="101"/>
        <v>0</v>
      </c>
      <c r="RN83" s="138">
        <f t="shared" si="102"/>
        <v>0</v>
      </c>
      <c r="RO83" s="106"/>
      <c r="RP83" s="259">
        <f t="shared" si="103"/>
        <v>0</v>
      </c>
    </row>
    <row r="84" spans="1:484" x14ac:dyDescent="0.2">
      <c r="A84" s="89">
        <f>'Name List'!B84</f>
        <v>10</v>
      </c>
      <c r="C84" s="98"/>
      <c r="D84" s="99"/>
      <c r="E84" s="329" t="str">
        <f t="shared" si="67"/>
        <v/>
      </c>
      <c r="F84" s="77"/>
      <c r="G84" s="78"/>
      <c r="H84" s="78"/>
      <c r="I84" s="79"/>
      <c r="J84" s="333" t="str">
        <f>IF(E84="","",'Name List'!$I$4)</f>
        <v/>
      </c>
      <c r="L84" s="98"/>
      <c r="M84" s="99"/>
      <c r="N84" s="100"/>
      <c r="O84" s="77"/>
      <c r="P84" s="78"/>
      <c r="Q84" s="78"/>
      <c r="R84" s="79"/>
      <c r="S84" s="67"/>
      <c r="U84" s="71"/>
      <c r="V84" s="72"/>
      <c r="W84" s="396" t="str">
        <f t="shared" si="68"/>
        <v/>
      </c>
      <c r="X84" s="77"/>
      <c r="Y84" s="78"/>
      <c r="Z84" s="78"/>
      <c r="AA84" s="79"/>
      <c r="AB84" s="333" t="str">
        <f>IF(W84="","",'Name List'!$I$4)</f>
        <v/>
      </c>
      <c r="AD84" s="98"/>
      <c r="AE84" s="99"/>
      <c r="AF84" s="329" t="str">
        <f t="shared" si="69"/>
        <v/>
      </c>
      <c r="AG84" s="77"/>
      <c r="AH84" s="78"/>
      <c r="AI84" s="78"/>
      <c r="AJ84" s="79"/>
      <c r="AK84" s="333" t="str">
        <f>IF(AF84="","",'Name List'!$I$4)</f>
        <v/>
      </c>
      <c r="AM84" s="98"/>
      <c r="AN84" s="99"/>
      <c r="AO84" s="329" t="str">
        <f t="shared" si="70"/>
        <v/>
      </c>
      <c r="AP84" s="77"/>
      <c r="AQ84" s="78"/>
      <c r="AR84" s="78"/>
      <c r="AS84" s="79"/>
      <c r="AT84" s="333" t="str">
        <f>IF(AO84="","",'Name List'!$I$4)</f>
        <v/>
      </c>
      <c r="AV84" s="458"/>
      <c r="AW84" s="401"/>
      <c r="AX84" s="400" t="str">
        <f t="shared" si="71"/>
        <v/>
      </c>
      <c r="AY84" s="77"/>
      <c r="AZ84" s="78"/>
      <c r="BA84" s="78"/>
      <c r="BB84" s="79"/>
      <c r="BC84" s="457" t="str">
        <f>IF(AX84="","",'Name List'!$I$4)</f>
        <v/>
      </c>
      <c r="BE84" s="71"/>
      <c r="BF84" s="72"/>
      <c r="BG84" s="383" t="str">
        <f t="shared" si="72"/>
        <v/>
      </c>
      <c r="BH84" s="77"/>
      <c r="BI84" s="78"/>
      <c r="BJ84" s="78"/>
      <c r="BK84" s="79"/>
      <c r="BL84" s="67"/>
      <c r="BN84" s="98"/>
      <c r="BO84" s="99"/>
      <c r="BP84" s="100"/>
      <c r="BQ84" s="77"/>
      <c r="BR84" s="78"/>
      <c r="BS84" s="78"/>
      <c r="BT84" s="79"/>
      <c r="BU84" s="67"/>
      <c r="BW84" s="98"/>
      <c r="BX84" s="99"/>
      <c r="BY84" s="329" t="str">
        <f t="shared" si="73"/>
        <v/>
      </c>
      <c r="BZ84" s="77"/>
      <c r="CA84" s="78"/>
      <c r="CB84" s="78"/>
      <c r="CC84" s="79"/>
      <c r="CD84" s="333" t="str">
        <f>IF(BY84="","",'Name List'!$I$4)</f>
        <v/>
      </c>
      <c r="CF84" s="68"/>
      <c r="CG84" s="69"/>
      <c r="CH84" s="282" t="str">
        <f t="shared" si="86"/>
        <v/>
      </c>
      <c r="CI84" s="77"/>
      <c r="CJ84" s="78"/>
      <c r="CK84" s="78"/>
      <c r="CL84" s="79"/>
      <c r="CM84" s="333" t="str">
        <f>IF(CH84="","",'Name List'!$I$4)</f>
        <v/>
      </c>
      <c r="CO84" s="71"/>
      <c r="CP84" s="72"/>
      <c r="CQ84" s="383" t="str">
        <f t="shared" si="74"/>
        <v/>
      </c>
      <c r="CR84" s="77"/>
      <c r="CS84" s="78"/>
      <c r="CT84" s="78"/>
      <c r="CU84" s="79"/>
      <c r="CV84" s="333" t="str">
        <f>IF(CQ84="","",'Name List'!$I$4)</f>
        <v/>
      </c>
      <c r="CX84" s="98"/>
      <c r="CY84" s="99"/>
      <c r="CZ84" s="329" t="str">
        <f t="shared" si="75"/>
        <v/>
      </c>
      <c r="DA84" s="77"/>
      <c r="DB84" s="78"/>
      <c r="DC84" s="78"/>
      <c r="DD84" s="79"/>
      <c r="DE84" s="333" t="str">
        <f>IF(CZ84="","",'Name List'!$I$4)</f>
        <v/>
      </c>
      <c r="DG84" s="98"/>
      <c r="DH84" s="99"/>
      <c r="DI84" s="329" t="str">
        <f t="shared" si="76"/>
        <v/>
      </c>
      <c r="DJ84" s="77"/>
      <c r="DK84" s="78"/>
      <c r="DL84" s="78"/>
      <c r="DM84" s="79"/>
      <c r="DN84" s="333" t="str">
        <f>IF(DI84="","",'Name List'!$I$4)</f>
        <v/>
      </c>
      <c r="DP84" s="98"/>
      <c r="DQ84" s="99"/>
      <c r="DR84" s="329" t="str">
        <f t="shared" si="77"/>
        <v/>
      </c>
      <c r="DS84" s="77"/>
      <c r="DT84" s="78"/>
      <c r="DU84" s="78"/>
      <c r="DV84" s="79"/>
      <c r="DW84" s="333" t="str">
        <f>IF(DR84="","",'Name List'!$I$4)</f>
        <v/>
      </c>
      <c r="DY84" s="98"/>
      <c r="DZ84" s="99"/>
      <c r="EA84" s="329" t="str">
        <f t="shared" si="78"/>
        <v/>
      </c>
      <c r="EB84" s="77"/>
      <c r="EC84" s="78"/>
      <c r="ED84" s="78"/>
      <c r="EE84" s="79"/>
      <c r="EF84" s="333" t="str">
        <f>IF(EA84="","",'Name List'!$I$4)</f>
        <v/>
      </c>
      <c r="EH84" s="98"/>
      <c r="EI84" s="99"/>
      <c r="EJ84" s="329" t="str">
        <f t="shared" si="79"/>
        <v/>
      </c>
      <c r="EK84" s="77"/>
      <c r="EL84" s="78"/>
      <c r="EM84" s="78"/>
      <c r="EN84" s="79"/>
      <c r="EO84" s="333" t="str">
        <f>IF(EJ84="","",'Name List'!$I$4)</f>
        <v/>
      </c>
      <c r="EQ84" s="115"/>
      <c r="ER84" s="116"/>
      <c r="ES84" s="390"/>
      <c r="ET84" s="77"/>
      <c r="EU84" s="78"/>
      <c r="EV84" s="78"/>
      <c r="EW84" s="79"/>
      <c r="EX84" s="67"/>
      <c r="EZ84" s="68"/>
      <c r="FA84" s="69"/>
      <c r="FB84" s="70"/>
      <c r="FC84" s="77"/>
      <c r="FD84" s="78"/>
      <c r="FE84" s="78"/>
      <c r="FF84" s="79"/>
      <c r="FG84" s="67"/>
      <c r="FI84" s="98"/>
      <c r="FJ84" s="99"/>
      <c r="FK84" s="100"/>
      <c r="FL84" s="77"/>
      <c r="FM84" s="78"/>
      <c r="FN84" s="78"/>
      <c r="FO84" s="79"/>
      <c r="FP84" s="67"/>
      <c r="FR84" s="98"/>
      <c r="FS84" s="99"/>
      <c r="FT84" s="100"/>
      <c r="FU84" s="77"/>
      <c r="FV84" s="78"/>
      <c r="FW84" s="78"/>
      <c r="FX84" s="79"/>
      <c r="FY84" s="67"/>
      <c r="GA84" s="98"/>
      <c r="GB84" s="99"/>
      <c r="GC84" s="100"/>
      <c r="GD84" s="77"/>
      <c r="GE84" s="78"/>
      <c r="GF84" s="78"/>
      <c r="GG84" s="79"/>
      <c r="GH84" s="67"/>
      <c r="GJ84" s="98"/>
      <c r="GK84" s="99"/>
      <c r="GL84" s="100"/>
      <c r="GM84" s="77"/>
      <c r="GN84" s="78"/>
      <c r="GO84" s="78"/>
      <c r="GP84" s="79"/>
      <c r="GQ84" s="67"/>
      <c r="GS84" s="68"/>
      <c r="GT84" s="69"/>
      <c r="GU84" s="70"/>
      <c r="GV84" s="77"/>
      <c r="GW84" s="78"/>
      <c r="GX84" s="78"/>
      <c r="GY84" s="79"/>
      <c r="GZ84" s="67"/>
      <c r="HB84" s="98"/>
      <c r="HC84" s="99"/>
      <c r="HD84" s="100"/>
      <c r="HE84" s="77"/>
      <c r="HF84" s="78"/>
      <c r="HG84" s="78"/>
      <c r="HH84" s="79"/>
      <c r="HI84" s="67"/>
      <c r="HK84" s="71"/>
      <c r="HL84" s="72"/>
      <c r="HM84" s="383" t="str">
        <f t="shared" si="85"/>
        <v/>
      </c>
      <c r="HN84" s="77"/>
      <c r="HO84" s="78"/>
      <c r="HP84" s="78"/>
      <c r="HQ84" s="79"/>
      <c r="HR84" s="333" t="str">
        <f>IF(HM84="","",'Name List'!$I$4)</f>
        <v/>
      </c>
      <c r="HT84" s="68"/>
      <c r="HU84" s="69"/>
      <c r="HV84" s="70"/>
      <c r="HW84" s="77"/>
      <c r="HX84" s="78"/>
      <c r="HY84" s="78"/>
      <c r="HZ84" s="79"/>
      <c r="IA84" s="67"/>
      <c r="IC84" s="115"/>
      <c r="ID84" s="116"/>
      <c r="IE84" s="117"/>
      <c r="IF84" s="77"/>
      <c r="IG84" s="78"/>
      <c r="IH84" s="78"/>
      <c r="II84" s="79"/>
      <c r="IJ84" s="67"/>
      <c r="IL84" s="98"/>
      <c r="IM84" s="99"/>
      <c r="IN84" s="100"/>
      <c r="IO84" s="77"/>
      <c r="IP84" s="78"/>
      <c r="IQ84" s="78"/>
      <c r="IR84" s="79"/>
      <c r="IS84" s="67"/>
      <c r="IU84" s="98"/>
      <c r="IV84" s="99"/>
      <c r="IW84" s="100"/>
      <c r="IX84" s="77"/>
      <c r="IY84" s="78"/>
      <c r="IZ84" s="78"/>
      <c r="JA84" s="79"/>
      <c r="JB84" s="67"/>
      <c r="JD84" s="98"/>
      <c r="JE84" s="99"/>
      <c r="JF84" s="100"/>
      <c r="JG84" s="77"/>
      <c r="JH84" s="78"/>
      <c r="JI84" s="78"/>
      <c r="JJ84" s="79"/>
      <c r="JK84" s="67"/>
      <c r="JM84" s="98"/>
      <c r="JN84" s="99"/>
      <c r="JO84" s="275"/>
      <c r="JP84" s="77"/>
      <c r="JQ84" s="78"/>
      <c r="JR84" s="78"/>
      <c r="JS84" s="79"/>
      <c r="JT84" s="67"/>
      <c r="JV84" s="98"/>
      <c r="JW84" s="99"/>
      <c r="JX84" s="100"/>
      <c r="JY84" s="77"/>
      <c r="JZ84" s="78"/>
      <c r="KA84" s="78"/>
      <c r="KB84" s="79"/>
      <c r="KC84" s="67"/>
      <c r="KE84" s="98"/>
      <c r="KF84" s="99"/>
      <c r="KG84" s="100"/>
      <c r="KH84" s="77"/>
      <c r="KI84" s="78"/>
      <c r="KJ84" s="78"/>
      <c r="KK84" s="79"/>
      <c r="KL84" s="67"/>
      <c r="KN84" s="68"/>
      <c r="KO84" s="69"/>
      <c r="KP84" s="70"/>
      <c r="KQ84" s="77"/>
      <c r="KR84" s="78"/>
      <c r="KS84" s="78"/>
      <c r="KT84" s="79"/>
      <c r="KU84" s="67"/>
      <c r="KW84" s="98"/>
      <c r="KX84" s="99"/>
      <c r="KY84" s="100"/>
      <c r="KZ84" s="77"/>
      <c r="LA84" s="78"/>
      <c r="LB84" s="78"/>
      <c r="LC84" s="79"/>
      <c r="LD84" s="67"/>
      <c r="LF84" s="71"/>
      <c r="LG84" s="72"/>
      <c r="LH84" s="73"/>
      <c r="LI84" s="77"/>
      <c r="LJ84" s="78"/>
      <c r="LK84" s="78"/>
      <c r="LL84" s="79"/>
      <c r="LM84" s="67"/>
      <c r="LO84" s="98"/>
      <c r="LP84" s="99"/>
      <c r="LQ84" s="329"/>
      <c r="LR84" s="77"/>
      <c r="LS84" s="78"/>
      <c r="LT84" s="78"/>
      <c r="LU84" s="79"/>
      <c r="LV84" s="67"/>
      <c r="LX84" s="98"/>
      <c r="LY84" s="99"/>
      <c r="LZ84" s="100"/>
      <c r="MA84" s="77"/>
      <c r="MB84" s="78"/>
      <c r="MC84" s="78"/>
      <c r="MD84" s="79"/>
      <c r="ME84" s="67"/>
      <c r="MG84" s="98"/>
      <c r="MH84" s="99"/>
      <c r="MI84" s="100"/>
      <c r="MJ84" s="77"/>
      <c r="MK84" s="78"/>
      <c r="ML84" s="78"/>
      <c r="MM84" s="79"/>
      <c r="MN84" s="67"/>
      <c r="MP84" s="98"/>
      <c r="MQ84" s="99"/>
      <c r="MR84" s="100"/>
      <c r="MS84" s="77"/>
      <c r="MT84" s="78"/>
      <c r="MU84" s="78"/>
      <c r="MV84" s="79"/>
      <c r="MW84" s="67"/>
      <c r="MY84" s="98"/>
      <c r="MZ84" s="99"/>
      <c r="NA84" s="100"/>
      <c r="NB84" s="77"/>
      <c r="NC84" s="78"/>
      <c r="ND84" s="78"/>
      <c r="NE84" s="79"/>
      <c r="NF84" s="67"/>
      <c r="NH84" s="98"/>
      <c r="NI84" s="99"/>
      <c r="NJ84" s="329"/>
      <c r="NK84" s="77"/>
      <c r="NL84" s="78"/>
      <c r="NM84" s="78"/>
      <c r="NN84" s="79"/>
      <c r="NO84" s="67"/>
      <c r="NQ84" s="98"/>
      <c r="NR84" s="99"/>
      <c r="NS84" s="100"/>
      <c r="NT84" s="77"/>
      <c r="NU84" s="78"/>
      <c r="NV84" s="78"/>
      <c r="NW84" s="79"/>
      <c r="NX84" s="67"/>
      <c r="NZ84" s="71"/>
      <c r="OA84" s="72"/>
      <c r="OB84" s="73"/>
      <c r="OC84" s="77"/>
      <c r="OD84" s="78"/>
      <c r="OE84" s="78"/>
      <c r="OF84" s="79"/>
      <c r="OG84" s="67"/>
      <c r="OI84" s="98"/>
      <c r="OJ84" s="99"/>
      <c r="OK84" s="329"/>
      <c r="OL84" s="77"/>
      <c r="OM84" s="78"/>
      <c r="ON84" s="78"/>
      <c r="OO84" s="79"/>
      <c r="OP84" s="67"/>
      <c r="OR84" s="71"/>
      <c r="OS84" s="72"/>
      <c r="OT84" s="73"/>
      <c r="OU84" s="77"/>
      <c r="OV84" s="78"/>
      <c r="OW84" s="78"/>
      <c r="OX84" s="79"/>
      <c r="OY84" s="67"/>
      <c r="PA84" s="98"/>
      <c r="PB84" s="99"/>
      <c r="PC84" s="100"/>
      <c r="PD84" s="77"/>
      <c r="PE84" s="78"/>
      <c r="PF84" s="78"/>
      <c r="PG84" s="79"/>
      <c r="PH84" s="67"/>
      <c r="PJ84" s="68"/>
      <c r="PK84" s="69"/>
      <c r="PL84" s="70"/>
      <c r="PM84" s="77"/>
      <c r="PN84" s="78"/>
      <c r="PO84" s="78"/>
      <c r="PP84" s="79"/>
      <c r="PQ84" s="67"/>
      <c r="PS84" s="403"/>
      <c r="PT84" s="404"/>
      <c r="PU84" s="405"/>
      <c r="PV84" s="330"/>
      <c r="PW84" s="331"/>
      <c r="PX84" s="331"/>
      <c r="PY84" s="332"/>
      <c r="PZ84" s="333"/>
      <c r="QB84" s="71"/>
      <c r="QC84" s="72"/>
      <c r="QD84" s="73"/>
      <c r="QE84" s="77"/>
      <c r="QF84" s="78"/>
      <c r="QG84" s="78"/>
      <c r="QH84" s="79"/>
      <c r="QI84" s="67"/>
      <c r="QK84" s="283"/>
      <c r="QL84" s="284"/>
      <c r="QM84" s="285"/>
      <c r="QN84" s="77"/>
      <c r="QO84" s="78"/>
      <c r="QP84" s="78"/>
      <c r="QQ84" s="79"/>
      <c r="QR84" s="67" t="str">
        <f>IF(QM84="","",'Name List'!$I$4)</f>
        <v/>
      </c>
      <c r="QS84" s="91"/>
      <c r="QT84" s="107">
        <f t="shared" si="87"/>
        <v>0</v>
      </c>
      <c r="QU84" s="130">
        <f t="shared" si="88"/>
        <v>0</v>
      </c>
      <c r="QV84" s="130">
        <f t="shared" si="89"/>
        <v>0</v>
      </c>
      <c r="QW84" s="108">
        <f t="shared" si="90"/>
        <v>0</v>
      </c>
      <c r="QY84" s="260">
        <f t="shared" si="91"/>
        <v>0</v>
      </c>
      <c r="RA84" s="141">
        <f t="shared" si="92"/>
        <v>0</v>
      </c>
      <c r="RB84" s="106">
        <f t="shared" si="93"/>
        <v>0</v>
      </c>
      <c r="RC84" s="106">
        <f t="shared" si="94"/>
        <v>0</v>
      </c>
      <c r="RD84" s="106">
        <f t="shared" si="95"/>
        <v>0</v>
      </c>
      <c r="RE84" s="106">
        <f t="shared" si="96"/>
        <v>0</v>
      </c>
      <c r="RF84" s="142">
        <f t="shared" si="97"/>
        <v>0</v>
      </c>
      <c r="RG84" s="106"/>
      <c r="RH84" s="139">
        <f t="shared" si="98"/>
        <v>0</v>
      </c>
      <c r="RI84" s="140">
        <f t="shared" si="99"/>
        <v>0</v>
      </c>
      <c r="RJ84" s="106"/>
      <c r="RK84" s="136">
        <f t="shared" si="100"/>
        <v>0</v>
      </c>
      <c r="RL84" s="106"/>
      <c r="RM84" s="137">
        <f t="shared" si="101"/>
        <v>0</v>
      </c>
      <c r="RN84" s="138">
        <f t="shared" si="102"/>
        <v>0</v>
      </c>
      <c r="RO84" s="106"/>
      <c r="RP84" s="259">
        <f t="shared" si="103"/>
        <v>0</v>
      </c>
    </row>
    <row r="85" spans="1:484" x14ac:dyDescent="0.2">
      <c r="A85" s="89">
        <f>'Name List'!B85</f>
        <v>11</v>
      </c>
      <c r="C85" s="98"/>
      <c r="D85" s="99"/>
      <c r="E85" s="329" t="str">
        <f t="shared" si="67"/>
        <v/>
      </c>
      <c r="F85" s="77"/>
      <c r="G85" s="78"/>
      <c r="H85" s="78"/>
      <c r="I85" s="79"/>
      <c r="J85" s="333" t="str">
        <f>IF(E85="","",'Name List'!$I$4)</f>
        <v/>
      </c>
      <c r="L85" s="98"/>
      <c r="M85" s="99"/>
      <c r="N85" s="100"/>
      <c r="O85" s="77"/>
      <c r="P85" s="78"/>
      <c r="Q85" s="78"/>
      <c r="R85" s="79"/>
      <c r="S85" s="67"/>
      <c r="U85" s="71"/>
      <c r="V85" s="72"/>
      <c r="W85" s="396" t="str">
        <f t="shared" si="68"/>
        <v/>
      </c>
      <c r="X85" s="77"/>
      <c r="Y85" s="78"/>
      <c r="Z85" s="78"/>
      <c r="AA85" s="79"/>
      <c r="AB85" s="333" t="str">
        <f>IF(W85="","",'Name List'!$I$4)</f>
        <v/>
      </c>
      <c r="AD85" s="98"/>
      <c r="AE85" s="99"/>
      <c r="AF85" s="329" t="str">
        <f t="shared" si="69"/>
        <v/>
      </c>
      <c r="AG85" s="77"/>
      <c r="AH85" s="78"/>
      <c r="AI85" s="78"/>
      <c r="AJ85" s="79"/>
      <c r="AK85" s="333" t="str">
        <f>IF(AF85="","",'Name List'!$I$4)</f>
        <v/>
      </c>
      <c r="AM85" s="98"/>
      <c r="AN85" s="99"/>
      <c r="AO85" s="329" t="str">
        <f t="shared" si="70"/>
        <v/>
      </c>
      <c r="AP85" s="77"/>
      <c r="AQ85" s="78"/>
      <c r="AR85" s="78"/>
      <c r="AS85" s="79"/>
      <c r="AT85" s="333" t="str">
        <f>IF(AO85="","",'Name List'!$I$4)</f>
        <v/>
      </c>
      <c r="AV85" s="458"/>
      <c r="AW85" s="401"/>
      <c r="AX85" s="400" t="str">
        <f t="shared" si="71"/>
        <v/>
      </c>
      <c r="AY85" s="77"/>
      <c r="AZ85" s="78"/>
      <c r="BA85" s="78"/>
      <c r="BB85" s="79"/>
      <c r="BC85" s="457" t="str">
        <f>IF(AX85="","",'Name List'!$I$4)</f>
        <v/>
      </c>
      <c r="BE85" s="71"/>
      <c r="BF85" s="72"/>
      <c r="BG85" s="383" t="str">
        <f t="shared" si="72"/>
        <v/>
      </c>
      <c r="BH85" s="77"/>
      <c r="BI85" s="78"/>
      <c r="BJ85" s="78"/>
      <c r="BK85" s="79"/>
      <c r="BL85" s="67"/>
      <c r="BN85" s="98"/>
      <c r="BO85" s="99"/>
      <c r="BP85" s="100"/>
      <c r="BQ85" s="77"/>
      <c r="BR85" s="78"/>
      <c r="BS85" s="78"/>
      <c r="BT85" s="79"/>
      <c r="BU85" s="67"/>
      <c r="BW85" s="98"/>
      <c r="BX85" s="99"/>
      <c r="BY85" s="329" t="str">
        <f t="shared" si="73"/>
        <v/>
      </c>
      <c r="BZ85" s="77"/>
      <c r="CA85" s="78"/>
      <c r="CB85" s="78"/>
      <c r="CC85" s="79"/>
      <c r="CD85" s="333" t="str">
        <f>IF(BY85="","",'Name List'!$I$4)</f>
        <v/>
      </c>
      <c r="CF85" s="68"/>
      <c r="CG85" s="69"/>
      <c r="CH85" s="282" t="str">
        <f t="shared" si="86"/>
        <v/>
      </c>
      <c r="CI85" s="77"/>
      <c r="CJ85" s="78"/>
      <c r="CK85" s="78"/>
      <c r="CL85" s="79"/>
      <c r="CM85" s="333" t="str">
        <f>IF(CH85="","",'Name List'!$I$4)</f>
        <v/>
      </c>
      <c r="CO85" s="71"/>
      <c r="CP85" s="72"/>
      <c r="CQ85" s="383" t="str">
        <f t="shared" si="74"/>
        <v/>
      </c>
      <c r="CR85" s="77"/>
      <c r="CS85" s="78"/>
      <c r="CT85" s="78"/>
      <c r="CU85" s="79"/>
      <c r="CV85" s="333" t="str">
        <f>IF(CQ85="","",'Name List'!$I$4)</f>
        <v/>
      </c>
      <c r="CX85" s="98"/>
      <c r="CY85" s="99"/>
      <c r="CZ85" s="329" t="str">
        <f t="shared" si="75"/>
        <v/>
      </c>
      <c r="DA85" s="77"/>
      <c r="DB85" s="78"/>
      <c r="DC85" s="78"/>
      <c r="DD85" s="79"/>
      <c r="DE85" s="333" t="str">
        <f>IF(CZ85="","",'Name List'!$I$4)</f>
        <v/>
      </c>
      <c r="DG85" s="98"/>
      <c r="DH85" s="99"/>
      <c r="DI85" s="329" t="str">
        <f t="shared" si="76"/>
        <v/>
      </c>
      <c r="DJ85" s="77"/>
      <c r="DK85" s="78"/>
      <c r="DL85" s="78"/>
      <c r="DM85" s="79"/>
      <c r="DN85" s="67"/>
      <c r="DP85" s="98"/>
      <c r="DQ85" s="99"/>
      <c r="DR85" s="329" t="str">
        <f t="shared" si="77"/>
        <v/>
      </c>
      <c r="DS85" s="77"/>
      <c r="DT85" s="78"/>
      <c r="DU85" s="78"/>
      <c r="DV85" s="79"/>
      <c r="DW85" s="333" t="str">
        <f>IF(DR85="","",'Name List'!$I$4)</f>
        <v/>
      </c>
      <c r="DY85" s="98"/>
      <c r="DZ85" s="99"/>
      <c r="EA85" s="329" t="str">
        <f t="shared" si="78"/>
        <v/>
      </c>
      <c r="EB85" s="77"/>
      <c r="EC85" s="78"/>
      <c r="ED85" s="78"/>
      <c r="EE85" s="79"/>
      <c r="EF85" s="333" t="str">
        <f>IF(EA85="","",'Name List'!$I$4)</f>
        <v/>
      </c>
      <c r="EH85" s="98"/>
      <c r="EI85" s="99"/>
      <c r="EJ85" s="329" t="str">
        <f t="shared" si="79"/>
        <v/>
      </c>
      <c r="EK85" s="77"/>
      <c r="EL85" s="78"/>
      <c r="EM85" s="78"/>
      <c r="EN85" s="79"/>
      <c r="EO85" s="333" t="str">
        <f>IF(EJ85="","",'Name List'!$I$4)</f>
        <v/>
      </c>
      <c r="EQ85" s="115"/>
      <c r="ER85" s="116"/>
      <c r="ES85" s="390"/>
      <c r="ET85" s="77"/>
      <c r="EU85" s="78"/>
      <c r="EV85" s="78"/>
      <c r="EW85" s="79"/>
      <c r="EX85" s="67"/>
      <c r="EZ85" s="68"/>
      <c r="FA85" s="69"/>
      <c r="FB85" s="70"/>
      <c r="FC85" s="77"/>
      <c r="FD85" s="78"/>
      <c r="FE85" s="78"/>
      <c r="FF85" s="79"/>
      <c r="FG85" s="67"/>
      <c r="FI85" s="98"/>
      <c r="FJ85" s="99"/>
      <c r="FK85" s="100"/>
      <c r="FL85" s="77"/>
      <c r="FM85" s="78"/>
      <c r="FN85" s="78"/>
      <c r="FO85" s="79"/>
      <c r="FP85" s="67"/>
      <c r="FR85" s="98"/>
      <c r="FS85" s="99"/>
      <c r="FT85" s="100"/>
      <c r="FU85" s="77"/>
      <c r="FV85" s="78"/>
      <c r="FW85" s="78"/>
      <c r="FX85" s="79"/>
      <c r="FY85" s="67"/>
      <c r="GA85" s="98"/>
      <c r="GB85" s="99"/>
      <c r="GC85" s="100"/>
      <c r="GD85" s="77"/>
      <c r="GE85" s="78"/>
      <c r="GF85" s="78"/>
      <c r="GG85" s="79"/>
      <c r="GH85" s="67"/>
      <c r="GJ85" s="98"/>
      <c r="GK85" s="99"/>
      <c r="GL85" s="100"/>
      <c r="GM85" s="77"/>
      <c r="GN85" s="78"/>
      <c r="GO85" s="78"/>
      <c r="GP85" s="79"/>
      <c r="GQ85" s="67"/>
      <c r="GS85" s="68"/>
      <c r="GT85" s="69"/>
      <c r="GU85" s="70"/>
      <c r="GV85" s="77"/>
      <c r="GW85" s="78"/>
      <c r="GX85" s="78"/>
      <c r="GY85" s="79"/>
      <c r="GZ85" s="67"/>
      <c r="HB85" s="98"/>
      <c r="HC85" s="99"/>
      <c r="HD85" s="100"/>
      <c r="HE85" s="77"/>
      <c r="HF85" s="78"/>
      <c r="HG85" s="78"/>
      <c r="HH85" s="79"/>
      <c r="HI85" s="67"/>
      <c r="HK85" s="71"/>
      <c r="HL85" s="72"/>
      <c r="HM85" s="383" t="str">
        <f t="shared" si="85"/>
        <v/>
      </c>
      <c r="HN85" s="77"/>
      <c r="HO85" s="78"/>
      <c r="HP85" s="78"/>
      <c r="HQ85" s="79"/>
      <c r="HR85" s="333" t="str">
        <f>IF(HM85="","",'Name List'!$I$4)</f>
        <v/>
      </c>
      <c r="HT85" s="68"/>
      <c r="HU85" s="69"/>
      <c r="HV85" s="70"/>
      <c r="HW85" s="77"/>
      <c r="HX85" s="78"/>
      <c r="HY85" s="78"/>
      <c r="HZ85" s="79"/>
      <c r="IA85" s="67"/>
      <c r="IC85" s="115"/>
      <c r="ID85" s="116"/>
      <c r="IE85" s="117"/>
      <c r="IF85" s="77"/>
      <c r="IG85" s="78"/>
      <c r="IH85" s="78"/>
      <c r="II85" s="79"/>
      <c r="IJ85" s="67"/>
      <c r="IL85" s="98"/>
      <c r="IM85" s="99"/>
      <c r="IN85" s="100"/>
      <c r="IO85" s="77"/>
      <c r="IP85" s="78"/>
      <c r="IQ85" s="78"/>
      <c r="IR85" s="79"/>
      <c r="IS85" s="67"/>
      <c r="IU85" s="98"/>
      <c r="IV85" s="99"/>
      <c r="IW85" s="100"/>
      <c r="IX85" s="77"/>
      <c r="IY85" s="78"/>
      <c r="IZ85" s="78"/>
      <c r="JA85" s="79"/>
      <c r="JB85" s="67"/>
      <c r="JD85" s="98"/>
      <c r="JE85" s="99"/>
      <c r="JF85" s="100"/>
      <c r="JG85" s="77"/>
      <c r="JH85" s="78"/>
      <c r="JI85" s="78"/>
      <c r="JJ85" s="79"/>
      <c r="JK85" s="67"/>
      <c r="JM85" s="98"/>
      <c r="JN85" s="99"/>
      <c r="JO85" s="275"/>
      <c r="JP85" s="77"/>
      <c r="JQ85" s="78"/>
      <c r="JR85" s="78"/>
      <c r="JS85" s="79"/>
      <c r="JT85" s="67"/>
      <c r="JV85" s="98"/>
      <c r="JW85" s="99"/>
      <c r="JX85" s="100"/>
      <c r="JY85" s="77"/>
      <c r="JZ85" s="78"/>
      <c r="KA85" s="78"/>
      <c r="KB85" s="79"/>
      <c r="KC85" s="67"/>
      <c r="KE85" s="98"/>
      <c r="KF85" s="99"/>
      <c r="KG85" s="100"/>
      <c r="KH85" s="77"/>
      <c r="KI85" s="78"/>
      <c r="KJ85" s="78"/>
      <c r="KK85" s="79"/>
      <c r="KL85" s="67"/>
      <c r="KN85" s="68"/>
      <c r="KO85" s="69"/>
      <c r="KP85" s="70"/>
      <c r="KQ85" s="77"/>
      <c r="KR85" s="78"/>
      <c r="KS85" s="78"/>
      <c r="KT85" s="79"/>
      <c r="KU85" s="67"/>
      <c r="KW85" s="98"/>
      <c r="KX85" s="99"/>
      <c r="KY85" s="100"/>
      <c r="KZ85" s="77"/>
      <c r="LA85" s="78"/>
      <c r="LB85" s="78"/>
      <c r="LC85" s="79"/>
      <c r="LD85" s="67"/>
      <c r="LF85" s="71"/>
      <c r="LG85" s="72"/>
      <c r="LH85" s="73"/>
      <c r="LI85" s="77"/>
      <c r="LJ85" s="78"/>
      <c r="LK85" s="78"/>
      <c r="LL85" s="79"/>
      <c r="LM85" s="67"/>
      <c r="LO85" s="98"/>
      <c r="LP85" s="99"/>
      <c r="LQ85" s="329"/>
      <c r="LR85" s="77"/>
      <c r="LS85" s="78"/>
      <c r="LT85" s="78"/>
      <c r="LU85" s="79"/>
      <c r="LV85" s="67"/>
      <c r="LX85" s="98"/>
      <c r="LY85" s="99"/>
      <c r="LZ85" s="100"/>
      <c r="MA85" s="77"/>
      <c r="MB85" s="78"/>
      <c r="MC85" s="78"/>
      <c r="MD85" s="79"/>
      <c r="ME85" s="67"/>
      <c r="MG85" s="98"/>
      <c r="MH85" s="99"/>
      <c r="MI85" s="100"/>
      <c r="MJ85" s="77"/>
      <c r="MK85" s="78"/>
      <c r="ML85" s="78"/>
      <c r="MM85" s="79"/>
      <c r="MN85" s="67"/>
      <c r="MP85" s="98"/>
      <c r="MQ85" s="99"/>
      <c r="MR85" s="100"/>
      <c r="MS85" s="77"/>
      <c r="MT85" s="78"/>
      <c r="MU85" s="78"/>
      <c r="MV85" s="79"/>
      <c r="MW85" s="67"/>
      <c r="MY85" s="98"/>
      <c r="MZ85" s="99"/>
      <c r="NA85" s="100"/>
      <c r="NB85" s="77"/>
      <c r="NC85" s="78"/>
      <c r="ND85" s="78"/>
      <c r="NE85" s="79"/>
      <c r="NF85" s="67"/>
      <c r="NH85" s="98"/>
      <c r="NI85" s="99"/>
      <c r="NJ85" s="329"/>
      <c r="NK85" s="77"/>
      <c r="NL85" s="78"/>
      <c r="NM85" s="78"/>
      <c r="NN85" s="79"/>
      <c r="NO85" s="67"/>
      <c r="NQ85" s="98"/>
      <c r="NR85" s="99"/>
      <c r="NS85" s="100"/>
      <c r="NT85" s="77"/>
      <c r="NU85" s="78"/>
      <c r="NV85" s="78"/>
      <c r="NW85" s="79"/>
      <c r="NX85" s="67"/>
      <c r="NZ85" s="71"/>
      <c r="OA85" s="72"/>
      <c r="OB85" s="73"/>
      <c r="OC85" s="77"/>
      <c r="OD85" s="78"/>
      <c r="OE85" s="78"/>
      <c r="OF85" s="79"/>
      <c r="OG85" s="67"/>
      <c r="OI85" s="98"/>
      <c r="OJ85" s="99"/>
      <c r="OK85" s="329"/>
      <c r="OL85" s="77"/>
      <c r="OM85" s="78"/>
      <c r="ON85" s="78"/>
      <c r="OO85" s="79"/>
      <c r="OP85" s="67"/>
      <c r="OR85" s="71"/>
      <c r="OS85" s="72"/>
      <c r="OT85" s="73"/>
      <c r="OU85" s="77"/>
      <c r="OV85" s="78"/>
      <c r="OW85" s="78"/>
      <c r="OX85" s="79"/>
      <c r="OY85" s="67"/>
      <c r="PA85" s="98"/>
      <c r="PB85" s="99"/>
      <c r="PC85" s="100"/>
      <c r="PD85" s="77"/>
      <c r="PE85" s="78"/>
      <c r="PF85" s="78"/>
      <c r="PG85" s="79"/>
      <c r="PH85" s="67"/>
      <c r="PJ85" s="68"/>
      <c r="PK85" s="69"/>
      <c r="PL85" s="70"/>
      <c r="PM85" s="77"/>
      <c r="PN85" s="78"/>
      <c r="PO85" s="78"/>
      <c r="PP85" s="79"/>
      <c r="PQ85" s="67"/>
      <c r="PS85" s="403"/>
      <c r="PT85" s="404"/>
      <c r="PU85" s="405"/>
      <c r="PV85" s="330"/>
      <c r="PW85" s="331"/>
      <c r="PX85" s="331"/>
      <c r="PY85" s="332"/>
      <c r="PZ85" s="333"/>
      <c r="QB85" s="71"/>
      <c r="QC85" s="72"/>
      <c r="QD85" s="73"/>
      <c r="QE85" s="77"/>
      <c r="QF85" s="78"/>
      <c r="QG85" s="78"/>
      <c r="QH85" s="79"/>
      <c r="QI85" s="67"/>
      <c r="QK85" s="283"/>
      <c r="QL85" s="284"/>
      <c r="QM85" s="285"/>
      <c r="QN85" s="77"/>
      <c r="QO85" s="78"/>
      <c r="QP85" s="78"/>
      <c r="QQ85" s="79"/>
      <c r="QR85" s="67" t="str">
        <f>IF(QM85="","",'Name List'!$I$4)</f>
        <v/>
      </c>
      <c r="QS85" s="91"/>
      <c r="QT85" s="107">
        <f t="shared" si="87"/>
        <v>0</v>
      </c>
      <c r="QU85" s="130">
        <f t="shared" si="88"/>
        <v>0</v>
      </c>
      <c r="QV85" s="130">
        <f t="shared" si="89"/>
        <v>0</v>
      </c>
      <c r="QW85" s="108">
        <f t="shared" si="90"/>
        <v>0</v>
      </c>
      <c r="QY85" s="260">
        <f t="shared" si="91"/>
        <v>0</v>
      </c>
      <c r="RA85" s="141">
        <f t="shared" si="92"/>
        <v>0</v>
      </c>
      <c r="RB85" s="106">
        <f t="shared" si="93"/>
        <v>0</v>
      </c>
      <c r="RC85" s="106">
        <f t="shared" si="94"/>
        <v>0</v>
      </c>
      <c r="RD85" s="106">
        <f t="shared" si="95"/>
        <v>0</v>
      </c>
      <c r="RE85" s="106">
        <f t="shared" si="96"/>
        <v>0</v>
      </c>
      <c r="RF85" s="142">
        <f t="shared" si="97"/>
        <v>0</v>
      </c>
      <c r="RG85" s="106"/>
      <c r="RH85" s="139">
        <f t="shared" si="98"/>
        <v>0</v>
      </c>
      <c r="RI85" s="140">
        <f t="shared" si="99"/>
        <v>0</v>
      </c>
      <c r="RJ85" s="106"/>
      <c r="RK85" s="136">
        <f t="shared" si="100"/>
        <v>0</v>
      </c>
      <c r="RL85" s="106"/>
      <c r="RM85" s="137">
        <f t="shared" si="101"/>
        <v>0</v>
      </c>
      <c r="RN85" s="138">
        <f t="shared" si="102"/>
        <v>0</v>
      </c>
      <c r="RO85" s="106"/>
      <c r="RP85" s="259">
        <f t="shared" si="103"/>
        <v>0</v>
      </c>
    </row>
    <row r="86" spans="1:484" x14ac:dyDescent="0.2">
      <c r="A86" s="89">
        <f>'Name List'!B86</f>
        <v>12</v>
      </c>
      <c r="C86" s="98"/>
      <c r="D86" s="99"/>
      <c r="E86" s="329" t="str">
        <f t="shared" si="67"/>
        <v/>
      </c>
      <c r="F86" s="77"/>
      <c r="G86" s="78"/>
      <c r="H86" s="78"/>
      <c r="I86" s="79"/>
      <c r="J86" s="333" t="str">
        <f>IF(E86="","",'Name List'!$I$4)</f>
        <v/>
      </c>
      <c r="L86" s="98"/>
      <c r="M86" s="99"/>
      <c r="N86" s="100"/>
      <c r="O86" s="77"/>
      <c r="P86" s="78"/>
      <c r="Q86" s="78"/>
      <c r="R86" s="79"/>
      <c r="S86" s="67"/>
      <c r="U86" s="71"/>
      <c r="V86" s="72"/>
      <c r="W86" s="396" t="str">
        <f t="shared" si="68"/>
        <v/>
      </c>
      <c r="X86" s="77"/>
      <c r="Y86" s="78"/>
      <c r="Z86" s="78"/>
      <c r="AA86" s="79"/>
      <c r="AB86" s="333" t="str">
        <f>IF(W86="","",'Name List'!$I$4)</f>
        <v/>
      </c>
      <c r="AD86" s="98"/>
      <c r="AE86" s="99"/>
      <c r="AF86" s="329" t="str">
        <f t="shared" si="69"/>
        <v/>
      </c>
      <c r="AG86" s="77"/>
      <c r="AH86" s="78"/>
      <c r="AI86" s="78"/>
      <c r="AJ86" s="79"/>
      <c r="AK86" s="333" t="str">
        <f>IF(AF86="","",'Name List'!$I$4)</f>
        <v/>
      </c>
      <c r="AM86" s="98"/>
      <c r="AN86" s="99"/>
      <c r="AO86" s="329" t="str">
        <f t="shared" si="70"/>
        <v/>
      </c>
      <c r="AP86" s="77"/>
      <c r="AQ86" s="78"/>
      <c r="AR86" s="78"/>
      <c r="AS86" s="79"/>
      <c r="AT86" s="333" t="str">
        <f>IF(AO86="","",'Name List'!$I$4)</f>
        <v/>
      </c>
      <c r="AV86" s="458"/>
      <c r="AW86" s="401"/>
      <c r="AX86" s="400" t="str">
        <f t="shared" si="71"/>
        <v/>
      </c>
      <c r="AY86" s="77"/>
      <c r="AZ86" s="78"/>
      <c r="BA86" s="78"/>
      <c r="BB86" s="79"/>
      <c r="BC86" s="457" t="str">
        <f>IF(AX86="","",'Name List'!$I$4)</f>
        <v/>
      </c>
      <c r="BE86" s="71"/>
      <c r="BF86" s="72"/>
      <c r="BG86" s="383" t="str">
        <f t="shared" si="72"/>
        <v/>
      </c>
      <c r="BH86" s="77"/>
      <c r="BI86" s="78"/>
      <c r="BJ86" s="78"/>
      <c r="BK86" s="79"/>
      <c r="BL86" s="67"/>
      <c r="BN86" s="98"/>
      <c r="BO86" s="99"/>
      <c r="BP86" s="100"/>
      <c r="BQ86" s="77"/>
      <c r="BR86" s="78"/>
      <c r="BS86" s="78"/>
      <c r="BT86" s="79"/>
      <c r="BU86" s="67"/>
      <c r="BW86" s="98"/>
      <c r="BX86" s="99"/>
      <c r="BY86" s="329" t="str">
        <f t="shared" si="73"/>
        <v/>
      </c>
      <c r="BZ86" s="77"/>
      <c r="CA86" s="78"/>
      <c r="CB86" s="78"/>
      <c r="CC86" s="79"/>
      <c r="CD86" s="333" t="str">
        <f>IF(BY86="","",'Name List'!$I$4)</f>
        <v/>
      </c>
      <c r="CF86" s="68"/>
      <c r="CG86" s="69"/>
      <c r="CH86" s="282" t="str">
        <f t="shared" si="86"/>
        <v/>
      </c>
      <c r="CI86" s="77"/>
      <c r="CJ86" s="78"/>
      <c r="CK86" s="78"/>
      <c r="CL86" s="79"/>
      <c r="CM86" s="67"/>
      <c r="CO86" s="71"/>
      <c r="CP86" s="72"/>
      <c r="CQ86" s="383" t="str">
        <f t="shared" si="74"/>
        <v/>
      </c>
      <c r="CR86" s="77"/>
      <c r="CS86" s="78"/>
      <c r="CT86" s="78"/>
      <c r="CU86" s="79"/>
      <c r="CV86" s="333" t="str">
        <f>IF(CQ86="","",'Name List'!$I$4)</f>
        <v/>
      </c>
      <c r="CX86" s="98"/>
      <c r="CY86" s="99"/>
      <c r="CZ86" s="329" t="str">
        <f t="shared" si="75"/>
        <v/>
      </c>
      <c r="DA86" s="77"/>
      <c r="DB86" s="78"/>
      <c r="DC86" s="78"/>
      <c r="DD86" s="79"/>
      <c r="DE86" s="333" t="str">
        <f>IF(CZ86="","",'Name List'!$I$4)</f>
        <v/>
      </c>
      <c r="DG86" s="98"/>
      <c r="DH86" s="99"/>
      <c r="DI86" s="329" t="str">
        <f t="shared" si="76"/>
        <v/>
      </c>
      <c r="DJ86" s="77"/>
      <c r="DK86" s="78"/>
      <c r="DL86" s="78"/>
      <c r="DM86" s="79"/>
      <c r="DN86" s="67"/>
      <c r="DP86" s="98"/>
      <c r="DQ86" s="99"/>
      <c r="DR86" s="329" t="str">
        <f t="shared" si="77"/>
        <v/>
      </c>
      <c r="DS86" s="77"/>
      <c r="DT86" s="78"/>
      <c r="DU86" s="78"/>
      <c r="DV86" s="79"/>
      <c r="DW86" s="333" t="str">
        <f>IF(DR86="","",'Name List'!$I$4)</f>
        <v/>
      </c>
      <c r="DY86" s="98"/>
      <c r="DZ86" s="99"/>
      <c r="EA86" s="329" t="str">
        <f t="shared" si="78"/>
        <v/>
      </c>
      <c r="EB86" s="77"/>
      <c r="EC86" s="78"/>
      <c r="ED86" s="78"/>
      <c r="EE86" s="79"/>
      <c r="EF86" s="67"/>
      <c r="EH86" s="98"/>
      <c r="EI86" s="99"/>
      <c r="EJ86" s="329" t="str">
        <f t="shared" si="79"/>
        <v/>
      </c>
      <c r="EK86" s="77"/>
      <c r="EL86" s="78"/>
      <c r="EM86" s="78"/>
      <c r="EN86" s="79"/>
      <c r="EO86" s="333" t="str">
        <f>IF(EJ86="","",'Name List'!$I$4)</f>
        <v/>
      </c>
      <c r="EQ86" s="115"/>
      <c r="ER86" s="116"/>
      <c r="ES86" s="390"/>
      <c r="ET86" s="77"/>
      <c r="EU86" s="78"/>
      <c r="EV86" s="78"/>
      <c r="EW86" s="79"/>
      <c r="EX86" s="67"/>
      <c r="EZ86" s="68"/>
      <c r="FA86" s="69"/>
      <c r="FB86" s="70"/>
      <c r="FC86" s="77"/>
      <c r="FD86" s="78"/>
      <c r="FE86" s="78"/>
      <c r="FF86" s="79"/>
      <c r="FG86" s="67"/>
      <c r="FI86" s="98"/>
      <c r="FJ86" s="99"/>
      <c r="FK86" s="100"/>
      <c r="FL86" s="77"/>
      <c r="FM86" s="78"/>
      <c r="FN86" s="78"/>
      <c r="FO86" s="79"/>
      <c r="FP86" s="67"/>
      <c r="FR86" s="98"/>
      <c r="FS86" s="99"/>
      <c r="FT86" s="100"/>
      <c r="FU86" s="77"/>
      <c r="FV86" s="78"/>
      <c r="FW86" s="78"/>
      <c r="FX86" s="79"/>
      <c r="FY86" s="67"/>
      <c r="GA86" s="98"/>
      <c r="GB86" s="99"/>
      <c r="GC86" s="100"/>
      <c r="GD86" s="77"/>
      <c r="GE86" s="78"/>
      <c r="GF86" s="78"/>
      <c r="GG86" s="79"/>
      <c r="GH86" s="67"/>
      <c r="GJ86" s="98"/>
      <c r="GK86" s="99"/>
      <c r="GL86" s="100"/>
      <c r="GM86" s="77"/>
      <c r="GN86" s="78"/>
      <c r="GO86" s="78"/>
      <c r="GP86" s="79"/>
      <c r="GQ86" s="67"/>
      <c r="GS86" s="68"/>
      <c r="GT86" s="69"/>
      <c r="GU86" s="70"/>
      <c r="GV86" s="77"/>
      <c r="GW86" s="78"/>
      <c r="GX86" s="78"/>
      <c r="GY86" s="79"/>
      <c r="GZ86" s="67"/>
      <c r="HB86" s="98"/>
      <c r="HC86" s="99"/>
      <c r="HD86" s="100"/>
      <c r="HE86" s="77"/>
      <c r="HF86" s="78"/>
      <c r="HG86" s="78"/>
      <c r="HH86" s="79"/>
      <c r="HI86" s="67"/>
      <c r="HK86" s="71"/>
      <c r="HL86" s="72"/>
      <c r="HM86" s="383" t="str">
        <f t="shared" si="85"/>
        <v/>
      </c>
      <c r="HN86" s="77"/>
      <c r="HO86" s="78"/>
      <c r="HP86" s="78"/>
      <c r="HQ86" s="79"/>
      <c r="HR86" s="333" t="str">
        <f>IF(HM86="","",'Name List'!$I$4)</f>
        <v/>
      </c>
      <c r="HT86" s="68"/>
      <c r="HU86" s="69"/>
      <c r="HV86" s="70"/>
      <c r="HW86" s="77"/>
      <c r="HX86" s="78"/>
      <c r="HY86" s="78"/>
      <c r="HZ86" s="79"/>
      <c r="IA86" s="67"/>
      <c r="IC86" s="115"/>
      <c r="ID86" s="116"/>
      <c r="IE86" s="117"/>
      <c r="IF86" s="77"/>
      <c r="IG86" s="78"/>
      <c r="IH86" s="78"/>
      <c r="II86" s="79"/>
      <c r="IJ86" s="67"/>
      <c r="IL86" s="98"/>
      <c r="IM86" s="99"/>
      <c r="IN86" s="100"/>
      <c r="IO86" s="77"/>
      <c r="IP86" s="78"/>
      <c r="IQ86" s="78"/>
      <c r="IR86" s="79"/>
      <c r="IS86" s="67"/>
      <c r="IU86" s="98"/>
      <c r="IV86" s="99"/>
      <c r="IW86" s="100"/>
      <c r="IX86" s="77"/>
      <c r="IY86" s="78"/>
      <c r="IZ86" s="78"/>
      <c r="JA86" s="79"/>
      <c r="JB86" s="67"/>
      <c r="JD86" s="98"/>
      <c r="JE86" s="99"/>
      <c r="JF86" s="100"/>
      <c r="JG86" s="77"/>
      <c r="JH86" s="78"/>
      <c r="JI86" s="78"/>
      <c r="JJ86" s="79"/>
      <c r="JK86" s="67"/>
      <c r="JM86" s="98"/>
      <c r="JN86" s="99"/>
      <c r="JO86" s="275"/>
      <c r="JP86" s="77"/>
      <c r="JQ86" s="78"/>
      <c r="JR86" s="78"/>
      <c r="JS86" s="79"/>
      <c r="JT86" s="67"/>
      <c r="JV86" s="98"/>
      <c r="JW86" s="99"/>
      <c r="JX86" s="100"/>
      <c r="JY86" s="77"/>
      <c r="JZ86" s="78"/>
      <c r="KA86" s="78"/>
      <c r="KB86" s="79"/>
      <c r="KC86" s="67"/>
      <c r="KE86" s="98"/>
      <c r="KF86" s="99"/>
      <c r="KG86" s="100"/>
      <c r="KH86" s="77"/>
      <c r="KI86" s="78"/>
      <c r="KJ86" s="78"/>
      <c r="KK86" s="79"/>
      <c r="KL86" s="67"/>
      <c r="KN86" s="68"/>
      <c r="KO86" s="69"/>
      <c r="KP86" s="70"/>
      <c r="KQ86" s="77"/>
      <c r="KR86" s="78"/>
      <c r="KS86" s="78"/>
      <c r="KT86" s="79"/>
      <c r="KU86" s="67"/>
      <c r="KW86" s="98"/>
      <c r="KX86" s="99"/>
      <c r="KY86" s="100"/>
      <c r="KZ86" s="77"/>
      <c r="LA86" s="78"/>
      <c r="LB86" s="78"/>
      <c r="LC86" s="79"/>
      <c r="LD86" s="67"/>
      <c r="LF86" s="71"/>
      <c r="LG86" s="72"/>
      <c r="LH86" s="73"/>
      <c r="LI86" s="77"/>
      <c r="LJ86" s="78"/>
      <c r="LK86" s="78"/>
      <c r="LL86" s="79"/>
      <c r="LM86" s="67"/>
      <c r="LO86" s="98"/>
      <c r="LP86" s="99"/>
      <c r="LQ86" s="329"/>
      <c r="LR86" s="77"/>
      <c r="LS86" s="78"/>
      <c r="LT86" s="78"/>
      <c r="LU86" s="79"/>
      <c r="LV86" s="67"/>
      <c r="LX86" s="98"/>
      <c r="LY86" s="99"/>
      <c r="LZ86" s="100"/>
      <c r="MA86" s="77"/>
      <c r="MB86" s="78"/>
      <c r="MC86" s="78"/>
      <c r="MD86" s="79"/>
      <c r="ME86" s="67"/>
      <c r="MG86" s="98"/>
      <c r="MH86" s="99"/>
      <c r="MI86" s="100"/>
      <c r="MJ86" s="77"/>
      <c r="MK86" s="78"/>
      <c r="ML86" s="78"/>
      <c r="MM86" s="79"/>
      <c r="MN86" s="67"/>
      <c r="MP86" s="98"/>
      <c r="MQ86" s="99"/>
      <c r="MR86" s="100"/>
      <c r="MS86" s="77"/>
      <c r="MT86" s="78"/>
      <c r="MU86" s="78"/>
      <c r="MV86" s="79"/>
      <c r="MW86" s="67"/>
      <c r="MY86" s="98"/>
      <c r="MZ86" s="99"/>
      <c r="NA86" s="100"/>
      <c r="NB86" s="77"/>
      <c r="NC86" s="78"/>
      <c r="ND86" s="78"/>
      <c r="NE86" s="79"/>
      <c r="NF86" s="67"/>
      <c r="NH86" s="98"/>
      <c r="NI86" s="99"/>
      <c r="NJ86" s="329"/>
      <c r="NK86" s="77"/>
      <c r="NL86" s="78"/>
      <c r="NM86" s="78"/>
      <c r="NN86" s="79"/>
      <c r="NO86" s="67"/>
      <c r="NQ86" s="98"/>
      <c r="NR86" s="99"/>
      <c r="NS86" s="100"/>
      <c r="NT86" s="77"/>
      <c r="NU86" s="78"/>
      <c r="NV86" s="78"/>
      <c r="NW86" s="79"/>
      <c r="NX86" s="67"/>
      <c r="NZ86" s="71"/>
      <c r="OA86" s="72"/>
      <c r="OB86" s="73"/>
      <c r="OC86" s="77"/>
      <c r="OD86" s="78"/>
      <c r="OE86" s="78"/>
      <c r="OF86" s="79"/>
      <c r="OG86" s="67"/>
      <c r="OI86" s="98"/>
      <c r="OJ86" s="99"/>
      <c r="OK86" s="329"/>
      <c r="OL86" s="77"/>
      <c r="OM86" s="78"/>
      <c r="ON86" s="78"/>
      <c r="OO86" s="79"/>
      <c r="OP86" s="67"/>
      <c r="OR86" s="71"/>
      <c r="OS86" s="72"/>
      <c r="OT86" s="73"/>
      <c r="OU86" s="77"/>
      <c r="OV86" s="78"/>
      <c r="OW86" s="78"/>
      <c r="OX86" s="79"/>
      <c r="OY86" s="67"/>
      <c r="PA86" s="98"/>
      <c r="PB86" s="99"/>
      <c r="PC86" s="100"/>
      <c r="PD86" s="77"/>
      <c r="PE86" s="78"/>
      <c r="PF86" s="78"/>
      <c r="PG86" s="79"/>
      <c r="PH86" s="67"/>
      <c r="PJ86" s="68"/>
      <c r="PK86" s="69"/>
      <c r="PL86" s="70"/>
      <c r="PM86" s="77"/>
      <c r="PN86" s="78"/>
      <c r="PO86" s="78"/>
      <c r="PP86" s="79"/>
      <c r="PQ86" s="67"/>
      <c r="PS86" s="403"/>
      <c r="PT86" s="404"/>
      <c r="PU86" s="405"/>
      <c r="PV86" s="330"/>
      <c r="PW86" s="331"/>
      <c r="PX86" s="331"/>
      <c r="PY86" s="332"/>
      <c r="PZ86" s="333"/>
      <c r="QB86" s="71"/>
      <c r="QC86" s="72"/>
      <c r="QD86" s="73"/>
      <c r="QE86" s="77"/>
      <c r="QF86" s="78"/>
      <c r="QG86" s="78"/>
      <c r="QH86" s="79"/>
      <c r="QI86" s="67"/>
      <c r="QK86" s="283"/>
      <c r="QL86" s="284"/>
      <c r="QM86" s="285"/>
      <c r="QN86" s="77"/>
      <c r="QO86" s="78"/>
      <c r="QP86" s="78"/>
      <c r="QQ86" s="79"/>
      <c r="QR86" s="67" t="str">
        <f>IF(QM86="","",'Name List'!$I$4)</f>
        <v/>
      </c>
      <c r="QS86" s="91"/>
      <c r="QT86" s="107">
        <f t="shared" si="87"/>
        <v>0</v>
      </c>
      <c r="QU86" s="130">
        <f t="shared" si="88"/>
        <v>0</v>
      </c>
      <c r="QV86" s="130">
        <f t="shared" si="89"/>
        <v>0</v>
      </c>
      <c r="QW86" s="108">
        <f t="shared" si="90"/>
        <v>0</v>
      </c>
      <c r="QY86" s="260">
        <f t="shared" si="91"/>
        <v>0</v>
      </c>
      <c r="RA86" s="141">
        <f t="shared" si="92"/>
        <v>0</v>
      </c>
      <c r="RB86" s="106">
        <f t="shared" si="93"/>
        <v>0</v>
      </c>
      <c r="RC86" s="106">
        <f t="shared" si="94"/>
        <v>0</v>
      </c>
      <c r="RD86" s="106">
        <f t="shared" si="95"/>
        <v>0</v>
      </c>
      <c r="RE86" s="106">
        <f t="shared" si="96"/>
        <v>0</v>
      </c>
      <c r="RF86" s="142">
        <f t="shared" si="97"/>
        <v>0</v>
      </c>
      <c r="RG86" s="106"/>
      <c r="RH86" s="139">
        <f t="shared" si="98"/>
        <v>0</v>
      </c>
      <c r="RI86" s="140">
        <f t="shared" si="99"/>
        <v>0</v>
      </c>
      <c r="RJ86" s="106"/>
      <c r="RK86" s="136">
        <f t="shared" si="100"/>
        <v>0</v>
      </c>
      <c r="RL86" s="106"/>
      <c r="RM86" s="137">
        <f t="shared" si="101"/>
        <v>0</v>
      </c>
      <c r="RN86" s="138">
        <f t="shared" si="102"/>
        <v>0</v>
      </c>
      <c r="RO86" s="106"/>
      <c r="RP86" s="259">
        <f t="shared" si="103"/>
        <v>0</v>
      </c>
    </row>
    <row r="87" spans="1:484" x14ac:dyDescent="0.2">
      <c r="A87" s="89">
        <f>'Name List'!B87</f>
        <v>13</v>
      </c>
      <c r="C87" s="98"/>
      <c r="D87" s="99"/>
      <c r="E87" s="329" t="str">
        <f t="shared" si="67"/>
        <v/>
      </c>
      <c r="F87" s="77"/>
      <c r="G87" s="78"/>
      <c r="H87" s="78"/>
      <c r="I87" s="79"/>
      <c r="J87" s="333" t="str">
        <f>IF(E87="","",'Name List'!$I$4)</f>
        <v/>
      </c>
      <c r="L87" s="98"/>
      <c r="M87" s="99"/>
      <c r="N87" s="100"/>
      <c r="O87" s="77"/>
      <c r="P87" s="78"/>
      <c r="Q87" s="78"/>
      <c r="R87" s="79"/>
      <c r="S87" s="67"/>
      <c r="U87" s="71"/>
      <c r="V87" s="72"/>
      <c r="W87" s="396" t="str">
        <f t="shared" si="68"/>
        <v/>
      </c>
      <c r="X87" s="77"/>
      <c r="Y87" s="78"/>
      <c r="Z87" s="78"/>
      <c r="AA87" s="79"/>
      <c r="AB87" s="333" t="str">
        <f>IF(W87="","",'Name List'!$I$4)</f>
        <v/>
      </c>
      <c r="AD87" s="98"/>
      <c r="AE87" s="99"/>
      <c r="AF87" s="329" t="str">
        <f t="shared" si="69"/>
        <v/>
      </c>
      <c r="AG87" s="77"/>
      <c r="AH87" s="78"/>
      <c r="AI87" s="78"/>
      <c r="AJ87" s="79"/>
      <c r="AK87" s="333" t="str">
        <f>IF(AF87="","",'Name List'!$I$4)</f>
        <v/>
      </c>
      <c r="AM87" s="98"/>
      <c r="AN87" s="99"/>
      <c r="AO87" s="329" t="str">
        <f t="shared" si="70"/>
        <v/>
      </c>
      <c r="AP87" s="77"/>
      <c r="AQ87" s="78"/>
      <c r="AR87" s="78"/>
      <c r="AS87" s="79"/>
      <c r="AT87" s="333" t="str">
        <f>IF(AO87="","",'Name List'!$I$4)</f>
        <v/>
      </c>
      <c r="AV87" s="458"/>
      <c r="AW87" s="401"/>
      <c r="AX87" s="400" t="str">
        <f t="shared" si="71"/>
        <v/>
      </c>
      <c r="AY87" s="77"/>
      <c r="AZ87" s="78"/>
      <c r="BA87" s="78"/>
      <c r="BB87" s="79"/>
      <c r="BC87" s="457" t="str">
        <f>IF(AX87="","",'Name List'!$I$4)</f>
        <v/>
      </c>
      <c r="BE87" s="71"/>
      <c r="BF87" s="72"/>
      <c r="BG87" s="383" t="str">
        <f t="shared" si="72"/>
        <v/>
      </c>
      <c r="BH87" s="77"/>
      <c r="BI87" s="78"/>
      <c r="BJ87" s="78"/>
      <c r="BK87" s="79"/>
      <c r="BL87" s="67"/>
      <c r="BN87" s="98"/>
      <c r="BO87" s="99"/>
      <c r="BP87" s="100"/>
      <c r="BQ87" s="77"/>
      <c r="BR87" s="78"/>
      <c r="BS87" s="78"/>
      <c r="BT87" s="79"/>
      <c r="BU87" s="67"/>
      <c r="BW87" s="98"/>
      <c r="BX87" s="99"/>
      <c r="BY87" s="329" t="str">
        <f t="shared" si="73"/>
        <v/>
      </c>
      <c r="BZ87" s="77"/>
      <c r="CA87" s="78"/>
      <c r="CB87" s="78"/>
      <c r="CC87" s="79"/>
      <c r="CD87" s="333" t="str">
        <f>IF(BY87="","",'Name List'!$I$4)</f>
        <v/>
      </c>
      <c r="CF87" s="68"/>
      <c r="CG87" s="69"/>
      <c r="CH87" s="282" t="str">
        <f t="shared" si="86"/>
        <v/>
      </c>
      <c r="CI87" s="77"/>
      <c r="CJ87" s="78"/>
      <c r="CK87" s="78"/>
      <c r="CL87" s="79"/>
      <c r="CM87" s="67"/>
      <c r="CO87" s="71"/>
      <c r="CP87" s="72"/>
      <c r="CQ87" s="383" t="str">
        <f t="shared" si="74"/>
        <v/>
      </c>
      <c r="CR87" s="77"/>
      <c r="CS87" s="78"/>
      <c r="CT87" s="78"/>
      <c r="CU87" s="79"/>
      <c r="CV87" s="333" t="str">
        <f>IF(CQ87="","",'Name List'!$I$4)</f>
        <v/>
      </c>
      <c r="CX87" s="98"/>
      <c r="CY87" s="99"/>
      <c r="CZ87" s="329" t="str">
        <f t="shared" si="75"/>
        <v/>
      </c>
      <c r="DA87" s="77"/>
      <c r="DB87" s="78"/>
      <c r="DC87" s="78"/>
      <c r="DD87" s="79"/>
      <c r="DE87" s="333" t="str">
        <f>IF(CZ87="","",'Name List'!$I$4)</f>
        <v/>
      </c>
      <c r="DG87" s="98"/>
      <c r="DH87" s="99"/>
      <c r="DI87" s="100"/>
      <c r="DJ87" s="77"/>
      <c r="DK87" s="78"/>
      <c r="DL87" s="78"/>
      <c r="DM87" s="79"/>
      <c r="DN87" s="67"/>
      <c r="DP87" s="98"/>
      <c r="DQ87" s="99"/>
      <c r="DR87" s="329" t="str">
        <f t="shared" si="77"/>
        <v/>
      </c>
      <c r="DS87" s="77"/>
      <c r="DT87" s="78"/>
      <c r="DU87" s="78"/>
      <c r="DV87" s="79"/>
      <c r="DW87" s="333" t="str">
        <f>IF(DR87="","",'Name List'!$I$4)</f>
        <v/>
      </c>
      <c r="DY87" s="98"/>
      <c r="DZ87" s="99"/>
      <c r="EA87" s="329" t="str">
        <f t="shared" si="78"/>
        <v/>
      </c>
      <c r="EB87" s="77"/>
      <c r="EC87" s="78"/>
      <c r="ED87" s="78"/>
      <c r="EE87" s="79"/>
      <c r="EF87" s="67"/>
      <c r="EH87" s="98"/>
      <c r="EI87" s="99"/>
      <c r="EJ87" s="329" t="str">
        <f t="shared" si="79"/>
        <v/>
      </c>
      <c r="EK87" s="77"/>
      <c r="EL87" s="78"/>
      <c r="EM87" s="78"/>
      <c r="EN87" s="79"/>
      <c r="EO87" s="333" t="str">
        <f>IF(EJ87="","",'Name List'!$I$4)</f>
        <v/>
      </c>
      <c r="EQ87" s="115"/>
      <c r="ER87" s="116"/>
      <c r="ES87" s="390"/>
      <c r="ET87" s="77"/>
      <c r="EU87" s="78"/>
      <c r="EV87" s="78"/>
      <c r="EW87" s="79"/>
      <c r="EX87" s="67"/>
      <c r="EZ87" s="68"/>
      <c r="FA87" s="69"/>
      <c r="FB87" s="70"/>
      <c r="FC87" s="77"/>
      <c r="FD87" s="78"/>
      <c r="FE87" s="78"/>
      <c r="FF87" s="79"/>
      <c r="FG87" s="67"/>
      <c r="FI87" s="98"/>
      <c r="FJ87" s="99"/>
      <c r="FK87" s="100"/>
      <c r="FL87" s="77"/>
      <c r="FM87" s="78"/>
      <c r="FN87" s="78"/>
      <c r="FO87" s="79"/>
      <c r="FP87" s="67"/>
      <c r="FR87" s="98"/>
      <c r="FS87" s="99"/>
      <c r="FT87" s="100"/>
      <c r="FU87" s="77"/>
      <c r="FV87" s="78"/>
      <c r="FW87" s="78"/>
      <c r="FX87" s="79"/>
      <c r="FY87" s="67"/>
      <c r="GA87" s="98"/>
      <c r="GB87" s="99"/>
      <c r="GC87" s="100"/>
      <c r="GD87" s="77"/>
      <c r="GE87" s="78"/>
      <c r="GF87" s="78"/>
      <c r="GG87" s="79"/>
      <c r="GH87" s="67"/>
      <c r="GJ87" s="98"/>
      <c r="GK87" s="99"/>
      <c r="GL87" s="100"/>
      <c r="GM87" s="77"/>
      <c r="GN87" s="78"/>
      <c r="GO87" s="78"/>
      <c r="GP87" s="79"/>
      <c r="GQ87" s="67"/>
      <c r="GS87" s="68"/>
      <c r="GT87" s="69"/>
      <c r="GU87" s="70"/>
      <c r="GV87" s="77"/>
      <c r="GW87" s="78"/>
      <c r="GX87" s="78"/>
      <c r="GY87" s="79"/>
      <c r="GZ87" s="67"/>
      <c r="HB87" s="98"/>
      <c r="HC87" s="99"/>
      <c r="HD87" s="100"/>
      <c r="HE87" s="77"/>
      <c r="HF87" s="78"/>
      <c r="HG87" s="78"/>
      <c r="HH87" s="79"/>
      <c r="HI87" s="67"/>
      <c r="HK87" s="71"/>
      <c r="HL87" s="72"/>
      <c r="HM87" s="383" t="str">
        <f t="shared" si="85"/>
        <v/>
      </c>
      <c r="HN87" s="77"/>
      <c r="HO87" s="78"/>
      <c r="HP87" s="78"/>
      <c r="HQ87" s="79"/>
      <c r="HR87" s="333" t="str">
        <f>IF(HM87="","",'Name List'!$I$4)</f>
        <v/>
      </c>
      <c r="HT87" s="68"/>
      <c r="HU87" s="69"/>
      <c r="HV87" s="70"/>
      <c r="HW87" s="77"/>
      <c r="HX87" s="78"/>
      <c r="HY87" s="78"/>
      <c r="HZ87" s="79"/>
      <c r="IA87" s="67"/>
      <c r="IC87" s="115"/>
      <c r="ID87" s="116"/>
      <c r="IE87" s="117"/>
      <c r="IF87" s="77"/>
      <c r="IG87" s="78"/>
      <c r="IH87" s="78"/>
      <c r="II87" s="79"/>
      <c r="IJ87" s="67"/>
      <c r="IL87" s="98"/>
      <c r="IM87" s="99"/>
      <c r="IN87" s="100"/>
      <c r="IO87" s="77"/>
      <c r="IP87" s="78"/>
      <c r="IQ87" s="78"/>
      <c r="IR87" s="79"/>
      <c r="IS87" s="67"/>
      <c r="IU87" s="98"/>
      <c r="IV87" s="99"/>
      <c r="IW87" s="100"/>
      <c r="IX87" s="77"/>
      <c r="IY87" s="78"/>
      <c r="IZ87" s="78"/>
      <c r="JA87" s="79"/>
      <c r="JB87" s="67"/>
      <c r="JD87" s="98"/>
      <c r="JE87" s="99"/>
      <c r="JF87" s="100"/>
      <c r="JG87" s="77"/>
      <c r="JH87" s="78"/>
      <c r="JI87" s="78"/>
      <c r="JJ87" s="79"/>
      <c r="JK87" s="67"/>
      <c r="JM87" s="98"/>
      <c r="JN87" s="99"/>
      <c r="JO87" s="275"/>
      <c r="JP87" s="77"/>
      <c r="JQ87" s="78"/>
      <c r="JR87" s="78"/>
      <c r="JS87" s="79"/>
      <c r="JT87" s="67"/>
      <c r="JV87" s="98"/>
      <c r="JW87" s="99"/>
      <c r="JX87" s="100"/>
      <c r="JY87" s="77"/>
      <c r="JZ87" s="78"/>
      <c r="KA87" s="78"/>
      <c r="KB87" s="79"/>
      <c r="KC87" s="67"/>
      <c r="KE87" s="98"/>
      <c r="KF87" s="99"/>
      <c r="KG87" s="100"/>
      <c r="KH87" s="77"/>
      <c r="KI87" s="78"/>
      <c r="KJ87" s="78"/>
      <c r="KK87" s="79"/>
      <c r="KL87" s="67"/>
      <c r="KN87" s="68"/>
      <c r="KO87" s="69"/>
      <c r="KP87" s="70"/>
      <c r="KQ87" s="77"/>
      <c r="KR87" s="78"/>
      <c r="KS87" s="78"/>
      <c r="KT87" s="79"/>
      <c r="KU87" s="67"/>
      <c r="KW87" s="98"/>
      <c r="KX87" s="99"/>
      <c r="KY87" s="100"/>
      <c r="KZ87" s="77"/>
      <c r="LA87" s="78"/>
      <c r="LB87" s="78"/>
      <c r="LC87" s="79"/>
      <c r="LD87" s="67"/>
      <c r="LF87" s="71"/>
      <c r="LG87" s="72"/>
      <c r="LH87" s="73"/>
      <c r="LI87" s="77"/>
      <c r="LJ87" s="78"/>
      <c r="LK87" s="78"/>
      <c r="LL87" s="79"/>
      <c r="LM87" s="67"/>
      <c r="LO87" s="98"/>
      <c r="LP87" s="99"/>
      <c r="LQ87" s="329"/>
      <c r="LR87" s="77"/>
      <c r="LS87" s="78"/>
      <c r="LT87" s="78"/>
      <c r="LU87" s="79"/>
      <c r="LV87" s="67"/>
      <c r="LX87" s="98"/>
      <c r="LY87" s="99"/>
      <c r="LZ87" s="100"/>
      <c r="MA87" s="77"/>
      <c r="MB87" s="78"/>
      <c r="MC87" s="78"/>
      <c r="MD87" s="79"/>
      <c r="ME87" s="67"/>
      <c r="MG87" s="98"/>
      <c r="MH87" s="99"/>
      <c r="MI87" s="100"/>
      <c r="MJ87" s="77"/>
      <c r="MK87" s="78"/>
      <c r="ML87" s="78"/>
      <c r="MM87" s="79"/>
      <c r="MN87" s="67"/>
      <c r="MP87" s="98"/>
      <c r="MQ87" s="99"/>
      <c r="MR87" s="100"/>
      <c r="MS87" s="77"/>
      <c r="MT87" s="78"/>
      <c r="MU87" s="78"/>
      <c r="MV87" s="79"/>
      <c r="MW87" s="67"/>
      <c r="MY87" s="98"/>
      <c r="MZ87" s="99"/>
      <c r="NA87" s="100"/>
      <c r="NB87" s="77"/>
      <c r="NC87" s="78"/>
      <c r="ND87" s="78"/>
      <c r="NE87" s="79"/>
      <c r="NF87" s="67"/>
      <c r="NH87" s="98"/>
      <c r="NI87" s="99"/>
      <c r="NJ87" s="329"/>
      <c r="NK87" s="77"/>
      <c r="NL87" s="78"/>
      <c r="NM87" s="78"/>
      <c r="NN87" s="79"/>
      <c r="NO87" s="67"/>
      <c r="NQ87" s="98"/>
      <c r="NR87" s="99"/>
      <c r="NS87" s="100"/>
      <c r="NT87" s="77"/>
      <c r="NU87" s="78"/>
      <c r="NV87" s="78"/>
      <c r="NW87" s="79"/>
      <c r="NX87" s="67"/>
      <c r="NZ87" s="71"/>
      <c r="OA87" s="72"/>
      <c r="OB87" s="73"/>
      <c r="OC87" s="77"/>
      <c r="OD87" s="78"/>
      <c r="OE87" s="78"/>
      <c r="OF87" s="79"/>
      <c r="OG87" s="67"/>
      <c r="OI87" s="98"/>
      <c r="OJ87" s="99"/>
      <c r="OK87" s="329"/>
      <c r="OL87" s="77"/>
      <c r="OM87" s="78"/>
      <c r="ON87" s="78"/>
      <c r="OO87" s="79"/>
      <c r="OP87" s="67"/>
      <c r="OR87" s="71"/>
      <c r="OS87" s="72"/>
      <c r="OT87" s="73"/>
      <c r="OU87" s="77"/>
      <c r="OV87" s="78"/>
      <c r="OW87" s="78"/>
      <c r="OX87" s="79"/>
      <c r="OY87" s="67"/>
      <c r="PA87" s="98"/>
      <c r="PB87" s="99"/>
      <c r="PC87" s="100"/>
      <c r="PD87" s="77"/>
      <c r="PE87" s="78"/>
      <c r="PF87" s="78"/>
      <c r="PG87" s="79"/>
      <c r="PH87" s="67"/>
      <c r="PJ87" s="68"/>
      <c r="PK87" s="69"/>
      <c r="PL87" s="70"/>
      <c r="PM87" s="77"/>
      <c r="PN87" s="78"/>
      <c r="PO87" s="78"/>
      <c r="PP87" s="79"/>
      <c r="PQ87" s="67"/>
      <c r="PS87" s="403"/>
      <c r="PT87" s="404"/>
      <c r="PU87" s="405"/>
      <c r="PV87" s="330"/>
      <c r="PW87" s="331"/>
      <c r="PX87" s="331"/>
      <c r="PY87" s="332"/>
      <c r="PZ87" s="333"/>
      <c r="QB87" s="71"/>
      <c r="QC87" s="72"/>
      <c r="QD87" s="73"/>
      <c r="QE87" s="77"/>
      <c r="QF87" s="78"/>
      <c r="QG87" s="78"/>
      <c r="QH87" s="79"/>
      <c r="QI87" s="67"/>
      <c r="QK87" s="283"/>
      <c r="QL87" s="284"/>
      <c r="QM87" s="285"/>
      <c r="QN87" s="77"/>
      <c r="QO87" s="78"/>
      <c r="QP87" s="78"/>
      <c r="QQ87" s="79"/>
      <c r="QR87" s="67" t="str">
        <f>IF(QM87="","",'Name List'!$I$4)</f>
        <v/>
      </c>
      <c r="QS87" s="91"/>
      <c r="QT87" s="107">
        <f t="shared" si="87"/>
        <v>0</v>
      </c>
      <c r="QU87" s="130">
        <f t="shared" si="88"/>
        <v>0</v>
      </c>
      <c r="QV87" s="130">
        <f t="shared" si="89"/>
        <v>0</v>
      </c>
      <c r="QW87" s="108">
        <f t="shared" si="90"/>
        <v>0</v>
      </c>
      <c r="QY87" s="260">
        <f t="shared" si="91"/>
        <v>0</v>
      </c>
      <c r="RA87" s="141">
        <f t="shared" si="92"/>
        <v>0</v>
      </c>
      <c r="RB87" s="106">
        <f t="shared" si="93"/>
        <v>0</v>
      </c>
      <c r="RC87" s="106">
        <f t="shared" si="94"/>
        <v>0</v>
      </c>
      <c r="RD87" s="106">
        <f t="shared" si="95"/>
        <v>0</v>
      </c>
      <c r="RE87" s="106">
        <f t="shared" si="96"/>
        <v>0</v>
      </c>
      <c r="RF87" s="142">
        <f t="shared" si="97"/>
        <v>0</v>
      </c>
      <c r="RG87" s="106"/>
      <c r="RH87" s="139">
        <f t="shared" si="98"/>
        <v>0</v>
      </c>
      <c r="RI87" s="140">
        <f t="shared" si="99"/>
        <v>0</v>
      </c>
      <c r="RJ87" s="106"/>
      <c r="RK87" s="136">
        <f t="shared" si="100"/>
        <v>0</v>
      </c>
      <c r="RL87" s="106"/>
      <c r="RM87" s="137">
        <f t="shared" si="101"/>
        <v>0</v>
      </c>
      <c r="RN87" s="138">
        <f t="shared" si="102"/>
        <v>0</v>
      </c>
      <c r="RO87" s="106"/>
      <c r="RP87" s="259">
        <f t="shared" si="103"/>
        <v>0</v>
      </c>
    </row>
    <row r="88" spans="1:484" x14ac:dyDescent="0.2">
      <c r="A88" s="89">
        <f>'Name List'!B88</f>
        <v>14</v>
      </c>
      <c r="C88" s="98"/>
      <c r="D88" s="99"/>
      <c r="E88" s="329" t="str">
        <f t="shared" si="67"/>
        <v/>
      </c>
      <c r="F88" s="77"/>
      <c r="G88" s="78"/>
      <c r="H88" s="78"/>
      <c r="I88" s="79"/>
      <c r="J88" s="333" t="str">
        <f>IF(E88="","",'Name List'!$I$4)</f>
        <v/>
      </c>
      <c r="L88" s="98"/>
      <c r="M88" s="99"/>
      <c r="N88" s="100"/>
      <c r="O88" s="77"/>
      <c r="P88" s="78"/>
      <c r="Q88" s="78"/>
      <c r="R88" s="79"/>
      <c r="S88" s="67"/>
      <c r="U88" s="71"/>
      <c r="V88" s="72"/>
      <c r="W88" s="396" t="str">
        <f t="shared" si="68"/>
        <v/>
      </c>
      <c r="X88" s="77"/>
      <c r="Y88" s="78"/>
      <c r="Z88" s="78"/>
      <c r="AA88" s="79"/>
      <c r="AB88" s="333" t="str">
        <f>IF(W88="","",'Name List'!$I$4)</f>
        <v/>
      </c>
      <c r="AD88" s="98"/>
      <c r="AE88" s="99"/>
      <c r="AF88" s="329" t="str">
        <f t="shared" si="69"/>
        <v/>
      </c>
      <c r="AG88" s="77"/>
      <c r="AH88" s="78"/>
      <c r="AI88" s="78"/>
      <c r="AJ88" s="79"/>
      <c r="AK88" s="333" t="str">
        <f>IF(AF88="","",'Name List'!$I$4)</f>
        <v/>
      </c>
      <c r="AM88" s="98"/>
      <c r="AN88" s="99"/>
      <c r="AO88" s="329" t="str">
        <f t="shared" si="70"/>
        <v/>
      </c>
      <c r="AP88" s="77"/>
      <c r="AQ88" s="78"/>
      <c r="AR88" s="78"/>
      <c r="AS88" s="79"/>
      <c r="AT88" s="333" t="str">
        <f>IF(AO88="","",'Name List'!$I$4)</f>
        <v/>
      </c>
      <c r="AV88" s="458"/>
      <c r="AW88" s="401"/>
      <c r="AX88" s="400" t="str">
        <f t="shared" si="71"/>
        <v/>
      </c>
      <c r="AY88" s="77"/>
      <c r="AZ88" s="78"/>
      <c r="BA88" s="78"/>
      <c r="BB88" s="79"/>
      <c r="BC88" s="457" t="str">
        <f>IF(AX88="","",'Name List'!$I$4)</f>
        <v/>
      </c>
      <c r="BE88" s="71"/>
      <c r="BF88" s="72"/>
      <c r="BG88" s="383" t="str">
        <f t="shared" si="72"/>
        <v/>
      </c>
      <c r="BH88" s="77"/>
      <c r="BI88" s="78"/>
      <c r="BJ88" s="78"/>
      <c r="BK88" s="79"/>
      <c r="BL88" s="67"/>
      <c r="BN88" s="98"/>
      <c r="BO88" s="99"/>
      <c r="BP88" s="100"/>
      <c r="BQ88" s="77"/>
      <c r="BR88" s="78"/>
      <c r="BS88" s="78"/>
      <c r="BT88" s="79"/>
      <c r="BU88" s="67"/>
      <c r="BW88" s="98"/>
      <c r="BX88" s="99"/>
      <c r="BY88" s="329" t="str">
        <f t="shared" si="73"/>
        <v/>
      </c>
      <c r="BZ88" s="77"/>
      <c r="CA88" s="78"/>
      <c r="CB88" s="78"/>
      <c r="CC88" s="79"/>
      <c r="CD88" s="333" t="str">
        <f>IF(BY88="","",'Name List'!$I$4)</f>
        <v/>
      </c>
      <c r="CF88" s="68"/>
      <c r="CG88" s="69"/>
      <c r="CH88" s="282" t="str">
        <f t="shared" si="86"/>
        <v/>
      </c>
      <c r="CI88" s="77"/>
      <c r="CJ88" s="78"/>
      <c r="CK88" s="78"/>
      <c r="CL88" s="79"/>
      <c r="CM88" s="67"/>
      <c r="CO88" s="71"/>
      <c r="CP88" s="72"/>
      <c r="CQ88" s="383" t="str">
        <f t="shared" si="74"/>
        <v/>
      </c>
      <c r="CR88" s="77"/>
      <c r="CS88" s="78"/>
      <c r="CT88" s="78"/>
      <c r="CU88" s="79"/>
      <c r="CV88" s="333" t="str">
        <f>IF(CQ88="","",'Name List'!$I$4)</f>
        <v/>
      </c>
      <c r="CX88" s="98"/>
      <c r="CY88" s="99"/>
      <c r="CZ88" s="329" t="str">
        <f t="shared" si="75"/>
        <v/>
      </c>
      <c r="DA88" s="77"/>
      <c r="DB88" s="78"/>
      <c r="DC88" s="78"/>
      <c r="DD88" s="79"/>
      <c r="DE88" s="333" t="str">
        <f>IF(CZ88="","",'Name List'!$I$4)</f>
        <v/>
      </c>
      <c r="DG88" s="98"/>
      <c r="DH88" s="99"/>
      <c r="DI88" s="100"/>
      <c r="DJ88" s="77"/>
      <c r="DK88" s="78"/>
      <c r="DL88" s="78"/>
      <c r="DM88" s="79"/>
      <c r="DN88" s="67"/>
      <c r="DP88" s="98"/>
      <c r="DQ88" s="99"/>
      <c r="DR88" s="329" t="str">
        <f t="shared" si="77"/>
        <v/>
      </c>
      <c r="DS88" s="77"/>
      <c r="DT88" s="78"/>
      <c r="DU88" s="78"/>
      <c r="DV88" s="79"/>
      <c r="DW88" s="67"/>
      <c r="DY88" s="98"/>
      <c r="DZ88" s="99"/>
      <c r="EA88" s="329" t="str">
        <f t="shared" si="78"/>
        <v/>
      </c>
      <c r="EB88" s="77"/>
      <c r="EC88" s="78"/>
      <c r="ED88" s="78"/>
      <c r="EE88" s="79"/>
      <c r="EF88" s="67"/>
      <c r="EH88" s="98"/>
      <c r="EI88" s="99"/>
      <c r="EJ88" s="329" t="str">
        <f t="shared" si="79"/>
        <v/>
      </c>
      <c r="EK88" s="77"/>
      <c r="EL88" s="78"/>
      <c r="EM88" s="78"/>
      <c r="EN88" s="79"/>
      <c r="EO88" s="333" t="str">
        <f>IF(EJ88="","",'Name List'!$I$4)</f>
        <v/>
      </c>
      <c r="EQ88" s="115"/>
      <c r="ER88" s="116"/>
      <c r="ES88" s="390"/>
      <c r="ET88" s="77"/>
      <c r="EU88" s="78"/>
      <c r="EV88" s="78"/>
      <c r="EW88" s="79"/>
      <c r="EX88" s="67"/>
      <c r="EZ88" s="68"/>
      <c r="FA88" s="69"/>
      <c r="FB88" s="70"/>
      <c r="FC88" s="77"/>
      <c r="FD88" s="78"/>
      <c r="FE88" s="78"/>
      <c r="FF88" s="79"/>
      <c r="FG88" s="67"/>
      <c r="FI88" s="98"/>
      <c r="FJ88" s="99"/>
      <c r="FK88" s="100"/>
      <c r="FL88" s="77"/>
      <c r="FM88" s="78"/>
      <c r="FN88" s="78"/>
      <c r="FO88" s="79"/>
      <c r="FP88" s="67"/>
      <c r="FR88" s="98"/>
      <c r="FS88" s="99"/>
      <c r="FT88" s="100"/>
      <c r="FU88" s="77"/>
      <c r="FV88" s="78"/>
      <c r="FW88" s="78"/>
      <c r="FX88" s="79"/>
      <c r="FY88" s="67"/>
      <c r="GA88" s="98"/>
      <c r="GB88" s="99"/>
      <c r="GC88" s="100"/>
      <c r="GD88" s="77"/>
      <c r="GE88" s="78"/>
      <c r="GF88" s="78"/>
      <c r="GG88" s="79"/>
      <c r="GH88" s="67"/>
      <c r="GJ88" s="98"/>
      <c r="GK88" s="99"/>
      <c r="GL88" s="100"/>
      <c r="GM88" s="77"/>
      <c r="GN88" s="78"/>
      <c r="GO88" s="78"/>
      <c r="GP88" s="79"/>
      <c r="GQ88" s="67"/>
      <c r="GS88" s="68"/>
      <c r="GT88" s="69"/>
      <c r="GU88" s="70"/>
      <c r="GV88" s="77"/>
      <c r="GW88" s="78"/>
      <c r="GX88" s="78"/>
      <c r="GY88" s="79"/>
      <c r="GZ88" s="67"/>
      <c r="HB88" s="98"/>
      <c r="HC88" s="99"/>
      <c r="HD88" s="100"/>
      <c r="HE88" s="77"/>
      <c r="HF88" s="78"/>
      <c r="HG88" s="78"/>
      <c r="HH88" s="79"/>
      <c r="HI88" s="67"/>
      <c r="HK88" s="71"/>
      <c r="HL88" s="72"/>
      <c r="HM88" s="383" t="str">
        <f t="shared" si="85"/>
        <v/>
      </c>
      <c r="HN88" s="77"/>
      <c r="HO88" s="78"/>
      <c r="HP88" s="78"/>
      <c r="HQ88" s="79"/>
      <c r="HR88" s="333" t="str">
        <f>IF(HM88="","",'Name List'!$I$4)</f>
        <v/>
      </c>
      <c r="HT88" s="68"/>
      <c r="HU88" s="69"/>
      <c r="HV88" s="70"/>
      <c r="HW88" s="77"/>
      <c r="HX88" s="78"/>
      <c r="HY88" s="78"/>
      <c r="HZ88" s="79"/>
      <c r="IA88" s="67"/>
      <c r="IC88" s="115"/>
      <c r="ID88" s="116"/>
      <c r="IE88" s="117"/>
      <c r="IF88" s="77"/>
      <c r="IG88" s="78"/>
      <c r="IH88" s="78"/>
      <c r="II88" s="79"/>
      <c r="IJ88" s="67"/>
      <c r="IL88" s="98"/>
      <c r="IM88" s="99"/>
      <c r="IN88" s="100"/>
      <c r="IO88" s="77"/>
      <c r="IP88" s="78"/>
      <c r="IQ88" s="78"/>
      <c r="IR88" s="79"/>
      <c r="IS88" s="67"/>
      <c r="IU88" s="98"/>
      <c r="IV88" s="99"/>
      <c r="IW88" s="100"/>
      <c r="IX88" s="77"/>
      <c r="IY88" s="78"/>
      <c r="IZ88" s="78"/>
      <c r="JA88" s="79"/>
      <c r="JB88" s="67"/>
      <c r="JD88" s="98"/>
      <c r="JE88" s="99"/>
      <c r="JF88" s="100"/>
      <c r="JG88" s="77"/>
      <c r="JH88" s="78"/>
      <c r="JI88" s="78"/>
      <c r="JJ88" s="79"/>
      <c r="JK88" s="67"/>
      <c r="JM88" s="98"/>
      <c r="JN88" s="99"/>
      <c r="JO88" s="275"/>
      <c r="JP88" s="77"/>
      <c r="JQ88" s="78"/>
      <c r="JR88" s="78"/>
      <c r="JS88" s="79"/>
      <c r="JT88" s="67"/>
      <c r="JV88" s="98"/>
      <c r="JW88" s="99"/>
      <c r="JX88" s="100"/>
      <c r="JY88" s="77"/>
      <c r="JZ88" s="78"/>
      <c r="KA88" s="78"/>
      <c r="KB88" s="79"/>
      <c r="KC88" s="67"/>
      <c r="KE88" s="98"/>
      <c r="KF88" s="99"/>
      <c r="KG88" s="100"/>
      <c r="KH88" s="77"/>
      <c r="KI88" s="78"/>
      <c r="KJ88" s="78"/>
      <c r="KK88" s="79"/>
      <c r="KL88" s="67"/>
      <c r="KN88" s="68"/>
      <c r="KO88" s="69"/>
      <c r="KP88" s="70"/>
      <c r="KQ88" s="77"/>
      <c r="KR88" s="78"/>
      <c r="KS88" s="78"/>
      <c r="KT88" s="79"/>
      <c r="KU88" s="67"/>
      <c r="KW88" s="98"/>
      <c r="KX88" s="99"/>
      <c r="KY88" s="100"/>
      <c r="KZ88" s="77"/>
      <c r="LA88" s="78"/>
      <c r="LB88" s="78"/>
      <c r="LC88" s="79"/>
      <c r="LD88" s="67"/>
      <c r="LF88" s="71"/>
      <c r="LG88" s="72"/>
      <c r="LH88" s="73"/>
      <c r="LI88" s="77"/>
      <c r="LJ88" s="78"/>
      <c r="LK88" s="78"/>
      <c r="LL88" s="79"/>
      <c r="LM88" s="67"/>
      <c r="LO88" s="98"/>
      <c r="LP88" s="99"/>
      <c r="LQ88" s="329"/>
      <c r="LR88" s="77"/>
      <c r="LS88" s="78"/>
      <c r="LT88" s="78"/>
      <c r="LU88" s="79"/>
      <c r="LV88" s="67"/>
      <c r="LX88" s="98"/>
      <c r="LY88" s="99"/>
      <c r="LZ88" s="100"/>
      <c r="MA88" s="77"/>
      <c r="MB88" s="78"/>
      <c r="MC88" s="78"/>
      <c r="MD88" s="79"/>
      <c r="ME88" s="67"/>
      <c r="MG88" s="98"/>
      <c r="MH88" s="99"/>
      <c r="MI88" s="100"/>
      <c r="MJ88" s="77"/>
      <c r="MK88" s="78"/>
      <c r="ML88" s="78"/>
      <c r="MM88" s="79"/>
      <c r="MN88" s="67"/>
      <c r="MP88" s="98"/>
      <c r="MQ88" s="99"/>
      <c r="MR88" s="100"/>
      <c r="MS88" s="77"/>
      <c r="MT88" s="78"/>
      <c r="MU88" s="78"/>
      <c r="MV88" s="79"/>
      <c r="MW88" s="67"/>
      <c r="MY88" s="98"/>
      <c r="MZ88" s="99"/>
      <c r="NA88" s="100"/>
      <c r="NB88" s="77"/>
      <c r="NC88" s="78"/>
      <c r="ND88" s="78"/>
      <c r="NE88" s="79"/>
      <c r="NF88" s="67"/>
      <c r="NH88" s="98"/>
      <c r="NI88" s="99"/>
      <c r="NJ88" s="329"/>
      <c r="NK88" s="77"/>
      <c r="NL88" s="78"/>
      <c r="NM88" s="78"/>
      <c r="NN88" s="79"/>
      <c r="NO88" s="67"/>
      <c r="NQ88" s="98"/>
      <c r="NR88" s="99"/>
      <c r="NS88" s="100"/>
      <c r="NT88" s="77"/>
      <c r="NU88" s="78"/>
      <c r="NV88" s="78"/>
      <c r="NW88" s="79"/>
      <c r="NX88" s="67"/>
      <c r="NZ88" s="71"/>
      <c r="OA88" s="72"/>
      <c r="OB88" s="73"/>
      <c r="OC88" s="77"/>
      <c r="OD88" s="78"/>
      <c r="OE88" s="78"/>
      <c r="OF88" s="79"/>
      <c r="OG88" s="67"/>
      <c r="OI88" s="98"/>
      <c r="OJ88" s="99"/>
      <c r="OK88" s="329"/>
      <c r="OL88" s="77"/>
      <c r="OM88" s="78"/>
      <c r="ON88" s="78"/>
      <c r="OO88" s="79"/>
      <c r="OP88" s="67"/>
      <c r="OR88" s="71"/>
      <c r="OS88" s="72"/>
      <c r="OT88" s="73"/>
      <c r="OU88" s="77"/>
      <c r="OV88" s="78"/>
      <c r="OW88" s="78"/>
      <c r="OX88" s="79"/>
      <c r="OY88" s="67"/>
      <c r="PA88" s="98"/>
      <c r="PB88" s="99"/>
      <c r="PC88" s="100"/>
      <c r="PD88" s="77"/>
      <c r="PE88" s="78"/>
      <c r="PF88" s="78"/>
      <c r="PG88" s="79"/>
      <c r="PH88" s="67"/>
      <c r="PJ88" s="68"/>
      <c r="PK88" s="69"/>
      <c r="PL88" s="70"/>
      <c r="PM88" s="77"/>
      <c r="PN88" s="78"/>
      <c r="PO88" s="78"/>
      <c r="PP88" s="79"/>
      <c r="PQ88" s="67"/>
      <c r="PS88" s="403"/>
      <c r="PT88" s="404"/>
      <c r="PU88" s="405"/>
      <c r="PV88" s="330"/>
      <c r="PW88" s="331"/>
      <c r="PX88" s="331"/>
      <c r="PY88" s="332"/>
      <c r="PZ88" s="333"/>
      <c r="QB88" s="71"/>
      <c r="QC88" s="72"/>
      <c r="QD88" s="73"/>
      <c r="QE88" s="77"/>
      <c r="QF88" s="78"/>
      <c r="QG88" s="78"/>
      <c r="QH88" s="79"/>
      <c r="QI88" s="67"/>
      <c r="QK88" s="283"/>
      <c r="QL88" s="284"/>
      <c r="QM88" s="285"/>
      <c r="QN88" s="77"/>
      <c r="QO88" s="78"/>
      <c r="QP88" s="78"/>
      <c r="QQ88" s="79"/>
      <c r="QR88" s="67" t="str">
        <f>IF(QM88="","",'Name List'!$I$4)</f>
        <v/>
      </c>
      <c r="QS88" s="91"/>
      <c r="QT88" s="107">
        <f t="shared" si="87"/>
        <v>0</v>
      </c>
      <c r="QU88" s="130">
        <f t="shared" si="88"/>
        <v>0</v>
      </c>
      <c r="QV88" s="130">
        <f t="shared" si="89"/>
        <v>0</v>
      </c>
      <c r="QW88" s="108">
        <f t="shared" si="90"/>
        <v>0</v>
      </c>
      <c r="QY88" s="260">
        <f t="shared" si="91"/>
        <v>0</v>
      </c>
      <c r="RA88" s="141">
        <f t="shared" si="92"/>
        <v>0</v>
      </c>
      <c r="RB88" s="106">
        <f t="shared" si="93"/>
        <v>0</v>
      </c>
      <c r="RC88" s="106">
        <f t="shared" si="94"/>
        <v>0</v>
      </c>
      <c r="RD88" s="106">
        <f t="shared" si="95"/>
        <v>0</v>
      </c>
      <c r="RE88" s="106">
        <f t="shared" si="96"/>
        <v>0</v>
      </c>
      <c r="RF88" s="142">
        <f t="shared" si="97"/>
        <v>0</v>
      </c>
      <c r="RG88" s="106"/>
      <c r="RH88" s="139">
        <f t="shared" si="98"/>
        <v>0</v>
      </c>
      <c r="RI88" s="140">
        <f t="shared" si="99"/>
        <v>0</v>
      </c>
      <c r="RJ88" s="106"/>
      <c r="RK88" s="136">
        <f t="shared" si="100"/>
        <v>0</v>
      </c>
      <c r="RL88" s="106"/>
      <c r="RM88" s="137">
        <f t="shared" si="101"/>
        <v>0</v>
      </c>
      <c r="RN88" s="138">
        <f t="shared" si="102"/>
        <v>0</v>
      </c>
      <c r="RO88" s="106"/>
      <c r="RP88" s="259">
        <f t="shared" si="103"/>
        <v>0</v>
      </c>
    </row>
    <row r="89" spans="1:484" x14ac:dyDescent="0.2">
      <c r="A89" s="89">
        <f>'Name List'!B89</f>
        <v>15</v>
      </c>
      <c r="C89" s="98"/>
      <c r="D89" s="99"/>
      <c r="E89" s="329" t="str">
        <f t="shared" si="67"/>
        <v/>
      </c>
      <c r="F89" s="77"/>
      <c r="G89" s="78"/>
      <c r="H89" s="78"/>
      <c r="I89" s="79"/>
      <c r="J89" s="333" t="str">
        <f>IF(E89="","",'Name List'!$I$4)</f>
        <v/>
      </c>
      <c r="L89" s="98"/>
      <c r="M89" s="99"/>
      <c r="N89" s="100"/>
      <c r="O89" s="77"/>
      <c r="P89" s="78"/>
      <c r="Q89" s="78"/>
      <c r="R89" s="79"/>
      <c r="S89" s="67"/>
      <c r="U89" s="71"/>
      <c r="V89" s="72"/>
      <c r="W89" s="396" t="str">
        <f t="shared" si="68"/>
        <v/>
      </c>
      <c r="X89" s="77"/>
      <c r="Y89" s="78"/>
      <c r="Z89" s="78"/>
      <c r="AA89" s="79"/>
      <c r="AB89" s="333" t="str">
        <f>IF(W89="","",'Name List'!$I$4)</f>
        <v/>
      </c>
      <c r="AD89" s="98"/>
      <c r="AE89" s="99"/>
      <c r="AF89" s="329" t="str">
        <f t="shared" si="69"/>
        <v/>
      </c>
      <c r="AG89" s="77"/>
      <c r="AH89" s="78"/>
      <c r="AI89" s="78"/>
      <c r="AJ89" s="79"/>
      <c r="AK89" s="333" t="str">
        <f>IF(AF89="","",'Name List'!$I$4)</f>
        <v/>
      </c>
      <c r="AM89" s="98"/>
      <c r="AN89" s="99"/>
      <c r="AO89" s="329" t="str">
        <f t="shared" si="70"/>
        <v/>
      </c>
      <c r="AP89" s="77"/>
      <c r="AQ89" s="78"/>
      <c r="AR89" s="78"/>
      <c r="AS89" s="79"/>
      <c r="AT89" s="333" t="str">
        <f>IF(AO89="","",'Name List'!$I$4)</f>
        <v/>
      </c>
      <c r="AV89" s="458"/>
      <c r="AW89" s="401"/>
      <c r="AX89" s="400" t="str">
        <f t="shared" si="71"/>
        <v/>
      </c>
      <c r="AY89" s="77"/>
      <c r="AZ89" s="78"/>
      <c r="BA89" s="78"/>
      <c r="BB89" s="79"/>
      <c r="BC89" s="457" t="str">
        <f>IF(AX89="","",'Name List'!$I$4)</f>
        <v/>
      </c>
      <c r="BE89" s="71"/>
      <c r="BF89" s="72"/>
      <c r="BG89" s="383" t="str">
        <f t="shared" si="72"/>
        <v/>
      </c>
      <c r="BH89" s="77"/>
      <c r="BI89" s="78"/>
      <c r="BJ89" s="78"/>
      <c r="BK89" s="79"/>
      <c r="BL89" s="67"/>
      <c r="BN89" s="98"/>
      <c r="BO89" s="99"/>
      <c r="BP89" s="100"/>
      <c r="BQ89" s="77"/>
      <c r="BR89" s="78"/>
      <c r="BS89" s="78"/>
      <c r="BT89" s="79"/>
      <c r="BU89" s="67"/>
      <c r="BW89" s="98"/>
      <c r="BX89" s="99"/>
      <c r="BY89" s="329" t="str">
        <f t="shared" si="73"/>
        <v/>
      </c>
      <c r="BZ89" s="77"/>
      <c r="CA89" s="78"/>
      <c r="CB89" s="78"/>
      <c r="CC89" s="79"/>
      <c r="CD89" s="333" t="str">
        <f>IF(BY89="","",'Name List'!$I$4)</f>
        <v/>
      </c>
      <c r="CF89" s="68"/>
      <c r="CG89" s="69"/>
      <c r="CH89" s="282" t="str">
        <f t="shared" si="86"/>
        <v/>
      </c>
      <c r="CI89" s="77"/>
      <c r="CJ89" s="78"/>
      <c r="CK89" s="78"/>
      <c r="CL89" s="79"/>
      <c r="CM89" s="67"/>
      <c r="CO89" s="71"/>
      <c r="CP89" s="72"/>
      <c r="CQ89" s="383" t="str">
        <f t="shared" si="74"/>
        <v/>
      </c>
      <c r="CR89" s="77"/>
      <c r="CS89" s="78"/>
      <c r="CT89" s="78"/>
      <c r="CU89" s="79"/>
      <c r="CV89" s="333" t="str">
        <f>IF(CQ89="","",'Name List'!$I$4)</f>
        <v/>
      </c>
      <c r="CX89" s="98"/>
      <c r="CY89" s="99"/>
      <c r="CZ89" s="329" t="str">
        <f t="shared" si="75"/>
        <v/>
      </c>
      <c r="DA89" s="77"/>
      <c r="DB89" s="78"/>
      <c r="DC89" s="78"/>
      <c r="DD89" s="79"/>
      <c r="DE89" s="333" t="str">
        <f>IF(CZ89="","",'Name List'!$I$4)</f>
        <v/>
      </c>
      <c r="DG89" s="98"/>
      <c r="DH89" s="99"/>
      <c r="DI89" s="100"/>
      <c r="DJ89" s="77"/>
      <c r="DK89" s="78"/>
      <c r="DL89" s="78"/>
      <c r="DM89" s="79"/>
      <c r="DN89" s="67"/>
      <c r="DP89" s="98"/>
      <c r="DQ89" s="99"/>
      <c r="DR89" s="329" t="str">
        <f t="shared" si="77"/>
        <v/>
      </c>
      <c r="DS89" s="77"/>
      <c r="DT89" s="78"/>
      <c r="DU89" s="78"/>
      <c r="DV89" s="79"/>
      <c r="DW89" s="67"/>
      <c r="DY89" s="98"/>
      <c r="DZ89" s="99"/>
      <c r="EA89" s="329" t="str">
        <f t="shared" si="78"/>
        <v/>
      </c>
      <c r="EB89" s="77"/>
      <c r="EC89" s="78"/>
      <c r="ED89" s="78"/>
      <c r="EE89" s="79"/>
      <c r="EF89" s="67"/>
      <c r="EH89" s="98"/>
      <c r="EI89" s="99"/>
      <c r="EJ89" s="329" t="str">
        <f t="shared" si="79"/>
        <v/>
      </c>
      <c r="EK89" s="77"/>
      <c r="EL89" s="78"/>
      <c r="EM89" s="78"/>
      <c r="EN89" s="79"/>
      <c r="EO89" s="333" t="str">
        <f>IF(EJ89="","",'Name List'!$I$4)</f>
        <v/>
      </c>
      <c r="EQ89" s="115"/>
      <c r="ER89" s="116"/>
      <c r="ES89" s="390"/>
      <c r="ET89" s="77"/>
      <c r="EU89" s="78"/>
      <c r="EV89" s="78"/>
      <c r="EW89" s="79"/>
      <c r="EX89" s="67"/>
      <c r="EZ89" s="68"/>
      <c r="FA89" s="69"/>
      <c r="FB89" s="70"/>
      <c r="FC89" s="77"/>
      <c r="FD89" s="78"/>
      <c r="FE89" s="78"/>
      <c r="FF89" s="79"/>
      <c r="FG89" s="67"/>
      <c r="FI89" s="98"/>
      <c r="FJ89" s="99"/>
      <c r="FK89" s="100"/>
      <c r="FL89" s="77"/>
      <c r="FM89" s="78"/>
      <c r="FN89" s="78"/>
      <c r="FO89" s="79"/>
      <c r="FP89" s="67"/>
      <c r="FR89" s="98"/>
      <c r="FS89" s="99"/>
      <c r="FT89" s="100"/>
      <c r="FU89" s="77"/>
      <c r="FV89" s="78"/>
      <c r="FW89" s="78"/>
      <c r="FX89" s="79"/>
      <c r="FY89" s="67"/>
      <c r="GA89" s="98"/>
      <c r="GB89" s="99"/>
      <c r="GC89" s="100"/>
      <c r="GD89" s="77"/>
      <c r="GE89" s="78"/>
      <c r="GF89" s="78"/>
      <c r="GG89" s="79"/>
      <c r="GH89" s="67"/>
      <c r="GJ89" s="98"/>
      <c r="GK89" s="99"/>
      <c r="GL89" s="100"/>
      <c r="GM89" s="77"/>
      <c r="GN89" s="78"/>
      <c r="GO89" s="78"/>
      <c r="GP89" s="79"/>
      <c r="GQ89" s="67"/>
      <c r="GS89" s="68"/>
      <c r="GT89" s="69"/>
      <c r="GU89" s="70"/>
      <c r="GV89" s="77"/>
      <c r="GW89" s="78"/>
      <c r="GX89" s="78"/>
      <c r="GY89" s="79"/>
      <c r="GZ89" s="67"/>
      <c r="HB89" s="98"/>
      <c r="HC89" s="99"/>
      <c r="HD89" s="100"/>
      <c r="HE89" s="77"/>
      <c r="HF89" s="78"/>
      <c r="HG89" s="78"/>
      <c r="HH89" s="79"/>
      <c r="HI89" s="67"/>
      <c r="HK89" s="71"/>
      <c r="HL89" s="72"/>
      <c r="HM89" s="383" t="str">
        <f t="shared" si="85"/>
        <v/>
      </c>
      <c r="HN89" s="77"/>
      <c r="HO89" s="78"/>
      <c r="HP89" s="78"/>
      <c r="HQ89" s="79"/>
      <c r="HR89" s="333" t="str">
        <f>IF(HM89="","",'Name List'!$I$4)</f>
        <v/>
      </c>
      <c r="HT89" s="68"/>
      <c r="HU89" s="69"/>
      <c r="HV89" s="70"/>
      <c r="HW89" s="77"/>
      <c r="HX89" s="78"/>
      <c r="HY89" s="78"/>
      <c r="HZ89" s="79"/>
      <c r="IA89" s="67"/>
      <c r="IC89" s="115"/>
      <c r="ID89" s="116"/>
      <c r="IE89" s="117"/>
      <c r="IF89" s="77"/>
      <c r="IG89" s="78"/>
      <c r="IH89" s="78"/>
      <c r="II89" s="79"/>
      <c r="IJ89" s="67"/>
      <c r="IL89" s="98"/>
      <c r="IM89" s="99"/>
      <c r="IN89" s="100"/>
      <c r="IO89" s="77"/>
      <c r="IP89" s="78"/>
      <c r="IQ89" s="78"/>
      <c r="IR89" s="79"/>
      <c r="IS89" s="67"/>
      <c r="IU89" s="98"/>
      <c r="IV89" s="99"/>
      <c r="IW89" s="100"/>
      <c r="IX89" s="77"/>
      <c r="IY89" s="78"/>
      <c r="IZ89" s="78"/>
      <c r="JA89" s="79"/>
      <c r="JB89" s="67"/>
      <c r="JD89" s="98"/>
      <c r="JE89" s="99"/>
      <c r="JF89" s="100"/>
      <c r="JG89" s="77"/>
      <c r="JH89" s="78"/>
      <c r="JI89" s="78"/>
      <c r="JJ89" s="79"/>
      <c r="JK89" s="67"/>
      <c r="JM89" s="98"/>
      <c r="JN89" s="99"/>
      <c r="JO89" s="275"/>
      <c r="JP89" s="77"/>
      <c r="JQ89" s="78"/>
      <c r="JR89" s="78"/>
      <c r="JS89" s="79"/>
      <c r="JT89" s="67"/>
      <c r="JV89" s="98"/>
      <c r="JW89" s="99"/>
      <c r="JX89" s="100"/>
      <c r="JY89" s="77"/>
      <c r="JZ89" s="78"/>
      <c r="KA89" s="78"/>
      <c r="KB89" s="79"/>
      <c r="KC89" s="67"/>
      <c r="KE89" s="98"/>
      <c r="KF89" s="99"/>
      <c r="KG89" s="100"/>
      <c r="KH89" s="77"/>
      <c r="KI89" s="78"/>
      <c r="KJ89" s="78"/>
      <c r="KK89" s="79"/>
      <c r="KL89" s="67"/>
      <c r="KN89" s="68"/>
      <c r="KO89" s="69"/>
      <c r="KP89" s="70"/>
      <c r="KQ89" s="77"/>
      <c r="KR89" s="78"/>
      <c r="KS89" s="78"/>
      <c r="KT89" s="79"/>
      <c r="KU89" s="67"/>
      <c r="KW89" s="98"/>
      <c r="KX89" s="99"/>
      <c r="KY89" s="100"/>
      <c r="KZ89" s="77"/>
      <c r="LA89" s="78"/>
      <c r="LB89" s="78"/>
      <c r="LC89" s="79"/>
      <c r="LD89" s="67"/>
      <c r="LF89" s="71"/>
      <c r="LG89" s="72"/>
      <c r="LH89" s="73"/>
      <c r="LI89" s="77"/>
      <c r="LJ89" s="78"/>
      <c r="LK89" s="78"/>
      <c r="LL89" s="79"/>
      <c r="LM89" s="67"/>
      <c r="LO89" s="98"/>
      <c r="LP89" s="99"/>
      <c r="LQ89" s="329"/>
      <c r="LR89" s="77"/>
      <c r="LS89" s="78"/>
      <c r="LT89" s="78"/>
      <c r="LU89" s="79"/>
      <c r="LV89" s="67"/>
      <c r="LX89" s="98"/>
      <c r="LY89" s="99"/>
      <c r="LZ89" s="100"/>
      <c r="MA89" s="77"/>
      <c r="MB89" s="78"/>
      <c r="MC89" s="78"/>
      <c r="MD89" s="79"/>
      <c r="ME89" s="67"/>
      <c r="MG89" s="98"/>
      <c r="MH89" s="99"/>
      <c r="MI89" s="100"/>
      <c r="MJ89" s="77"/>
      <c r="MK89" s="78"/>
      <c r="ML89" s="78"/>
      <c r="MM89" s="79"/>
      <c r="MN89" s="67"/>
      <c r="MP89" s="98"/>
      <c r="MQ89" s="99"/>
      <c r="MR89" s="100"/>
      <c r="MS89" s="77"/>
      <c r="MT89" s="78"/>
      <c r="MU89" s="78"/>
      <c r="MV89" s="79"/>
      <c r="MW89" s="67"/>
      <c r="MY89" s="98"/>
      <c r="MZ89" s="99"/>
      <c r="NA89" s="100"/>
      <c r="NB89" s="77"/>
      <c r="NC89" s="78"/>
      <c r="ND89" s="78"/>
      <c r="NE89" s="79"/>
      <c r="NF89" s="67"/>
      <c r="NH89" s="98"/>
      <c r="NI89" s="99"/>
      <c r="NJ89" s="329"/>
      <c r="NK89" s="77"/>
      <c r="NL89" s="78"/>
      <c r="NM89" s="78"/>
      <c r="NN89" s="79"/>
      <c r="NO89" s="67"/>
      <c r="NQ89" s="98"/>
      <c r="NR89" s="99"/>
      <c r="NS89" s="100"/>
      <c r="NT89" s="77"/>
      <c r="NU89" s="78"/>
      <c r="NV89" s="78"/>
      <c r="NW89" s="79"/>
      <c r="NX89" s="67"/>
      <c r="NZ89" s="71"/>
      <c r="OA89" s="72"/>
      <c r="OB89" s="73"/>
      <c r="OC89" s="77"/>
      <c r="OD89" s="78"/>
      <c r="OE89" s="78"/>
      <c r="OF89" s="79"/>
      <c r="OG89" s="67"/>
      <c r="OI89" s="98"/>
      <c r="OJ89" s="99"/>
      <c r="OK89" s="329"/>
      <c r="OL89" s="77"/>
      <c r="OM89" s="78"/>
      <c r="ON89" s="78"/>
      <c r="OO89" s="79"/>
      <c r="OP89" s="67"/>
      <c r="OR89" s="71"/>
      <c r="OS89" s="72"/>
      <c r="OT89" s="73"/>
      <c r="OU89" s="77"/>
      <c r="OV89" s="78"/>
      <c r="OW89" s="78"/>
      <c r="OX89" s="79"/>
      <c r="OY89" s="67"/>
      <c r="PA89" s="98"/>
      <c r="PB89" s="99"/>
      <c r="PC89" s="100"/>
      <c r="PD89" s="77"/>
      <c r="PE89" s="78"/>
      <c r="PF89" s="78"/>
      <c r="PG89" s="79"/>
      <c r="PH89" s="67"/>
      <c r="PJ89" s="68"/>
      <c r="PK89" s="69"/>
      <c r="PL89" s="70"/>
      <c r="PM89" s="77"/>
      <c r="PN89" s="78"/>
      <c r="PO89" s="78"/>
      <c r="PP89" s="79"/>
      <c r="PQ89" s="67"/>
      <c r="PS89" s="403"/>
      <c r="PT89" s="404"/>
      <c r="PU89" s="405"/>
      <c r="PV89" s="330"/>
      <c r="PW89" s="331"/>
      <c r="PX89" s="331"/>
      <c r="PY89" s="332"/>
      <c r="PZ89" s="333"/>
      <c r="QB89" s="71"/>
      <c r="QC89" s="72"/>
      <c r="QD89" s="73"/>
      <c r="QE89" s="77"/>
      <c r="QF89" s="78"/>
      <c r="QG89" s="78"/>
      <c r="QH89" s="79"/>
      <c r="QI89" s="67"/>
      <c r="QK89" s="283"/>
      <c r="QL89" s="284"/>
      <c r="QM89" s="285"/>
      <c r="QN89" s="77"/>
      <c r="QO89" s="78"/>
      <c r="QP89" s="78"/>
      <c r="QQ89" s="79"/>
      <c r="QR89" s="67" t="str">
        <f>IF(QM89="","",'Name List'!$I$4)</f>
        <v/>
      </c>
      <c r="QS89" s="91"/>
      <c r="QT89" s="107">
        <f t="shared" si="87"/>
        <v>0</v>
      </c>
      <c r="QU89" s="130">
        <f t="shared" si="88"/>
        <v>0</v>
      </c>
      <c r="QV89" s="130">
        <f t="shared" si="89"/>
        <v>0</v>
      </c>
      <c r="QW89" s="108">
        <f t="shared" si="90"/>
        <v>0</v>
      </c>
      <c r="QY89" s="260">
        <f t="shared" si="91"/>
        <v>0</v>
      </c>
      <c r="RA89" s="141">
        <f t="shared" si="92"/>
        <v>0</v>
      </c>
      <c r="RB89" s="106">
        <f t="shared" si="93"/>
        <v>0</v>
      </c>
      <c r="RC89" s="106">
        <f t="shared" si="94"/>
        <v>0</v>
      </c>
      <c r="RD89" s="106">
        <f t="shared" si="95"/>
        <v>0</v>
      </c>
      <c r="RE89" s="106">
        <f t="shared" si="96"/>
        <v>0</v>
      </c>
      <c r="RF89" s="142">
        <f t="shared" si="97"/>
        <v>0</v>
      </c>
      <c r="RG89" s="106"/>
      <c r="RH89" s="139">
        <f t="shared" si="98"/>
        <v>0</v>
      </c>
      <c r="RI89" s="140">
        <f t="shared" si="99"/>
        <v>0</v>
      </c>
      <c r="RJ89" s="106"/>
      <c r="RK89" s="136">
        <f t="shared" si="100"/>
        <v>0</v>
      </c>
      <c r="RL89" s="106"/>
      <c r="RM89" s="137">
        <f t="shared" si="101"/>
        <v>0</v>
      </c>
      <c r="RN89" s="138">
        <f t="shared" si="102"/>
        <v>0</v>
      </c>
      <c r="RO89" s="106"/>
      <c r="RP89" s="259">
        <f t="shared" si="103"/>
        <v>0</v>
      </c>
    </row>
    <row r="90" spans="1:484" x14ac:dyDescent="0.2">
      <c r="A90" s="89">
        <f>'Name List'!B90</f>
        <v>16</v>
      </c>
      <c r="C90" s="296"/>
      <c r="D90" s="297"/>
      <c r="E90" s="329" t="str">
        <f t="shared" si="67"/>
        <v/>
      </c>
      <c r="F90" s="293"/>
      <c r="G90" s="294"/>
      <c r="H90" s="294"/>
      <c r="I90" s="295"/>
      <c r="J90" s="333" t="str">
        <f>IF(E90="","",'Name List'!$I$4)</f>
        <v/>
      </c>
      <c r="L90" s="296"/>
      <c r="M90" s="297"/>
      <c r="N90" s="298"/>
      <c r="O90" s="293"/>
      <c r="P90" s="294"/>
      <c r="Q90" s="294"/>
      <c r="R90" s="295"/>
      <c r="S90" s="67"/>
      <c r="U90" s="290"/>
      <c r="V90" s="291"/>
      <c r="W90" s="396" t="str">
        <f t="shared" si="68"/>
        <v/>
      </c>
      <c r="X90" s="293"/>
      <c r="Y90" s="294"/>
      <c r="Z90" s="294"/>
      <c r="AA90" s="295"/>
      <c r="AB90" s="333" t="str">
        <f>IF(W90="","",'Name List'!$I$4)</f>
        <v/>
      </c>
      <c r="AD90" s="296"/>
      <c r="AE90" s="297"/>
      <c r="AF90" s="329" t="str">
        <f t="shared" si="69"/>
        <v/>
      </c>
      <c r="AG90" s="293"/>
      <c r="AH90" s="294"/>
      <c r="AI90" s="294"/>
      <c r="AJ90" s="295"/>
      <c r="AK90" s="333" t="str">
        <f>IF(AF90="","",'Name List'!$I$4)</f>
        <v/>
      </c>
      <c r="AM90" s="296"/>
      <c r="AN90" s="297"/>
      <c r="AO90" s="329" t="str">
        <f t="shared" si="70"/>
        <v/>
      </c>
      <c r="AP90" s="293"/>
      <c r="AQ90" s="294"/>
      <c r="AR90" s="294"/>
      <c r="AS90" s="295"/>
      <c r="AT90" s="333" t="str">
        <f>IF(AO90="","",'Name List'!$I$4)</f>
        <v/>
      </c>
      <c r="AV90" s="459"/>
      <c r="AW90" s="402"/>
      <c r="AX90" s="400" t="str">
        <f t="shared" si="71"/>
        <v/>
      </c>
      <c r="AY90" s="293"/>
      <c r="AZ90" s="294"/>
      <c r="BA90" s="294"/>
      <c r="BB90" s="295"/>
      <c r="BC90" s="457" t="str">
        <f>IF(AX90="","",'Name List'!$I$4)</f>
        <v/>
      </c>
      <c r="BE90" s="290"/>
      <c r="BF90" s="291"/>
      <c r="BG90" s="383" t="str">
        <f t="shared" si="72"/>
        <v/>
      </c>
      <c r="BH90" s="293"/>
      <c r="BI90" s="294"/>
      <c r="BJ90" s="294"/>
      <c r="BK90" s="295"/>
      <c r="BL90" s="67"/>
      <c r="BN90" s="296"/>
      <c r="BO90" s="297"/>
      <c r="BP90" s="298"/>
      <c r="BQ90" s="293"/>
      <c r="BR90" s="294"/>
      <c r="BS90" s="294"/>
      <c r="BT90" s="295"/>
      <c r="BU90" s="67"/>
      <c r="BW90" s="296"/>
      <c r="BX90" s="297"/>
      <c r="BY90" s="329" t="str">
        <f t="shared" si="73"/>
        <v/>
      </c>
      <c r="BZ90" s="293"/>
      <c r="CA90" s="294"/>
      <c r="CB90" s="294"/>
      <c r="CC90" s="295"/>
      <c r="CD90" s="333" t="str">
        <f>IF(BY90="","",'Name List'!$I$4)</f>
        <v/>
      </c>
      <c r="CF90" s="68"/>
      <c r="CG90" s="69"/>
      <c r="CH90" s="282" t="str">
        <f t="shared" si="86"/>
        <v/>
      </c>
      <c r="CI90" s="293"/>
      <c r="CJ90" s="294"/>
      <c r="CK90" s="294"/>
      <c r="CL90" s="295"/>
      <c r="CM90" s="67"/>
      <c r="CO90" s="290"/>
      <c r="CP90" s="291"/>
      <c r="CQ90" s="383" t="str">
        <f t="shared" si="74"/>
        <v/>
      </c>
      <c r="CR90" s="293"/>
      <c r="CS90" s="294"/>
      <c r="CT90" s="294"/>
      <c r="CU90" s="295"/>
      <c r="CV90" s="333" t="str">
        <f>IF(CQ90="","",'Name List'!$I$4)</f>
        <v/>
      </c>
      <c r="CX90" s="296"/>
      <c r="CY90" s="297"/>
      <c r="CZ90" s="329" t="str">
        <f t="shared" si="75"/>
        <v/>
      </c>
      <c r="DA90" s="293"/>
      <c r="DB90" s="294"/>
      <c r="DC90" s="294"/>
      <c r="DD90" s="295"/>
      <c r="DE90" s="333" t="str">
        <f>IF(CZ90="","",'Name List'!$I$4)</f>
        <v/>
      </c>
      <c r="DG90" s="296"/>
      <c r="DH90" s="297"/>
      <c r="DI90" s="298"/>
      <c r="DJ90" s="293"/>
      <c r="DK90" s="294"/>
      <c r="DL90" s="294"/>
      <c r="DM90" s="295"/>
      <c r="DN90" s="67"/>
      <c r="DP90" s="296"/>
      <c r="DQ90" s="297"/>
      <c r="DR90" s="329" t="str">
        <f t="shared" si="77"/>
        <v/>
      </c>
      <c r="DS90" s="293"/>
      <c r="DT90" s="294"/>
      <c r="DU90" s="294"/>
      <c r="DV90" s="295"/>
      <c r="DW90" s="67"/>
      <c r="DY90" s="296"/>
      <c r="DZ90" s="297"/>
      <c r="EA90" s="329" t="str">
        <f t="shared" si="78"/>
        <v/>
      </c>
      <c r="EB90" s="293"/>
      <c r="EC90" s="294"/>
      <c r="ED90" s="294"/>
      <c r="EE90" s="295"/>
      <c r="EF90" s="67"/>
      <c r="EH90" s="296"/>
      <c r="EI90" s="297"/>
      <c r="EJ90" s="329" t="str">
        <f t="shared" si="79"/>
        <v/>
      </c>
      <c r="EK90" s="293"/>
      <c r="EL90" s="294"/>
      <c r="EM90" s="294"/>
      <c r="EN90" s="295"/>
      <c r="EO90" s="333" t="str">
        <f>IF(EJ90="","",'Name List'!$I$4)</f>
        <v/>
      </c>
      <c r="EQ90" s="300"/>
      <c r="ER90" s="301"/>
      <c r="ES90" s="390"/>
      <c r="ET90" s="293"/>
      <c r="EU90" s="294"/>
      <c r="EV90" s="294"/>
      <c r="EW90" s="295"/>
      <c r="EX90" s="67"/>
      <c r="EZ90" s="303"/>
      <c r="FA90" s="304"/>
      <c r="FB90" s="305"/>
      <c r="FC90" s="293"/>
      <c r="FD90" s="294"/>
      <c r="FE90" s="294"/>
      <c r="FF90" s="295"/>
      <c r="FG90" s="67"/>
      <c r="FI90" s="296"/>
      <c r="FJ90" s="297"/>
      <c r="FK90" s="298"/>
      <c r="FL90" s="293"/>
      <c r="FM90" s="294"/>
      <c r="FN90" s="294"/>
      <c r="FO90" s="295"/>
      <c r="FP90" s="67"/>
      <c r="FR90" s="296"/>
      <c r="FS90" s="297"/>
      <c r="FT90" s="298"/>
      <c r="FU90" s="293"/>
      <c r="FV90" s="294"/>
      <c r="FW90" s="294"/>
      <c r="FX90" s="295"/>
      <c r="FY90" s="67"/>
      <c r="GA90" s="296"/>
      <c r="GB90" s="297"/>
      <c r="GC90" s="298"/>
      <c r="GD90" s="293"/>
      <c r="GE90" s="294"/>
      <c r="GF90" s="294"/>
      <c r="GG90" s="295"/>
      <c r="GH90" s="67"/>
      <c r="GJ90" s="296"/>
      <c r="GK90" s="297"/>
      <c r="GL90" s="298"/>
      <c r="GM90" s="293"/>
      <c r="GN90" s="294"/>
      <c r="GO90" s="294"/>
      <c r="GP90" s="295"/>
      <c r="GQ90" s="67"/>
      <c r="GS90" s="303"/>
      <c r="GT90" s="304"/>
      <c r="GU90" s="305"/>
      <c r="GV90" s="293"/>
      <c r="GW90" s="294"/>
      <c r="GX90" s="294"/>
      <c r="GY90" s="295"/>
      <c r="GZ90" s="67"/>
      <c r="HB90" s="296"/>
      <c r="HC90" s="297"/>
      <c r="HD90" s="298"/>
      <c r="HE90" s="293"/>
      <c r="HF90" s="294"/>
      <c r="HG90" s="294"/>
      <c r="HH90" s="295"/>
      <c r="HI90" s="67"/>
      <c r="HK90" s="290"/>
      <c r="HL90" s="291"/>
      <c r="HM90" s="383" t="str">
        <f t="shared" si="85"/>
        <v/>
      </c>
      <c r="HN90" s="293"/>
      <c r="HO90" s="294"/>
      <c r="HP90" s="294"/>
      <c r="HQ90" s="295"/>
      <c r="HR90" s="333" t="str">
        <f>IF(HM90="","",'Name List'!$I$4)</f>
        <v/>
      </c>
      <c r="HT90" s="303"/>
      <c r="HU90" s="304"/>
      <c r="HV90" s="305"/>
      <c r="HW90" s="293"/>
      <c r="HX90" s="294"/>
      <c r="HY90" s="294"/>
      <c r="HZ90" s="295"/>
      <c r="IA90" s="67"/>
      <c r="IC90" s="300"/>
      <c r="ID90" s="301"/>
      <c r="IE90" s="302"/>
      <c r="IF90" s="293"/>
      <c r="IG90" s="294"/>
      <c r="IH90" s="294"/>
      <c r="II90" s="295"/>
      <c r="IJ90" s="67"/>
      <c r="IL90" s="296"/>
      <c r="IM90" s="297"/>
      <c r="IN90" s="298"/>
      <c r="IO90" s="293"/>
      <c r="IP90" s="294"/>
      <c r="IQ90" s="294"/>
      <c r="IR90" s="295"/>
      <c r="IS90" s="67"/>
      <c r="IU90" s="296"/>
      <c r="IV90" s="297"/>
      <c r="IW90" s="298"/>
      <c r="IX90" s="293"/>
      <c r="IY90" s="294"/>
      <c r="IZ90" s="294"/>
      <c r="JA90" s="295"/>
      <c r="JB90" s="67"/>
      <c r="JD90" s="296"/>
      <c r="JE90" s="297"/>
      <c r="JF90" s="298"/>
      <c r="JG90" s="293"/>
      <c r="JH90" s="294"/>
      <c r="JI90" s="294"/>
      <c r="JJ90" s="295"/>
      <c r="JK90" s="67"/>
      <c r="JM90" s="296"/>
      <c r="JN90" s="297"/>
      <c r="JO90" s="275"/>
      <c r="JP90" s="293"/>
      <c r="JQ90" s="294"/>
      <c r="JR90" s="294"/>
      <c r="JS90" s="295"/>
      <c r="JT90" s="67"/>
      <c r="JV90" s="296"/>
      <c r="JW90" s="297"/>
      <c r="JX90" s="100"/>
      <c r="JY90" s="293"/>
      <c r="JZ90" s="294"/>
      <c r="KA90" s="294"/>
      <c r="KB90" s="295"/>
      <c r="KC90" s="67"/>
      <c r="KE90" s="296"/>
      <c r="KF90" s="297"/>
      <c r="KG90" s="298"/>
      <c r="KH90" s="293"/>
      <c r="KI90" s="294"/>
      <c r="KJ90" s="294"/>
      <c r="KK90" s="295"/>
      <c r="KL90" s="67"/>
      <c r="KN90" s="303"/>
      <c r="KO90" s="304"/>
      <c r="KP90" s="305"/>
      <c r="KQ90" s="293"/>
      <c r="KR90" s="294"/>
      <c r="KS90" s="294"/>
      <c r="KT90" s="295"/>
      <c r="KU90" s="67"/>
      <c r="KW90" s="296"/>
      <c r="KX90" s="297"/>
      <c r="KY90" s="298"/>
      <c r="KZ90" s="293"/>
      <c r="LA90" s="294"/>
      <c r="LB90" s="294"/>
      <c r="LC90" s="295"/>
      <c r="LD90" s="67"/>
      <c r="LF90" s="290"/>
      <c r="LG90" s="291"/>
      <c r="LH90" s="292"/>
      <c r="LI90" s="293"/>
      <c r="LJ90" s="294"/>
      <c r="LK90" s="294"/>
      <c r="LL90" s="295"/>
      <c r="LM90" s="67"/>
      <c r="LO90" s="296"/>
      <c r="LP90" s="297"/>
      <c r="LQ90" s="329"/>
      <c r="LR90" s="293"/>
      <c r="LS90" s="294"/>
      <c r="LT90" s="294"/>
      <c r="LU90" s="295"/>
      <c r="LV90" s="67"/>
      <c r="LX90" s="296"/>
      <c r="LY90" s="297"/>
      <c r="LZ90" s="298"/>
      <c r="MA90" s="293"/>
      <c r="MB90" s="294"/>
      <c r="MC90" s="294"/>
      <c r="MD90" s="295"/>
      <c r="ME90" s="67"/>
      <c r="MG90" s="296"/>
      <c r="MH90" s="297"/>
      <c r="MI90" s="298"/>
      <c r="MJ90" s="293"/>
      <c r="MK90" s="294"/>
      <c r="ML90" s="294"/>
      <c r="MM90" s="295"/>
      <c r="MN90" s="67"/>
      <c r="MP90" s="296"/>
      <c r="MQ90" s="297"/>
      <c r="MR90" s="298"/>
      <c r="MS90" s="293"/>
      <c r="MT90" s="294"/>
      <c r="MU90" s="294"/>
      <c r="MV90" s="295"/>
      <c r="MW90" s="67"/>
      <c r="MY90" s="296"/>
      <c r="MZ90" s="297"/>
      <c r="NA90" s="298"/>
      <c r="NB90" s="293"/>
      <c r="NC90" s="294"/>
      <c r="ND90" s="294"/>
      <c r="NE90" s="295"/>
      <c r="NF90" s="67"/>
      <c r="NH90" s="296"/>
      <c r="NI90" s="297"/>
      <c r="NJ90" s="329"/>
      <c r="NK90" s="293"/>
      <c r="NL90" s="294"/>
      <c r="NM90" s="294"/>
      <c r="NN90" s="295"/>
      <c r="NO90" s="67"/>
      <c r="NQ90" s="296"/>
      <c r="NR90" s="297"/>
      <c r="NS90" s="298"/>
      <c r="NT90" s="293"/>
      <c r="NU90" s="294"/>
      <c r="NV90" s="294"/>
      <c r="NW90" s="295"/>
      <c r="NX90" s="67"/>
      <c r="NZ90" s="290"/>
      <c r="OA90" s="291"/>
      <c r="OB90" s="292"/>
      <c r="OC90" s="293"/>
      <c r="OD90" s="294"/>
      <c r="OE90" s="294"/>
      <c r="OF90" s="295"/>
      <c r="OG90" s="67"/>
      <c r="OI90" s="296"/>
      <c r="OJ90" s="297"/>
      <c r="OK90" s="329"/>
      <c r="OL90" s="293"/>
      <c r="OM90" s="294"/>
      <c r="ON90" s="294"/>
      <c r="OO90" s="295"/>
      <c r="OP90" s="67"/>
      <c r="OR90" s="290"/>
      <c r="OS90" s="291"/>
      <c r="OT90" s="73"/>
      <c r="OU90" s="293"/>
      <c r="OV90" s="294"/>
      <c r="OW90" s="294"/>
      <c r="OX90" s="295"/>
      <c r="OY90" s="67"/>
      <c r="PA90" s="296"/>
      <c r="PB90" s="297"/>
      <c r="PC90" s="100"/>
      <c r="PD90" s="293"/>
      <c r="PE90" s="294"/>
      <c r="PF90" s="294"/>
      <c r="PG90" s="295"/>
      <c r="PH90" s="67"/>
      <c r="PJ90" s="303"/>
      <c r="PK90" s="304"/>
      <c r="PL90" s="305"/>
      <c r="PM90" s="293"/>
      <c r="PN90" s="294"/>
      <c r="PO90" s="294"/>
      <c r="PP90" s="295"/>
      <c r="PQ90" s="67"/>
      <c r="PS90" s="406"/>
      <c r="PT90" s="407"/>
      <c r="PU90" s="408"/>
      <c r="PV90" s="334"/>
      <c r="PW90" s="335"/>
      <c r="PX90" s="335"/>
      <c r="PY90" s="336"/>
      <c r="PZ90" s="333"/>
      <c r="QB90" s="290"/>
      <c r="QC90" s="291"/>
      <c r="QD90" s="292"/>
      <c r="QE90" s="293"/>
      <c r="QF90" s="294"/>
      <c r="QG90" s="294"/>
      <c r="QH90" s="295"/>
      <c r="QI90" s="67"/>
      <c r="QK90" s="306"/>
      <c r="QL90" s="307"/>
      <c r="QM90" s="308"/>
      <c r="QN90" s="293"/>
      <c r="QO90" s="294"/>
      <c r="QP90" s="294"/>
      <c r="QQ90" s="295"/>
      <c r="QR90" s="67"/>
      <c r="QS90" s="91"/>
      <c r="QT90" s="107">
        <f t="shared" si="87"/>
        <v>0</v>
      </c>
      <c r="QU90" s="130">
        <f t="shared" si="88"/>
        <v>0</v>
      </c>
      <c r="QV90" s="130">
        <f t="shared" si="89"/>
        <v>0</v>
      </c>
      <c r="QW90" s="108">
        <f t="shared" si="90"/>
        <v>0</v>
      </c>
      <c r="QY90" s="260">
        <f t="shared" si="91"/>
        <v>0</v>
      </c>
      <c r="RA90" s="141">
        <f t="shared" si="92"/>
        <v>0</v>
      </c>
      <c r="RB90" s="106">
        <f t="shared" si="93"/>
        <v>0</v>
      </c>
      <c r="RC90" s="106">
        <f t="shared" si="94"/>
        <v>0</v>
      </c>
      <c r="RD90" s="106">
        <f t="shared" si="95"/>
        <v>0</v>
      </c>
      <c r="RE90" s="106">
        <f t="shared" si="96"/>
        <v>0</v>
      </c>
      <c r="RF90" s="142">
        <f t="shared" si="97"/>
        <v>0</v>
      </c>
      <c r="RG90" s="106"/>
      <c r="RH90" s="139">
        <f t="shared" si="98"/>
        <v>0</v>
      </c>
      <c r="RI90" s="140">
        <f t="shared" si="99"/>
        <v>0</v>
      </c>
      <c r="RJ90" s="106"/>
      <c r="RK90" s="136">
        <f t="shared" si="100"/>
        <v>0</v>
      </c>
      <c r="RL90" s="106"/>
      <c r="RM90" s="137">
        <f t="shared" si="101"/>
        <v>0</v>
      </c>
      <c r="RN90" s="138">
        <f t="shared" si="102"/>
        <v>0</v>
      </c>
      <c r="RO90" s="106"/>
      <c r="RP90" s="259">
        <f t="shared" si="103"/>
        <v>0</v>
      </c>
    </row>
    <row r="91" spans="1:484" x14ac:dyDescent="0.2">
      <c r="A91" s="89">
        <f>'Name List'!B91</f>
        <v>17</v>
      </c>
      <c r="C91" s="296"/>
      <c r="D91" s="297"/>
      <c r="E91" s="329" t="str">
        <f t="shared" si="67"/>
        <v/>
      </c>
      <c r="F91" s="293"/>
      <c r="G91" s="294"/>
      <c r="H91" s="294"/>
      <c r="I91" s="295"/>
      <c r="J91" s="333" t="str">
        <f>IF(E91="","",'Name List'!$I$4)</f>
        <v/>
      </c>
      <c r="L91" s="296"/>
      <c r="M91" s="297"/>
      <c r="N91" s="298"/>
      <c r="O91" s="293"/>
      <c r="P91" s="294"/>
      <c r="Q91" s="294"/>
      <c r="R91" s="295"/>
      <c r="S91" s="67"/>
      <c r="U91" s="290"/>
      <c r="V91" s="291"/>
      <c r="W91" s="396" t="str">
        <f t="shared" si="68"/>
        <v/>
      </c>
      <c r="X91" s="293"/>
      <c r="Y91" s="294"/>
      <c r="Z91" s="294"/>
      <c r="AA91" s="295"/>
      <c r="AB91" s="333" t="str">
        <f>IF(W91="","",'Name List'!$I$4)</f>
        <v/>
      </c>
      <c r="AD91" s="296"/>
      <c r="AE91" s="297"/>
      <c r="AF91" s="329" t="str">
        <f t="shared" si="69"/>
        <v/>
      </c>
      <c r="AG91" s="293"/>
      <c r="AH91" s="294"/>
      <c r="AI91" s="294"/>
      <c r="AJ91" s="295"/>
      <c r="AK91" s="333" t="str">
        <f>IF(AF91="","",'Name List'!$I$4)</f>
        <v/>
      </c>
      <c r="AM91" s="296"/>
      <c r="AN91" s="297"/>
      <c r="AO91" s="329" t="str">
        <f t="shared" si="70"/>
        <v/>
      </c>
      <c r="AP91" s="293"/>
      <c r="AQ91" s="294"/>
      <c r="AR91" s="294"/>
      <c r="AS91" s="295"/>
      <c r="AT91" s="333" t="str">
        <f>IF(AO91="","",'Name List'!$I$4)</f>
        <v/>
      </c>
      <c r="AV91" s="459"/>
      <c r="AW91" s="402"/>
      <c r="AX91" s="400" t="str">
        <f t="shared" si="71"/>
        <v/>
      </c>
      <c r="AY91" s="293"/>
      <c r="AZ91" s="294"/>
      <c r="BA91" s="294"/>
      <c r="BB91" s="295"/>
      <c r="BC91" s="457" t="str">
        <f>IF(AX91="","",'Name List'!$I$4)</f>
        <v/>
      </c>
      <c r="BE91" s="290"/>
      <c r="BF91" s="291"/>
      <c r="BG91" s="383" t="str">
        <f t="shared" si="72"/>
        <v/>
      </c>
      <c r="BH91" s="293"/>
      <c r="BI91" s="294"/>
      <c r="BJ91" s="294"/>
      <c r="BK91" s="295"/>
      <c r="BL91" s="67"/>
      <c r="BN91" s="296"/>
      <c r="BO91" s="297"/>
      <c r="BP91" s="298"/>
      <c r="BQ91" s="293"/>
      <c r="BR91" s="294"/>
      <c r="BS91" s="294"/>
      <c r="BT91" s="295"/>
      <c r="BU91" s="67"/>
      <c r="BW91" s="296"/>
      <c r="BX91" s="297"/>
      <c r="BY91" s="329" t="str">
        <f t="shared" si="73"/>
        <v/>
      </c>
      <c r="BZ91" s="293"/>
      <c r="CA91" s="294"/>
      <c r="CB91" s="294"/>
      <c r="CC91" s="295"/>
      <c r="CD91" s="333" t="str">
        <f>IF(BY91="","",'Name List'!$I$4)</f>
        <v/>
      </c>
      <c r="CF91" s="68"/>
      <c r="CG91" s="69"/>
      <c r="CH91" s="282" t="str">
        <f t="shared" si="86"/>
        <v/>
      </c>
      <c r="CI91" s="293"/>
      <c r="CJ91" s="294"/>
      <c r="CK91" s="294"/>
      <c r="CL91" s="295"/>
      <c r="CM91" s="67"/>
      <c r="CO91" s="290"/>
      <c r="CP91" s="291"/>
      <c r="CQ91" s="383" t="str">
        <f t="shared" si="74"/>
        <v/>
      </c>
      <c r="CR91" s="293"/>
      <c r="CS91" s="294"/>
      <c r="CT91" s="294"/>
      <c r="CU91" s="295"/>
      <c r="CV91" s="333" t="str">
        <f>IF(CQ91="","",'Name List'!$I$4)</f>
        <v/>
      </c>
      <c r="CX91" s="296"/>
      <c r="CY91" s="297"/>
      <c r="CZ91" s="329" t="str">
        <f t="shared" si="75"/>
        <v/>
      </c>
      <c r="DA91" s="293"/>
      <c r="DB91" s="294"/>
      <c r="DC91" s="294"/>
      <c r="DD91" s="295"/>
      <c r="DE91" s="333" t="str">
        <f>IF(CZ91="","",'Name List'!$I$4)</f>
        <v/>
      </c>
      <c r="DG91" s="296"/>
      <c r="DH91" s="297"/>
      <c r="DI91" s="298"/>
      <c r="DJ91" s="293"/>
      <c r="DK91" s="294"/>
      <c r="DL91" s="294"/>
      <c r="DM91" s="295"/>
      <c r="DN91" s="67"/>
      <c r="DP91" s="296"/>
      <c r="DQ91" s="297"/>
      <c r="DR91" s="329" t="str">
        <f t="shared" si="77"/>
        <v/>
      </c>
      <c r="DS91" s="293"/>
      <c r="DT91" s="294"/>
      <c r="DU91" s="294"/>
      <c r="DV91" s="295"/>
      <c r="DW91" s="67"/>
      <c r="DY91" s="296"/>
      <c r="DZ91" s="297"/>
      <c r="EA91" s="329" t="str">
        <f t="shared" si="78"/>
        <v/>
      </c>
      <c r="EB91" s="293"/>
      <c r="EC91" s="294"/>
      <c r="ED91" s="294"/>
      <c r="EE91" s="295"/>
      <c r="EF91" s="67"/>
      <c r="EH91" s="296"/>
      <c r="EI91" s="297"/>
      <c r="EJ91" s="329" t="str">
        <f t="shared" si="79"/>
        <v/>
      </c>
      <c r="EK91" s="293"/>
      <c r="EL91" s="294"/>
      <c r="EM91" s="294"/>
      <c r="EN91" s="295"/>
      <c r="EO91" s="333" t="str">
        <f>IF(EJ91="","",'Name List'!$I$4)</f>
        <v/>
      </c>
      <c r="EQ91" s="300"/>
      <c r="ER91" s="301"/>
      <c r="ES91" s="390"/>
      <c r="ET91" s="293"/>
      <c r="EU91" s="294"/>
      <c r="EV91" s="294"/>
      <c r="EW91" s="295"/>
      <c r="EX91" s="67"/>
      <c r="EZ91" s="303"/>
      <c r="FA91" s="304"/>
      <c r="FB91" s="305"/>
      <c r="FC91" s="293"/>
      <c r="FD91" s="294"/>
      <c r="FE91" s="294"/>
      <c r="FF91" s="295"/>
      <c r="FG91" s="67"/>
      <c r="FI91" s="296"/>
      <c r="FJ91" s="297"/>
      <c r="FK91" s="298"/>
      <c r="FL91" s="293"/>
      <c r="FM91" s="294"/>
      <c r="FN91" s="294"/>
      <c r="FO91" s="295"/>
      <c r="FP91" s="67"/>
      <c r="FR91" s="296"/>
      <c r="FS91" s="297"/>
      <c r="FT91" s="298"/>
      <c r="FU91" s="293"/>
      <c r="FV91" s="294"/>
      <c r="FW91" s="294"/>
      <c r="FX91" s="295"/>
      <c r="FY91" s="67"/>
      <c r="GA91" s="296"/>
      <c r="GB91" s="297"/>
      <c r="GC91" s="298"/>
      <c r="GD91" s="293"/>
      <c r="GE91" s="294"/>
      <c r="GF91" s="294"/>
      <c r="GG91" s="295"/>
      <c r="GH91" s="67"/>
      <c r="GJ91" s="296"/>
      <c r="GK91" s="297"/>
      <c r="GL91" s="298"/>
      <c r="GM91" s="293"/>
      <c r="GN91" s="294"/>
      <c r="GO91" s="294"/>
      <c r="GP91" s="295"/>
      <c r="GQ91" s="67"/>
      <c r="GS91" s="303"/>
      <c r="GT91" s="304"/>
      <c r="GU91" s="305"/>
      <c r="GV91" s="293"/>
      <c r="GW91" s="294"/>
      <c r="GX91" s="294"/>
      <c r="GY91" s="295"/>
      <c r="GZ91" s="67"/>
      <c r="HB91" s="296"/>
      <c r="HC91" s="297"/>
      <c r="HD91" s="298"/>
      <c r="HE91" s="293"/>
      <c r="HF91" s="294"/>
      <c r="HG91" s="294"/>
      <c r="HH91" s="295"/>
      <c r="HI91" s="67"/>
      <c r="HK91" s="290"/>
      <c r="HL91" s="291"/>
      <c r="HM91" s="383" t="str">
        <f t="shared" si="85"/>
        <v/>
      </c>
      <c r="HN91" s="293"/>
      <c r="HO91" s="294"/>
      <c r="HP91" s="294"/>
      <c r="HQ91" s="295"/>
      <c r="HR91" s="333" t="str">
        <f>IF(HM91="","",'Name List'!$I$4)</f>
        <v/>
      </c>
      <c r="HT91" s="303"/>
      <c r="HU91" s="304"/>
      <c r="HV91" s="305"/>
      <c r="HW91" s="293"/>
      <c r="HX91" s="294"/>
      <c r="HY91" s="294"/>
      <c r="HZ91" s="295"/>
      <c r="IA91" s="67"/>
      <c r="IC91" s="300"/>
      <c r="ID91" s="301"/>
      <c r="IE91" s="302"/>
      <c r="IF91" s="293"/>
      <c r="IG91" s="294"/>
      <c r="IH91" s="294"/>
      <c r="II91" s="295"/>
      <c r="IJ91" s="67"/>
      <c r="IL91" s="296"/>
      <c r="IM91" s="297"/>
      <c r="IN91" s="298"/>
      <c r="IO91" s="293"/>
      <c r="IP91" s="294"/>
      <c r="IQ91" s="294"/>
      <c r="IR91" s="295"/>
      <c r="IS91" s="67"/>
      <c r="IU91" s="296"/>
      <c r="IV91" s="297"/>
      <c r="IW91" s="298"/>
      <c r="IX91" s="293"/>
      <c r="IY91" s="294"/>
      <c r="IZ91" s="294"/>
      <c r="JA91" s="295"/>
      <c r="JB91" s="67"/>
      <c r="JD91" s="296"/>
      <c r="JE91" s="297"/>
      <c r="JF91" s="298"/>
      <c r="JG91" s="293"/>
      <c r="JH91" s="294"/>
      <c r="JI91" s="294"/>
      <c r="JJ91" s="295"/>
      <c r="JK91" s="67"/>
      <c r="JM91" s="296"/>
      <c r="JN91" s="297"/>
      <c r="JO91" s="299"/>
      <c r="JP91" s="293"/>
      <c r="JQ91" s="294"/>
      <c r="JR91" s="294"/>
      <c r="JS91" s="295"/>
      <c r="JT91" s="67"/>
      <c r="JV91" s="296"/>
      <c r="JW91" s="297"/>
      <c r="JX91" s="100"/>
      <c r="JY91" s="293"/>
      <c r="JZ91" s="294"/>
      <c r="KA91" s="294"/>
      <c r="KB91" s="295"/>
      <c r="KC91" s="67"/>
      <c r="KE91" s="296"/>
      <c r="KF91" s="297"/>
      <c r="KG91" s="298"/>
      <c r="KH91" s="293"/>
      <c r="KI91" s="294"/>
      <c r="KJ91" s="294"/>
      <c r="KK91" s="295"/>
      <c r="KL91" s="67"/>
      <c r="KN91" s="303"/>
      <c r="KO91" s="304"/>
      <c r="KP91" s="305"/>
      <c r="KQ91" s="293"/>
      <c r="KR91" s="294"/>
      <c r="KS91" s="294"/>
      <c r="KT91" s="295"/>
      <c r="KU91" s="67"/>
      <c r="KW91" s="296"/>
      <c r="KX91" s="297"/>
      <c r="KY91" s="298"/>
      <c r="KZ91" s="293"/>
      <c r="LA91" s="294"/>
      <c r="LB91" s="294"/>
      <c r="LC91" s="295"/>
      <c r="LD91" s="67"/>
      <c r="LF91" s="290"/>
      <c r="LG91" s="291"/>
      <c r="LH91" s="292"/>
      <c r="LI91" s="293"/>
      <c r="LJ91" s="294"/>
      <c r="LK91" s="294"/>
      <c r="LL91" s="295"/>
      <c r="LM91" s="67"/>
      <c r="LO91" s="296"/>
      <c r="LP91" s="297"/>
      <c r="LQ91" s="329"/>
      <c r="LR91" s="293"/>
      <c r="LS91" s="294"/>
      <c r="LT91" s="294"/>
      <c r="LU91" s="295"/>
      <c r="LV91" s="67"/>
      <c r="LX91" s="296"/>
      <c r="LY91" s="297"/>
      <c r="LZ91" s="298"/>
      <c r="MA91" s="293"/>
      <c r="MB91" s="294"/>
      <c r="MC91" s="294"/>
      <c r="MD91" s="295"/>
      <c r="ME91" s="67"/>
      <c r="MG91" s="296"/>
      <c r="MH91" s="297"/>
      <c r="MI91" s="298"/>
      <c r="MJ91" s="293"/>
      <c r="MK91" s="294"/>
      <c r="ML91" s="294"/>
      <c r="MM91" s="295"/>
      <c r="MN91" s="67"/>
      <c r="MP91" s="296"/>
      <c r="MQ91" s="297"/>
      <c r="MR91" s="298"/>
      <c r="MS91" s="293"/>
      <c r="MT91" s="294"/>
      <c r="MU91" s="294"/>
      <c r="MV91" s="295"/>
      <c r="MW91" s="67"/>
      <c r="MY91" s="296"/>
      <c r="MZ91" s="297"/>
      <c r="NA91" s="298"/>
      <c r="NB91" s="293"/>
      <c r="NC91" s="294"/>
      <c r="ND91" s="294"/>
      <c r="NE91" s="295"/>
      <c r="NF91" s="67"/>
      <c r="NH91" s="296"/>
      <c r="NI91" s="297"/>
      <c r="NJ91" s="329"/>
      <c r="NK91" s="293"/>
      <c r="NL91" s="294"/>
      <c r="NM91" s="294"/>
      <c r="NN91" s="295"/>
      <c r="NO91" s="67"/>
      <c r="NQ91" s="296"/>
      <c r="NR91" s="297"/>
      <c r="NS91" s="298"/>
      <c r="NT91" s="293"/>
      <c r="NU91" s="294"/>
      <c r="NV91" s="294"/>
      <c r="NW91" s="295"/>
      <c r="NX91" s="67"/>
      <c r="NZ91" s="290"/>
      <c r="OA91" s="291"/>
      <c r="OB91" s="292"/>
      <c r="OC91" s="293"/>
      <c r="OD91" s="294"/>
      <c r="OE91" s="294"/>
      <c r="OF91" s="295"/>
      <c r="OG91" s="67"/>
      <c r="OI91" s="296"/>
      <c r="OJ91" s="297"/>
      <c r="OK91" s="329"/>
      <c r="OL91" s="293"/>
      <c r="OM91" s="294"/>
      <c r="ON91" s="294"/>
      <c r="OO91" s="295"/>
      <c r="OP91" s="67"/>
      <c r="OR91" s="290"/>
      <c r="OS91" s="291"/>
      <c r="OT91" s="73"/>
      <c r="OU91" s="293"/>
      <c r="OV91" s="294"/>
      <c r="OW91" s="294"/>
      <c r="OX91" s="295"/>
      <c r="OY91" s="67"/>
      <c r="PA91" s="296"/>
      <c r="PB91" s="297"/>
      <c r="PC91" s="100"/>
      <c r="PD91" s="293"/>
      <c r="PE91" s="294"/>
      <c r="PF91" s="294"/>
      <c r="PG91" s="295"/>
      <c r="PH91" s="67"/>
      <c r="PJ91" s="303"/>
      <c r="PK91" s="304"/>
      <c r="PL91" s="305"/>
      <c r="PM91" s="293"/>
      <c r="PN91" s="294"/>
      <c r="PO91" s="294"/>
      <c r="PP91" s="295"/>
      <c r="PQ91" s="67"/>
      <c r="PS91" s="406"/>
      <c r="PT91" s="407"/>
      <c r="PU91" s="408"/>
      <c r="PV91" s="334"/>
      <c r="PW91" s="335"/>
      <c r="PX91" s="335"/>
      <c r="PY91" s="336"/>
      <c r="PZ91" s="333"/>
      <c r="QB91" s="290"/>
      <c r="QC91" s="291"/>
      <c r="QD91" s="292"/>
      <c r="QE91" s="293"/>
      <c r="QF91" s="294"/>
      <c r="QG91" s="294"/>
      <c r="QH91" s="295"/>
      <c r="QI91" s="67"/>
      <c r="QK91" s="306"/>
      <c r="QL91" s="307"/>
      <c r="QM91" s="308"/>
      <c r="QN91" s="293"/>
      <c r="QO91" s="294"/>
      <c r="QP91" s="294"/>
      <c r="QQ91" s="295"/>
      <c r="QR91" s="67"/>
      <c r="QS91" s="91"/>
      <c r="QT91" s="107">
        <f t="shared" si="87"/>
        <v>0</v>
      </c>
      <c r="QU91" s="130">
        <f t="shared" si="88"/>
        <v>0</v>
      </c>
      <c r="QV91" s="130">
        <f t="shared" si="89"/>
        <v>0</v>
      </c>
      <c r="QW91" s="108">
        <f t="shared" si="90"/>
        <v>0</v>
      </c>
      <c r="QY91" s="260">
        <f t="shared" si="91"/>
        <v>0</v>
      </c>
      <c r="RA91" s="141">
        <f t="shared" si="92"/>
        <v>0</v>
      </c>
      <c r="RB91" s="106">
        <f t="shared" si="93"/>
        <v>0</v>
      </c>
      <c r="RC91" s="106">
        <f t="shared" si="94"/>
        <v>0</v>
      </c>
      <c r="RD91" s="106">
        <f t="shared" si="95"/>
        <v>0</v>
      </c>
      <c r="RE91" s="106">
        <f t="shared" si="96"/>
        <v>0</v>
      </c>
      <c r="RF91" s="142">
        <f t="shared" si="97"/>
        <v>0</v>
      </c>
      <c r="RG91" s="106"/>
      <c r="RH91" s="139">
        <f t="shared" si="98"/>
        <v>0</v>
      </c>
      <c r="RI91" s="140">
        <f t="shared" si="99"/>
        <v>0</v>
      </c>
      <c r="RJ91" s="106"/>
      <c r="RK91" s="136">
        <f t="shared" si="100"/>
        <v>0</v>
      </c>
      <c r="RL91" s="106"/>
      <c r="RM91" s="137">
        <f t="shared" si="101"/>
        <v>0</v>
      </c>
      <c r="RN91" s="138">
        <f t="shared" si="102"/>
        <v>0</v>
      </c>
      <c r="RO91" s="106"/>
      <c r="RP91" s="259">
        <f t="shared" si="103"/>
        <v>0</v>
      </c>
    </row>
    <row r="92" spans="1:484" x14ac:dyDescent="0.2">
      <c r="A92" s="89">
        <f>'Name List'!B92</f>
        <v>18</v>
      </c>
      <c r="C92" s="296"/>
      <c r="D92" s="297"/>
      <c r="E92" s="329" t="str">
        <f t="shared" si="67"/>
        <v/>
      </c>
      <c r="F92" s="293"/>
      <c r="G92" s="294"/>
      <c r="H92" s="294"/>
      <c r="I92" s="295"/>
      <c r="J92" s="333" t="str">
        <f>IF(E92="","",'Name List'!$I$4)</f>
        <v/>
      </c>
      <c r="L92" s="296"/>
      <c r="M92" s="297"/>
      <c r="N92" s="298"/>
      <c r="O92" s="293"/>
      <c r="P92" s="294"/>
      <c r="Q92" s="294"/>
      <c r="R92" s="295"/>
      <c r="S92" s="67"/>
      <c r="U92" s="290"/>
      <c r="V92" s="291"/>
      <c r="W92" s="396" t="str">
        <f t="shared" si="68"/>
        <v/>
      </c>
      <c r="X92" s="293"/>
      <c r="Y92" s="294"/>
      <c r="Z92" s="294"/>
      <c r="AA92" s="295"/>
      <c r="AB92" s="333" t="str">
        <f>IF(W92="","",'Name List'!$I$4)</f>
        <v/>
      </c>
      <c r="AD92" s="296"/>
      <c r="AE92" s="297"/>
      <c r="AF92" s="329" t="str">
        <f t="shared" si="69"/>
        <v/>
      </c>
      <c r="AG92" s="293"/>
      <c r="AH92" s="294"/>
      <c r="AI92" s="294"/>
      <c r="AJ92" s="295"/>
      <c r="AK92" s="333" t="str">
        <f>IF(AF92="","",'Name List'!$I$4)</f>
        <v/>
      </c>
      <c r="AM92" s="296"/>
      <c r="AN92" s="297"/>
      <c r="AO92" s="329" t="str">
        <f t="shared" si="70"/>
        <v/>
      </c>
      <c r="AP92" s="293"/>
      <c r="AQ92" s="294"/>
      <c r="AR92" s="294"/>
      <c r="AS92" s="295"/>
      <c r="AT92" s="333" t="str">
        <f>IF(AO92="","",'Name List'!$I$4)</f>
        <v/>
      </c>
      <c r="AV92" s="459"/>
      <c r="AW92" s="402"/>
      <c r="AX92" s="400" t="str">
        <f t="shared" si="71"/>
        <v/>
      </c>
      <c r="AY92" s="293"/>
      <c r="AZ92" s="294"/>
      <c r="BA92" s="294"/>
      <c r="BB92" s="295"/>
      <c r="BC92" s="457" t="str">
        <f>IF(AX92="","",'Name List'!$I$4)</f>
        <v/>
      </c>
      <c r="BE92" s="290"/>
      <c r="BF92" s="291"/>
      <c r="BG92" s="383" t="str">
        <f t="shared" si="72"/>
        <v/>
      </c>
      <c r="BH92" s="293"/>
      <c r="BI92" s="294"/>
      <c r="BJ92" s="294"/>
      <c r="BK92" s="295"/>
      <c r="BL92" s="67"/>
      <c r="BN92" s="296"/>
      <c r="BO92" s="297"/>
      <c r="BP92" s="298"/>
      <c r="BQ92" s="293"/>
      <c r="BR92" s="294"/>
      <c r="BS92" s="294"/>
      <c r="BT92" s="295"/>
      <c r="BU92" s="67"/>
      <c r="BW92" s="296"/>
      <c r="BX92" s="297"/>
      <c r="BY92" s="329" t="str">
        <f t="shared" si="73"/>
        <v/>
      </c>
      <c r="BZ92" s="293"/>
      <c r="CA92" s="294"/>
      <c r="CB92" s="294"/>
      <c r="CC92" s="295"/>
      <c r="CD92" s="333" t="str">
        <f>IF(BY92="","",'Name List'!$I$4)</f>
        <v/>
      </c>
      <c r="CF92" s="68"/>
      <c r="CG92" s="69"/>
      <c r="CH92" s="282" t="str">
        <f t="shared" si="86"/>
        <v/>
      </c>
      <c r="CI92" s="293"/>
      <c r="CJ92" s="294"/>
      <c r="CK92" s="294"/>
      <c r="CL92" s="295"/>
      <c r="CM92" s="67"/>
      <c r="CO92" s="290"/>
      <c r="CP92" s="291"/>
      <c r="CQ92" s="383" t="str">
        <f t="shared" si="74"/>
        <v/>
      </c>
      <c r="CR92" s="293"/>
      <c r="CS92" s="294"/>
      <c r="CT92" s="294"/>
      <c r="CU92" s="295"/>
      <c r="CV92" s="333" t="str">
        <f>IF(CQ92="","",'Name List'!$I$4)</f>
        <v/>
      </c>
      <c r="CX92" s="296"/>
      <c r="CY92" s="297"/>
      <c r="CZ92" s="329" t="str">
        <f t="shared" si="75"/>
        <v/>
      </c>
      <c r="DA92" s="293"/>
      <c r="DB92" s="294"/>
      <c r="DC92" s="294"/>
      <c r="DD92" s="295"/>
      <c r="DE92" s="333" t="str">
        <f>IF(CZ92="","",'Name List'!$I$4)</f>
        <v/>
      </c>
      <c r="DG92" s="296"/>
      <c r="DH92" s="297"/>
      <c r="DI92" s="298"/>
      <c r="DJ92" s="293"/>
      <c r="DK92" s="294"/>
      <c r="DL92" s="294"/>
      <c r="DM92" s="295"/>
      <c r="DN92" s="67"/>
      <c r="DP92" s="296"/>
      <c r="DQ92" s="297"/>
      <c r="DR92" s="329" t="str">
        <f t="shared" si="77"/>
        <v/>
      </c>
      <c r="DS92" s="293"/>
      <c r="DT92" s="294"/>
      <c r="DU92" s="294"/>
      <c r="DV92" s="295"/>
      <c r="DW92" s="67"/>
      <c r="DY92" s="296"/>
      <c r="DZ92" s="297"/>
      <c r="EA92" s="329" t="str">
        <f t="shared" si="78"/>
        <v/>
      </c>
      <c r="EB92" s="293"/>
      <c r="EC92" s="294"/>
      <c r="ED92" s="294"/>
      <c r="EE92" s="295"/>
      <c r="EF92" s="67"/>
      <c r="EH92" s="296"/>
      <c r="EI92" s="297"/>
      <c r="EJ92" s="329" t="str">
        <f t="shared" si="79"/>
        <v/>
      </c>
      <c r="EK92" s="293"/>
      <c r="EL92" s="294"/>
      <c r="EM92" s="294"/>
      <c r="EN92" s="295"/>
      <c r="EO92" s="67"/>
      <c r="EQ92" s="300"/>
      <c r="ER92" s="301"/>
      <c r="ES92" s="390"/>
      <c r="ET92" s="293"/>
      <c r="EU92" s="294"/>
      <c r="EV92" s="294"/>
      <c r="EW92" s="295"/>
      <c r="EX92" s="67"/>
      <c r="EZ92" s="303"/>
      <c r="FA92" s="304"/>
      <c r="FB92" s="305"/>
      <c r="FC92" s="293"/>
      <c r="FD92" s="294"/>
      <c r="FE92" s="294"/>
      <c r="FF92" s="295"/>
      <c r="FG92" s="67"/>
      <c r="FI92" s="296"/>
      <c r="FJ92" s="297"/>
      <c r="FK92" s="298"/>
      <c r="FL92" s="293"/>
      <c r="FM92" s="294"/>
      <c r="FN92" s="294"/>
      <c r="FO92" s="295"/>
      <c r="FP92" s="67"/>
      <c r="FR92" s="296"/>
      <c r="FS92" s="297"/>
      <c r="FT92" s="298"/>
      <c r="FU92" s="293"/>
      <c r="FV92" s="294"/>
      <c r="FW92" s="294"/>
      <c r="FX92" s="295"/>
      <c r="FY92" s="67"/>
      <c r="GA92" s="296"/>
      <c r="GB92" s="297"/>
      <c r="GC92" s="298"/>
      <c r="GD92" s="293"/>
      <c r="GE92" s="294"/>
      <c r="GF92" s="294"/>
      <c r="GG92" s="295"/>
      <c r="GH92" s="67"/>
      <c r="GJ92" s="296"/>
      <c r="GK92" s="297"/>
      <c r="GL92" s="298"/>
      <c r="GM92" s="293"/>
      <c r="GN92" s="294"/>
      <c r="GO92" s="294"/>
      <c r="GP92" s="295"/>
      <c r="GQ92" s="67"/>
      <c r="GS92" s="303"/>
      <c r="GT92" s="304"/>
      <c r="GU92" s="305"/>
      <c r="GV92" s="293"/>
      <c r="GW92" s="294"/>
      <c r="GX92" s="294"/>
      <c r="GY92" s="295"/>
      <c r="GZ92" s="67"/>
      <c r="HB92" s="296"/>
      <c r="HC92" s="297"/>
      <c r="HD92" s="298"/>
      <c r="HE92" s="293"/>
      <c r="HF92" s="294"/>
      <c r="HG92" s="294"/>
      <c r="HH92" s="295"/>
      <c r="HI92" s="67"/>
      <c r="HK92" s="290"/>
      <c r="HL92" s="291"/>
      <c r="HM92" s="383" t="str">
        <f t="shared" si="85"/>
        <v/>
      </c>
      <c r="HN92" s="293"/>
      <c r="HO92" s="294"/>
      <c r="HP92" s="294"/>
      <c r="HQ92" s="295"/>
      <c r="HR92" s="333" t="str">
        <f>IF(HM92="","",'Name List'!$I$4)</f>
        <v/>
      </c>
      <c r="HT92" s="303"/>
      <c r="HU92" s="304"/>
      <c r="HV92" s="305"/>
      <c r="HW92" s="293"/>
      <c r="HX92" s="294"/>
      <c r="HY92" s="294"/>
      <c r="HZ92" s="295"/>
      <c r="IA92" s="67"/>
      <c r="IC92" s="300"/>
      <c r="ID92" s="301"/>
      <c r="IE92" s="302"/>
      <c r="IF92" s="293"/>
      <c r="IG92" s="294"/>
      <c r="IH92" s="294"/>
      <c r="II92" s="295"/>
      <c r="IJ92" s="67"/>
      <c r="IL92" s="296"/>
      <c r="IM92" s="297"/>
      <c r="IN92" s="298"/>
      <c r="IO92" s="293"/>
      <c r="IP92" s="294"/>
      <c r="IQ92" s="294"/>
      <c r="IR92" s="295"/>
      <c r="IS92" s="67"/>
      <c r="IU92" s="296"/>
      <c r="IV92" s="297"/>
      <c r="IW92" s="298"/>
      <c r="IX92" s="293"/>
      <c r="IY92" s="294"/>
      <c r="IZ92" s="294"/>
      <c r="JA92" s="295"/>
      <c r="JB92" s="67"/>
      <c r="JD92" s="296"/>
      <c r="JE92" s="297"/>
      <c r="JF92" s="298"/>
      <c r="JG92" s="293"/>
      <c r="JH92" s="294"/>
      <c r="JI92" s="294"/>
      <c r="JJ92" s="295"/>
      <c r="JK92" s="67"/>
      <c r="JM92" s="296"/>
      <c r="JN92" s="297"/>
      <c r="JO92" s="299"/>
      <c r="JP92" s="293"/>
      <c r="JQ92" s="294"/>
      <c r="JR92" s="294"/>
      <c r="JS92" s="295"/>
      <c r="JT92" s="67"/>
      <c r="JV92" s="296"/>
      <c r="JW92" s="297"/>
      <c r="JX92" s="298"/>
      <c r="JY92" s="293"/>
      <c r="JZ92" s="294"/>
      <c r="KA92" s="294"/>
      <c r="KB92" s="295"/>
      <c r="KC92" s="67"/>
      <c r="KE92" s="296"/>
      <c r="KF92" s="297"/>
      <c r="KG92" s="298"/>
      <c r="KH92" s="293"/>
      <c r="KI92" s="294"/>
      <c r="KJ92" s="294"/>
      <c r="KK92" s="295"/>
      <c r="KL92" s="67"/>
      <c r="KN92" s="303"/>
      <c r="KO92" s="304"/>
      <c r="KP92" s="305"/>
      <c r="KQ92" s="293"/>
      <c r="KR92" s="294"/>
      <c r="KS92" s="294"/>
      <c r="KT92" s="295"/>
      <c r="KU92" s="67"/>
      <c r="KW92" s="296"/>
      <c r="KX92" s="297"/>
      <c r="KY92" s="298"/>
      <c r="KZ92" s="293"/>
      <c r="LA92" s="294"/>
      <c r="LB92" s="294"/>
      <c r="LC92" s="295"/>
      <c r="LD92" s="67"/>
      <c r="LF92" s="290"/>
      <c r="LG92" s="291"/>
      <c r="LH92" s="292"/>
      <c r="LI92" s="293"/>
      <c r="LJ92" s="294"/>
      <c r="LK92" s="294"/>
      <c r="LL92" s="295"/>
      <c r="LM92" s="67"/>
      <c r="LO92" s="296"/>
      <c r="LP92" s="297"/>
      <c r="LQ92" s="298"/>
      <c r="LR92" s="293"/>
      <c r="LS92" s="294"/>
      <c r="LT92" s="294"/>
      <c r="LU92" s="295"/>
      <c r="LV92" s="67"/>
      <c r="LX92" s="296"/>
      <c r="LY92" s="297"/>
      <c r="LZ92" s="298"/>
      <c r="MA92" s="293"/>
      <c r="MB92" s="294"/>
      <c r="MC92" s="294"/>
      <c r="MD92" s="295"/>
      <c r="ME92" s="67"/>
      <c r="MG92" s="296"/>
      <c r="MH92" s="297"/>
      <c r="MI92" s="298"/>
      <c r="MJ92" s="293"/>
      <c r="MK92" s="294"/>
      <c r="ML92" s="294"/>
      <c r="MM92" s="295"/>
      <c r="MN92" s="67"/>
      <c r="MP92" s="296"/>
      <c r="MQ92" s="297"/>
      <c r="MR92" s="298"/>
      <c r="MS92" s="293"/>
      <c r="MT92" s="294"/>
      <c r="MU92" s="294"/>
      <c r="MV92" s="295"/>
      <c r="MW92" s="67"/>
      <c r="MY92" s="296"/>
      <c r="MZ92" s="297"/>
      <c r="NA92" s="298"/>
      <c r="NB92" s="293"/>
      <c r="NC92" s="294"/>
      <c r="ND92" s="294"/>
      <c r="NE92" s="295"/>
      <c r="NF92" s="67"/>
      <c r="NH92" s="296"/>
      <c r="NI92" s="297"/>
      <c r="NJ92" s="298"/>
      <c r="NK92" s="293"/>
      <c r="NL92" s="294"/>
      <c r="NM92" s="294"/>
      <c r="NN92" s="295"/>
      <c r="NO92" s="67"/>
      <c r="NQ92" s="296"/>
      <c r="NR92" s="297"/>
      <c r="NS92" s="298"/>
      <c r="NT92" s="293"/>
      <c r="NU92" s="294"/>
      <c r="NV92" s="294"/>
      <c r="NW92" s="295"/>
      <c r="NX92" s="67"/>
      <c r="NZ92" s="290"/>
      <c r="OA92" s="291"/>
      <c r="OB92" s="292"/>
      <c r="OC92" s="293"/>
      <c r="OD92" s="294"/>
      <c r="OE92" s="294"/>
      <c r="OF92" s="295"/>
      <c r="OG92" s="67"/>
      <c r="OI92" s="296"/>
      <c r="OJ92" s="297"/>
      <c r="OK92" s="329"/>
      <c r="OL92" s="293"/>
      <c r="OM92" s="294"/>
      <c r="ON92" s="294"/>
      <c r="OO92" s="295"/>
      <c r="OP92" s="67"/>
      <c r="OR92" s="290"/>
      <c r="OS92" s="291"/>
      <c r="OT92" s="73"/>
      <c r="OU92" s="293"/>
      <c r="OV92" s="294"/>
      <c r="OW92" s="294"/>
      <c r="OX92" s="295"/>
      <c r="OY92" s="67"/>
      <c r="PA92" s="296"/>
      <c r="PB92" s="297"/>
      <c r="PC92" s="100"/>
      <c r="PD92" s="293"/>
      <c r="PE92" s="294"/>
      <c r="PF92" s="294"/>
      <c r="PG92" s="295"/>
      <c r="PH92" s="67"/>
      <c r="PJ92" s="303"/>
      <c r="PK92" s="304"/>
      <c r="PL92" s="305"/>
      <c r="PM92" s="293"/>
      <c r="PN92" s="294"/>
      <c r="PO92" s="294"/>
      <c r="PP92" s="295"/>
      <c r="PQ92" s="67"/>
      <c r="PS92" s="406"/>
      <c r="PT92" s="407"/>
      <c r="PU92" s="408"/>
      <c r="PV92" s="334"/>
      <c r="PW92" s="335"/>
      <c r="PX92" s="335"/>
      <c r="PY92" s="336"/>
      <c r="PZ92" s="333"/>
      <c r="QB92" s="290"/>
      <c r="QC92" s="291"/>
      <c r="QD92" s="292"/>
      <c r="QE92" s="293"/>
      <c r="QF92" s="294"/>
      <c r="QG92" s="294"/>
      <c r="QH92" s="295"/>
      <c r="QI92" s="67"/>
      <c r="QK92" s="306"/>
      <c r="QL92" s="307"/>
      <c r="QM92" s="308"/>
      <c r="QN92" s="293"/>
      <c r="QO92" s="294"/>
      <c r="QP92" s="294"/>
      <c r="QQ92" s="295"/>
      <c r="QR92" s="67"/>
      <c r="QS92" s="91"/>
      <c r="QT92" s="107">
        <f t="shared" si="87"/>
        <v>0</v>
      </c>
      <c r="QU92" s="130">
        <f t="shared" si="88"/>
        <v>0</v>
      </c>
      <c r="QV92" s="130">
        <f t="shared" si="89"/>
        <v>0</v>
      </c>
      <c r="QW92" s="108">
        <f t="shared" si="90"/>
        <v>0</v>
      </c>
      <c r="QY92" s="260">
        <f t="shared" si="91"/>
        <v>0</v>
      </c>
      <c r="RA92" s="141">
        <f t="shared" si="92"/>
        <v>0</v>
      </c>
      <c r="RB92" s="106">
        <f t="shared" si="93"/>
        <v>0</v>
      </c>
      <c r="RC92" s="106">
        <f t="shared" si="94"/>
        <v>0</v>
      </c>
      <c r="RD92" s="106">
        <f t="shared" si="95"/>
        <v>0</v>
      </c>
      <c r="RE92" s="106">
        <f t="shared" si="96"/>
        <v>0</v>
      </c>
      <c r="RF92" s="142">
        <f t="shared" si="97"/>
        <v>0</v>
      </c>
      <c r="RG92" s="106"/>
      <c r="RH92" s="139">
        <f t="shared" si="98"/>
        <v>0</v>
      </c>
      <c r="RI92" s="140">
        <f t="shared" si="99"/>
        <v>0</v>
      </c>
      <c r="RJ92" s="106"/>
      <c r="RK92" s="136">
        <f t="shared" si="100"/>
        <v>0</v>
      </c>
      <c r="RL92" s="106"/>
      <c r="RM92" s="137">
        <f t="shared" si="101"/>
        <v>0</v>
      </c>
      <c r="RN92" s="138">
        <f t="shared" si="102"/>
        <v>0</v>
      </c>
      <c r="RO92" s="106"/>
      <c r="RP92" s="259">
        <f t="shared" si="103"/>
        <v>0</v>
      </c>
    </row>
    <row r="93" spans="1:484" x14ac:dyDescent="0.2">
      <c r="A93" s="89">
        <f>'Name List'!B93</f>
        <v>19</v>
      </c>
      <c r="C93" s="296"/>
      <c r="D93" s="297"/>
      <c r="E93" s="329" t="str">
        <f t="shared" si="67"/>
        <v/>
      </c>
      <c r="F93" s="293"/>
      <c r="G93" s="294"/>
      <c r="H93" s="294"/>
      <c r="I93" s="295"/>
      <c r="J93" s="333" t="str">
        <f>IF(E93="","",'Name List'!$I$4)</f>
        <v/>
      </c>
      <c r="L93" s="296"/>
      <c r="M93" s="297"/>
      <c r="N93" s="298"/>
      <c r="O93" s="293"/>
      <c r="P93" s="294"/>
      <c r="Q93" s="294"/>
      <c r="R93" s="295"/>
      <c r="S93" s="67"/>
      <c r="U93" s="290"/>
      <c r="V93" s="291"/>
      <c r="W93" s="396" t="str">
        <f t="shared" si="68"/>
        <v/>
      </c>
      <c r="X93" s="293"/>
      <c r="Y93" s="294"/>
      <c r="Z93" s="294"/>
      <c r="AA93" s="295"/>
      <c r="AB93" s="333" t="str">
        <f>IF(W93="","",'Name List'!$I$4)</f>
        <v/>
      </c>
      <c r="AD93" s="296"/>
      <c r="AE93" s="297"/>
      <c r="AF93" s="329" t="str">
        <f t="shared" si="69"/>
        <v/>
      </c>
      <c r="AG93" s="293"/>
      <c r="AH93" s="294"/>
      <c r="AI93" s="294"/>
      <c r="AJ93" s="295"/>
      <c r="AK93" s="333" t="str">
        <f>IF(AF93="","",'Name List'!$I$4)</f>
        <v/>
      </c>
      <c r="AM93" s="296"/>
      <c r="AN93" s="297"/>
      <c r="AO93" s="329" t="str">
        <f t="shared" si="70"/>
        <v/>
      </c>
      <c r="AP93" s="293"/>
      <c r="AQ93" s="294"/>
      <c r="AR93" s="294"/>
      <c r="AS93" s="295"/>
      <c r="AT93" s="333" t="str">
        <f>IF(AO93="","",'Name List'!$I$4)</f>
        <v/>
      </c>
      <c r="AV93" s="459"/>
      <c r="AW93" s="402"/>
      <c r="AX93" s="400" t="str">
        <f t="shared" si="71"/>
        <v/>
      </c>
      <c r="AY93" s="293"/>
      <c r="AZ93" s="294"/>
      <c r="BA93" s="294"/>
      <c r="BB93" s="295"/>
      <c r="BC93" s="457" t="str">
        <f>IF(AX93="","",'Name List'!$I$4)</f>
        <v/>
      </c>
      <c r="BE93" s="290"/>
      <c r="BF93" s="291"/>
      <c r="BG93" s="383" t="str">
        <f t="shared" si="72"/>
        <v/>
      </c>
      <c r="BH93" s="293"/>
      <c r="BI93" s="294"/>
      <c r="BJ93" s="294"/>
      <c r="BK93" s="295"/>
      <c r="BL93" s="67"/>
      <c r="BN93" s="296"/>
      <c r="BO93" s="297"/>
      <c r="BP93" s="298"/>
      <c r="BQ93" s="293"/>
      <c r="BR93" s="294"/>
      <c r="BS93" s="294"/>
      <c r="BT93" s="295"/>
      <c r="BU93" s="67"/>
      <c r="BW93" s="296"/>
      <c r="BX93" s="297"/>
      <c r="BY93" s="329" t="str">
        <f t="shared" si="73"/>
        <v/>
      </c>
      <c r="BZ93" s="293"/>
      <c r="CA93" s="294"/>
      <c r="CB93" s="294"/>
      <c r="CC93" s="295"/>
      <c r="CD93" s="333" t="str">
        <f>IF(BY93="","",'Name List'!$I$4)</f>
        <v/>
      </c>
      <c r="CF93" s="68"/>
      <c r="CG93" s="69"/>
      <c r="CH93" s="282" t="str">
        <f t="shared" si="86"/>
        <v/>
      </c>
      <c r="CI93" s="293"/>
      <c r="CJ93" s="294"/>
      <c r="CK93" s="294"/>
      <c r="CL93" s="295"/>
      <c r="CM93" s="67"/>
      <c r="CO93" s="290"/>
      <c r="CP93" s="291"/>
      <c r="CQ93" s="383" t="str">
        <f t="shared" si="74"/>
        <v/>
      </c>
      <c r="CR93" s="293"/>
      <c r="CS93" s="294"/>
      <c r="CT93" s="294"/>
      <c r="CU93" s="295"/>
      <c r="CV93" s="333" t="str">
        <f>IF(CQ93="","",'Name List'!$I$4)</f>
        <v/>
      </c>
      <c r="CX93" s="296"/>
      <c r="CY93" s="297"/>
      <c r="CZ93" s="329" t="str">
        <f t="shared" si="75"/>
        <v/>
      </c>
      <c r="DA93" s="293"/>
      <c r="DB93" s="294"/>
      <c r="DC93" s="294"/>
      <c r="DD93" s="295"/>
      <c r="DE93" s="333" t="str">
        <f>IF(CZ93="","",'Name List'!$I$4)</f>
        <v/>
      </c>
      <c r="DG93" s="296"/>
      <c r="DH93" s="297"/>
      <c r="DI93" s="298"/>
      <c r="DJ93" s="293"/>
      <c r="DK93" s="294"/>
      <c r="DL93" s="294"/>
      <c r="DM93" s="295"/>
      <c r="DN93" s="67"/>
      <c r="DP93" s="296"/>
      <c r="DQ93" s="297"/>
      <c r="DR93" s="329" t="str">
        <f t="shared" si="77"/>
        <v/>
      </c>
      <c r="DS93" s="293"/>
      <c r="DT93" s="294"/>
      <c r="DU93" s="294"/>
      <c r="DV93" s="295"/>
      <c r="DW93" s="67"/>
      <c r="DY93" s="296"/>
      <c r="DZ93" s="297"/>
      <c r="EA93" s="329" t="str">
        <f t="shared" si="78"/>
        <v/>
      </c>
      <c r="EB93" s="293"/>
      <c r="EC93" s="294"/>
      <c r="ED93" s="294"/>
      <c r="EE93" s="295"/>
      <c r="EF93" s="67"/>
      <c r="EH93" s="296"/>
      <c r="EI93" s="297"/>
      <c r="EJ93" s="329" t="str">
        <f t="shared" si="79"/>
        <v/>
      </c>
      <c r="EK93" s="293"/>
      <c r="EL93" s="294"/>
      <c r="EM93" s="294"/>
      <c r="EN93" s="295"/>
      <c r="EO93" s="67"/>
      <c r="EQ93" s="300"/>
      <c r="ER93" s="301"/>
      <c r="ES93" s="390"/>
      <c r="ET93" s="293"/>
      <c r="EU93" s="294"/>
      <c r="EV93" s="294"/>
      <c r="EW93" s="295"/>
      <c r="EX93" s="67"/>
      <c r="EZ93" s="303"/>
      <c r="FA93" s="304"/>
      <c r="FB93" s="305"/>
      <c r="FC93" s="293"/>
      <c r="FD93" s="294"/>
      <c r="FE93" s="294"/>
      <c r="FF93" s="295"/>
      <c r="FG93" s="67"/>
      <c r="FI93" s="296"/>
      <c r="FJ93" s="297"/>
      <c r="FK93" s="298"/>
      <c r="FL93" s="293"/>
      <c r="FM93" s="294"/>
      <c r="FN93" s="294"/>
      <c r="FO93" s="295"/>
      <c r="FP93" s="67"/>
      <c r="FR93" s="296"/>
      <c r="FS93" s="297"/>
      <c r="FT93" s="298"/>
      <c r="FU93" s="293"/>
      <c r="FV93" s="294"/>
      <c r="FW93" s="294"/>
      <c r="FX93" s="295"/>
      <c r="FY93" s="67"/>
      <c r="GA93" s="296"/>
      <c r="GB93" s="297"/>
      <c r="GC93" s="298"/>
      <c r="GD93" s="293"/>
      <c r="GE93" s="294"/>
      <c r="GF93" s="294"/>
      <c r="GG93" s="295"/>
      <c r="GH93" s="67"/>
      <c r="GJ93" s="296"/>
      <c r="GK93" s="297"/>
      <c r="GL93" s="298"/>
      <c r="GM93" s="293"/>
      <c r="GN93" s="294"/>
      <c r="GO93" s="294"/>
      <c r="GP93" s="295"/>
      <c r="GQ93" s="67"/>
      <c r="GS93" s="303"/>
      <c r="GT93" s="304"/>
      <c r="GU93" s="305"/>
      <c r="GV93" s="293"/>
      <c r="GW93" s="294"/>
      <c r="GX93" s="294"/>
      <c r="GY93" s="295"/>
      <c r="GZ93" s="67"/>
      <c r="HB93" s="296"/>
      <c r="HC93" s="297"/>
      <c r="HD93" s="298"/>
      <c r="HE93" s="293"/>
      <c r="HF93" s="294"/>
      <c r="HG93" s="294"/>
      <c r="HH93" s="295"/>
      <c r="HI93" s="67"/>
      <c r="HK93" s="290"/>
      <c r="HL93" s="291"/>
      <c r="HM93" s="383" t="str">
        <f t="shared" si="85"/>
        <v/>
      </c>
      <c r="HN93" s="293"/>
      <c r="HO93" s="294"/>
      <c r="HP93" s="294"/>
      <c r="HQ93" s="295"/>
      <c r="HR93" s="333" t="str">
        <f>IF(HM93="","",'Name List'!$I$4)</f>
        <v/>
      </c>
      <c r="HT93" s="303"/>
      <c r="HU93" s="304"/>
      <c r="HV93" s="305"/>
      <c r="HW93" s="293"/>
      <c r="HX93" s="294"/>
      <c r="HY93" s="294"/>
      <c r="HZ93" s="295"/>
      <c r="IA93" s="67"/>
      <c r="IC93" s="300"/>
      <c r="ID93" s="301"/>
      <c r="IE93" s="302"/>
      <c r="IF93" s="293"/>
      <c r="IG93" s="294"/>
      <c r="IH93" s="294"/>
      <c r="II93" s="295"/>
      <c r="IJ93" s="67"/>
      <c r="IL93" s="296"/>
      <c r="IM93" s="297"/>
      <c r="IN93" s="298"/>
      <c r="IO93" s="293"/>
      <c r="IP93" s="294"/>
      <c r="IQ93" s="294"/>
      <c r="IR93" s="295"/>
      <c r="IS93" s="67"/>
      <c r="IU93" s="296"/>
      <c r="IV93" s="297"/>
      <c r="IW93" s="298"/>
      <c r="IX93" s="293"/>
      <c r="IY93" s="294"/>
      <c r="IZ93" s="294"/>
      <c r="JA93" s="295"/>
      <c r="JB93" s="67"/>
      <c r="JD93" s="296"/>
      <c r="JE93" s="297"/>
      <c r="JF93" s="298"/>
      <c r="JG93" s="293"/>
      <c r="JH93" s="294"/>
      <c r="JI93" s="294"/>
      <c r="JJ93" s="295"/>
      <c r="JK93" s="67"/>
      <c r="JM93" s="296"/>
      <c r="JN93" s="297"/>
      <c r="JO93" s="299"/>
      <c r="JP93" s="293"/>
      <c r="JQ93" s="294"/>
      <c r="JR93" s="294"/>
      <c r="JS93" s="295"/>
      <c r="JT93" s="67"/>
      <c r="JV93" s="296"/>
      <c r="JW93" s="297"/>
      <c r="JX93" s="298"/>
      <c r="JY93" s="293"/>
      <c r="JZ93" s="294"/>
      <c r="KA93" s="294"/>
      <c r="KB93" s="295"/>
      <c r="KC93" s="67"/>
      <c r="KE93" s="296"/>
      <c r="KF93" s="297"/>
      <c r="KG93" s="298"/>
      <c r="KH93" s="293"/>
      <c r="KI93" s="294"/>
      <c r="KJ93" s="294"/>
      <c r="KK93" s="295"/>
      <c r="KL93" s="67"/>
      <c r="KN93" s="303"/>
      <c r="KO93" s="304"/>
      <c r="KP93" s="305"/>
      <c r="KQ93" s="293"/>
      <c r="KR93" s="294"/>
      <c r="KS93" s="294"/>
      <c r="KT93" s="295"/>
      <c r="KU93" s="67"/>
      <c r="KW93" s="296"/>
      <c r="KX93" s="297"/>
      <c r="KY93" s="298"/>
      <c r="KZ93" s="293"/>
      <c r="LA93" s="294"/>
      <c r="LB93" s="294"/>
      <c r="LC93" s="295"/>
      <c r="LD93" s="67"/>
      <c r="LF93" s="290"/>
      <c r="LG93" s="291"/>
      <c r="LH93" s="292"/>
      <c r="LI93" s="293"/>
      <c r="LJ93" s="294"/>
      <c r="LK93" s="294"/>
      <c r="LL93" s="295"/>
      <c r="LM93" s="67"/>
      <c r="LO93" s="296"/>
      <c r="LP93" s="297"/>
      <c r="LQ93" s="298"/>
      <c r="LR93" s="293"/>
      <c r="LS93" s="294"/>
      <c r="LT93" s="294"/>
      <c r="LU93" s="295"/>
      <c r="LV93" s="67"/>
      <c r="LX93" s="296"/>
      <c r="LY93" s="297"/>
      <c r="LZ93" s="298"/>
      <c r="MA93" s="293"/>
      <c r="MB93" s="294"/>
      <c r="MC93" s="294"/>
      <c r="MD93" s="295"/>
      <c r="ME93" s="67"/>
      <c r="MG93" s="296"/>
      <c r="MH93" s="297"/>
      <c r="MI93" s="298"/>
      <c r="MJ93" s="293"/>
      <c r="MK93" s="294"/>
      <c r="ML93" s="294"/>
      <c r="MM93" s="295"/>
      <c r="MN93" s="67"/>
      <c r="MP93" s="296"/>
      <c r="MQ93" s="297"/>
      <c r="MR93" s="298"/>
      <c r="MS93" s="293"/>
      <c r="MT93" s="294"/>
      <c r="MU93" s="294"/>
      <c r="MV93" s="295"/>
      <c r="MW93" s="67"/>
      <c r="MY93" s="296"/>
      <c r="MZ93" s="297"/>
      <c r="NA93" s="298"/>
      <c r="NB93" s="293"/>
      <c r="NC93" s="294"/>
      <c r="ND93" s="294"/>
      <c r="NE93" s="295"/>
      <c r="NF93" s="67"/>
      <c r="NH93" s="296"/>
      <c r="NI93" s="297"/>
      <c r="NJ93" s="298"/>
      <c r="NK93" s="293"/>
      <c r="NL93" s="294"/>
      <c r="NM93" s="294"/>
      <c r="NN93" s="295"/>
      <c r="NO93" s="67"/>
      <c r="NQ93" s="296"/>
      <c r="NR93" s="297"/>
      <c r="NS93" s="298"/>
      <c r="NT93" s="293"/>
      <c r="NU93" s="294"/>
      <c r="NV93" s="294"/>
      <c r="NW93" s="295"/>
      <c r="NX93" s="67"/>
      <c r="NZ93" s="290"/>
      <c r="OA93" s="291"/>
      <c r="OB93" s="292"/>
      <c r="OC93" s="293"/>
      <c r="OD93" s="294"/>
      <c r="OE93" s="294"/>
      <c r="OF93" s="295"/>
      <c r="OG93" s="67"/>
      <c r="OI93" s="296"/>
      <c r="OJ93" s="297"/>
      <c r="OK93" s="329"/>
      <c r="OL93" s="293"/>
      <c r="OM93" s="294"/>
      <c r="ON93" s="294"/>
      <c r="OO93" s="295"/>
      <c r="OP93" s="67"/>
      <c r="OR93" s="290"/>
      <c r="OS93" s="291"/>
      <c r="OT93" s="73"/>
      <c r="OU93" s="293"/>
      <c r="OV93" s="294"/>
      <c r="OW93" s="294"/>
      <c r="OX93" s="295"/>
      <c r="OY93" s="67"/>
      <c r="PA93" s="296"/>
      <c r="PB93" s="297"/>
      <c r="PC93" s="298"/>
      <c r="PD93" s="293"/>
      <c r="PE93" s="294"/>
      <c r="PF93" s="294"/>
      <c r="PG93" s="295"/>
      <c r="PH93" s="67"/>
      <c r="PJ93" s="303"/>
      <c r="PK93" s="304"/>
      <c r="PL93" s="305"/>
      <c r="PM93" s="293"/>
      <c r="PN93" s="294"/>
      <c r="PO93" s="294"/>
      <c r="PP93" s="295"/>
      <c r="PQ93" s="67"/>
      <c r="PS93" s="406"/>
      <c r="PT93" s="407"/>
      <c r="PU93" s="408"/>
      <c r="PV93" s="334"/>
      <c r="PW93" s="335"/>
      <c r="PX93" s="335"/>
      <c r="PY93" s="336"/>
      <c r="PZ93" s="333"/>
      <c r="QB93" s="290"/>
      <c r="QC93" s="291"/>
      <c r="QD93" s="292"/>
      <c r="QE93" s="293"/>
      <c r="QF93" s="294"/>
      <c r="QG93" s="294"/>
      <c r="QH93" s="295"/>
      <c r="QI93" s="67"/>
      <c r="QK93" s="306"/>
      <c r="QL93" s="307"/>
      <c r="QM93" s="308"/>
      <c r="QN93" s="293"/>
      <c r="QO93" s="294"/>
      <c r="QP93" s="294"/>
      <c r="QQ93" s="295"/>
      <c r="QR93" s="67"/>
      <c r="QS93" s="91"/>
      <c r="QT93" s="107">
        <f t="shared" si="87"/>
        <v>0</v>
      </c>
      <c r="QU93" s="130">
        <f t="shared" si="88"/>
        <v>0</v>
      </c>
      <c r="QV93" s="130">
        <f t="shared" si="89"/>
        <v>0</v>
      </c>
      <c r="QW93" s="108">
        <f t="shared" si="90"/>
        <v>0</v>
      </c>
      <c r="QY93" s="260">
        <f t="shared" si="91"/>
        <v>0</v>
      </c>
      <c r="RA93" s="141">
        <f t="shared" si="92"/>
        <v>0</v>
      </c>
      <c r="RB93" s="106">
        <f t="shared" si="93"/>
        <v>0</v>
      </c>
      <c r="RC93" s="106">
        <f t="shared" si="94"/>
        <v>0</v>
      </c>
      <c r="RD93" s="106">
        <f t="shared" si="95"/>
        <v>0</v>
      </c>
      <c r="RE93" s="106">
        <f t="shared" si="96"/>
        <v>0</v>
      </c>
      <c r="RF93" s="142">
        <f t="shared" si="97"/>
        <v>0</v>
      </c>
      <c r="RG93" s="106"/>
      <c r="RH93" s="139">
        <f t="shared" si="98"/>
        <v>0</v>
      </c>
      <c r="RI93" s="140">
        <f t="shared" si="99"/>
        <v>0</v>
      </c>
      <c r="RJ93" s="106"/>
      <c r="RK93" s="136">
        <f t="shared" si="100"/>
        <v>0</v>
      </c>
      <c r="RL93" s="106"/>
      <c r="RM93" s="137">
        <f t="shared" si="101"/>
        <v>0</v>
      </c>
      <c r="RN93" s="138">
        <f t="shared" si="102"/>
        <v>0</v>
      </c>
      <c r="RO93" s="106"/>
      <c r="RP93" s="259">
        <f t="shared" si="103"/>
        <v>0</v>
      </c>
    </row>
    <row r="94" spans="1:484" x14ac:dyDescent="0.2">
      <c r="A94" s="89">
        <f>'Name List'!B94</f>
        <v>20</v>
      </c>
      <c r="C94" s="296"/>
      <c r="D94" s="297"/>
      <c r="E94" s="329" t="str">
        <f t="shared" si="67"/>
        <v/>
      </c>
      <c r="F94" s="293"/>
      <c r="G94" s="294"/>
      <c r="H94" s="294"/>
      <c r="I94" s="295"/>
      <c r="J94" s="333" t="str">
        <f>IF(E94="","",'Name List'!$I$4)</f>
        <v/>
      </c>
      <c r="L94" s="296"/>
      <c r="M94" s="297"/>
      <c r="N94" s="298"/>
      <c r="O94" s="293"/>
      <c r="P94" s="294"/>
      <c r="Q94" s="294"/>
      <c r="R94" s="295"/>
      <c r="S94" s="67"/>
      <c r="U94" s="290"/>
      <c r="V94" s="291"/>
      <c r="W94" s="396" t="str">
        <f t="shared" si="68"/>
        <v/>
      </c>
      <c r="X94" s="293"/>
      <c r="Y94" s="294"/>
      <c r="Z94" s="294"/>
      <c r="AA94" s="295"/>
      <c r="AB94" s="333" t="str">
        <f>IF(W94="","",'Name List'!$I$4)</f>
        <v/>
      </c>
      <c r="AD94" s="296"/>
      <c r="AE94" s="297"/>
      <c r="AF94" s="329" t="str">
        <f t="shared" si="69"/>
        <v/>
      </c>
      <c r="AG94" s="293"/>
      <c r="AH94" s="294"/>
      <c r="AI94" s="294"/>
      <c r="AJ94" s="295"/>
      <c r="AK94" s="333" t="str">
        <f>IF(AF94="","",'Name List'!$I$4)</f>
        <v/>
      </c>
      <c r="AM94" s="296"/>
      <c r="AN94" s="297"/>
      <c r="AO94" s="329" t="str">
        <f t="shared" si="70"/>
        <v/>
      </c>
      <c r="AP94" s="293"/>
      <c r="AQ94" s="294"/>
      <c r="AR94" s="294"/>
      <c r="AS94" s="295"/>
      <c r="AT94" s="333" t="str">
        <f>IF(AO94="","",'Name List'!$I$4)</f>
        <v/>
      </c>
      <c r="AV94" s="459"/>
      <c r="AW94" s="402"/>
      <c r="AX94" s="400" t="str">
        <f t="shared" si="71"/>
        <v/>
      </c>
      <c r="AY94" s="293"/>
      <c r="AZ94" s="294"/>
      <c r="BA94" s="294"/>
      <c r="BB94" s="295"/>
      <c r="BC94" s="457" t="str">
        <f>IF(AX94="","",'Name List'!$I$4)</f>
        <v/>
      </c>
      <c r="BE94" s="290"/>
      <c r="BF94" s="291"/>
      <c r="BG94" s="383" t="str">
        <f t="shared" si="72"/>
        <v/>
      </c>
      <c r="BH94" s="293"/>
      <c r="BI94" s="294"/>
      <c r="BJ94" s="294"/>
      <c r="BK94" s="295"/>
      <c r="BL94" s="67"/>
      <c r="BN94" s="296"/>
      <c r="BO94" s="297"/>
      <c r="BP94" s="298"/>
      <c r="BQ94" s="293"/>
      <c r="BR94" s="294"/>
      <c r="BS94" s="294"/>
      <c r="BT94" s="295"/>
      <c r="BU94" s="67"/>
      <c r="BW94" s="296"/>
      <c r="BX94" s="297"/>
      <c r="BY94" s="329" t="str">
        <f t="shared" si="73"/>
        <v/>
      </c>
      <c r="BZ94" s="293"/>
      <c r="CA94" s="294"/>
      <c r="CB94" s="294"/>
      <c r="CC94" s="295"/>
      <c r="CD94" s="333" t="str">
        <f>IF(BY94="","",'Name List'!$I$4)</f>
        <v/>
      </c>
      <c r="CF94" s="68"/>
      <c r="CG94" s="69"/>
      <c r="CH94" s="282" t="str">
        <f t="shared" si="86"/>
        <v/>
      </c>
      <c r="CI94" s="293"/>
      <c r="CJ94" s="294"/>
      <c r="CK94" s="294"/>
      <c r="CL94" s="295"/>
      <c r="CM94" s="67"/>
      <c r="CO94" s="290"/>
      <c r="CP94" s="291"/>
      <c r="CQ94" s="383" t="str">
        <f t="shared" si="74"/>
        <v/>
      </c>
      <c r="CR94" s="293"/>
      <c r="CS94" s="294"/>
      <c r="CT94" s="294"/>
      <c r="CU94" s="295"/>
      <c r="CV94" s="333" t="str">
        <f>IF(CQ94="","",'Name List'!$I$4)</f>
        <v/>
      </c>
      <c r="CX94" s="296"/>
      <c r="CY94" s="297"/>
      <c r="CZ94" s="329" t="str">
        <f t="shared" si="75"/>
        <v/>
      </c>
      <c r="DA94" s="293"/>
      <c r="DB94" s="294"/>
      <c r="DC94" s="294"/>
      <c r="DD94" s="295"/>
      <c r="DE94" s="333" t="str">
        <f>IF(CZ94="","",'Name List'!$I$4)</f>
        <v/>
      </c>
      <c r="DG94" s="296"/>
      <c r="DH94" s="297"/>
      <c r="DI94" s="298"/>
      <c r="DJ94" s="293"/>
      <c r="DK94" s="294"/>
      <c r="DL94" s="294"/>
      <c r="DM94" s="295"/>
      <c r="DN94" s="67"/>
      <c r="DP94" s="296"/>
      <c r="DQ94" s="297"/>
      <c r="DR94" s="329" t="str">
        <f t="shared" si="77"/>
        <v/>
      </c>
      <c r="DS94" s="293"/>
      <c r="DT94" s="294"/>
      <c r="DU94" s="294"/>
      <c r="DV94" s="295"/>
      <c r="DW94" s="67"/>
      <c r="DY94" s="296"/>
      <c r="DZ94" s="297"/>
      <c r="EA94" s="329" t="str">
        <f t="shared" si="78"/>
        <v/>
      </c>
      <c r="EB94" s="293"/>
      <c r="EC94" s="294"/>
      <c r="ED94" s="294"/>
      <c r="EE94" s="295"/>
      <c r="EF94" s="67"/>
      <c r="EH94" s="296"/>
      <c r="EI94" s="297"/>
      <c r="EJ94" s="298"/>
      <c r="EK94" s="293"/>
      <c r="EL94" s="294"/>
      <c r="EM94" s="294"/>
      <c r="EN94" s="295"/>
      <c r="EO94" s="67"/>
      <c r="EQ94" s="300"/>
      <c r="ER94" s="301"/>
      <c r="ES94" s="390"/>
      <c r="ET94" s="293"/>
      <c r="EU94" s="294"/>
      <c r="EV94" s="294"/>
      <c r="EW94" s="295"/>
      <c r="EX94" s="67"/>
      <c r="EZ94" s="303"/>
      <c r="FA94" s="304"/>
      <c r="FB94" s="305"/>
      <c r="FC94" s="293"/>
      <c r="FD94" s="294"/>
      <c r="FE94" s="294"/>
      <c r="FF94" s="295"/>
      <c r="FG94" s="67"/>
      <c r="FI94" s="296"/>
      <c r="FJ94" s="297"/>
      <c r="FK94" s="298"/>
      <c r="FL94" s="293"/>
      <c r="FM94" s="294"/>
      <c r="FN94" s="294"/>
      <c r="FO94" s="295"/>
      <c r="FP94" s="67"/>
      <c r="FR94" s="296"/>
      <c r="FS94" s="297"/>
      <c r="FT94" s="298"/>
      <c r="FU94" s="293"/>
      <c r="FV94" s="294"/>
      <c r="FW94" s="294"/>
      <c r="FX94" s="295"/>
      <c r="FY94" s="67"/>
      <c r="GA94" s="296"/>
      <c r="GB94" s="297"/>
      <c r="GC94" s="298"/>
      <c r="GD94" s="293"/>
      <c r="GE94" s="294"/>
      <c r="GF94" s="294"/>
      <c r="GG94" s="295"/>
      <c r="GH94" s="67"/>
      <c r="GJ94" s="296"/>
      <c r="GK94" s="297"/>
      <c r="GL94" s="298"/>
      <c r="GM94" s="293"/>
      <c r="GN94" s="294"/>
      <c r="GO94" s="294"/>
      <c r="GP94" s="295"/>
      <c r="GQ94" s="67"/>
      <c r="GS94" s="303"/>
      <c r="GT94" s="304"/>
      <c r="GU94" s="305"/>
      <c r="GV94" s="293"/>
      <c r="GW94" s="294"/>
      <c r="GX94" s="294"/>
      <c r="GY94" s="295"/>
      <c r="GZ94" s="67"/>
      <c r="HB94" s="296"/>
      <c r="HC94" s="297"/>
      <c r="HD94" s="298"/>
      <c r="HE94" s="293"/>
      <c r="HF94" s="294"/>
      <c r="HG94" s="294"/>
      <c r="HH94" s="295"/>
      <c r="HI94" s="67"/>
      <c r="HK94" s="290"/>
      <c r="HL94" s="291"/>
      <c r="HM94" s="383" t="str">
        <f t="shared" si="85"/>
        <v/>
      </c>
      <c r="HN94" s="293"/>
      <c r="HO94" s="294"/>
      <c r="HP94" s="294"/>
      <c r="HQ94" s="295"/>
      <c r="HR94" s="333" t="str">
        <f>IF(HM94="","",'Name List'!$I$4)</f>
        <v/>
      </c>
      <c r="HT94" s="303"/>
      <c r="HU94" s="304"/>
      <c r="HV94" s="305"/>
      <c r="HW94" s="293"/>
      <c r="HX94" s="294"/>
      <c r="HY94" s="294"/>
      <c r="HZ94" s="295"/>
      <c r="IA94" s="67"/>
      <c r="IC94" s="300"/>
      <c r="ID94" s="301"/>
      <c r="IE94" s="302"/>
      <c r="IF94" s="293"/>
      <c r="IG94" s="294"/>
      <c r="IH94" s="294"/>
      <c r="II94" s="295"/>
      <c r="IJ94" s="67"/>
      <c r="IL94" s="296"/>
      <c r="IM94" s="297"/>
      <c r="IN94" s="298"/>
      <c r="IO94" s="293"/>
      <c r="IP94" s="294"/>
      <c r="IQ94" s="294"/>
      <c r="IR94" s="295"/>
      <c r="IS94" s="67"/>
      <c r="IU94" s="296"/>
      <c r="IV94" s="297"/>
      <c r="IW94" s="298"/>
      <c r="IX94" s="293"/>
      <c r="IY94" s="294"/>
      <c r="IZ94" s="294"/>
      <c r="JA94" s="295"/>
      <c r="JB94" s="67"/>
      <c r="JD94" s="296"/>
      <c r="JE94" s="297"/>
      <c r="JF94" s="298"/>
      <c r="JG94" s="293"/>
      <c r="JH94" s="294"/>
      <c r="JI94" s="294"/>
      <c r="JJ94" s="295"/>
      <c r="JK94" s="67"/>
      <c r="JM94" s="296"/>
      <c r="JN94" s="297"/>
      <c r="JO94" s="299"/>
      <c r="JP94" s="293"/>
      <c r="JQ94" s="294"/>
      <c r="JR94" s="294"/>
      <c r="JS94" s="295"/>
      <c r="JT94" s="67"/>
      <c r="JV94" s="296"/>
      <c r="JW94" s="297"/>
      <c r="JX94" s="298"/>
      <c r="JY94" s="293"/>
      <c r="JZ94" s="294"/>
      <c r="KA94" s="294"/>
      <c r="KB94" s="295"/>
      <c r="KC94" s="67"/>
      <c r="KE94" s="296"/>
      <c r="KF94" s="297"/>
      <c r="KG94" s="298"/>
      <c r="KH94" s="293"/>
      <c r="KI94" s="294"/>
      <c r="KJ94" s="294"/>
      <c r="KK94" s="295"/>
      <c r="KL94" s="67"/>
      <c r="KN94" s="303"/>
      <c r="KO94" s="304"/>
      <c r="KP94" s="305"/>
      <c r="KQ94" s="293"/>
      <c r="KR94" s="294"/>
      <c r="KS94" s="294"/>
      <c r="KT94" s="295"/>
      <c r="KU94" s="67"/>
      <c r="KW94" s="296"/>
      <c r="KX94" s="297"/>
      <c r="KY94" s="298"/>
      <c r="KZ94" s="293"/>
      <c r="LA94" s="294"/>
      <c r="LB94" s="294"/>
      <c r="LC94" s="295"/>
      <c r="LD94" s="67"/>
      <c r="LF94" s="290"/>
      <c r="LG94" s="291"/>
      <c r="LH94" s="292"/>
      <c r="LI94" s="293"/>
      <c r="LJ94" s="294"/>
      <c r="LK94" s="294"/>
      <c r="LL94" s="295"/>
      <c r="LM94" s="67"/>
      <c r="LO94" s="296"/>
      <c r="LP94" s="297"/>
      <c r="LQ94" s="298"/>
      <c r="LR94" s="293"/>
      <c r="LS94" s="294"/>
      <c r="LT94" s="294"/>
      <c r="LU94" s="295"/>
      <c r="LV94" s="67"/>
      <c r="LX94" s="296"/>
      <c r="LY94" s="297"/>
      <c r="LZ94" s="298"/>
      <c r="MA94" s="293"/>
      <c r="MB94" s="294"/>
      <c r="MC94" s="294"/>
      <c r="MD94" s="295"/>
      <c r="ME94" s="67"/>
      <c r="MG94" s="296"/>
      <c r="MH94" s="297"/>
      <c r="MI94" s="298"/>
      <c r="MJ94" s="293"/>
      <c r="MK94" s="294"/>
      <c r="ML94" s="294"/>
      <c r="MM94" s="295"/>
      <c r="MN94" s="67"/>
      <c r="MP94" s="296"/>
      <c r="MQ94" s="297"/>
      <c r="MR94" s="298"/>
      <c r="MS94" s="293"/>
      <c r="MT94" s="294"/>
      <c r="MU94" s="294"/>
      <c r="MV94" s="295"/>
      <c r="MW94" s="67"/>
      <c r="MY94" s="296"/>
      <c r="MZ94" s="297"/>
      <c r="NA94" s="298"/>
      <c r="NB94" s="293"/>
      <c r="NC94" s="294"/>
      <c r="ND94" s="294"/>
      <c r="NE94" s="295"/>
      <c r="NF94" s="67"/>
      <c r="NH94" s="296"/>
      <c r="NI94" s="297"/>
      <c r="NJ94" s="298"/>
      <c r="NK94" s="293"/>
      <c r="NL94" s="294"/>
      <c r="NM94" s="294"/>
      <c r="NN94" s="295"/>
      <c r="NO94" s="67"/>
      <c r="NQ94" s="296"/>
      <c r="NR94" s="297"/>
      <c r="NS94" s="298"/>
      <c r="NT94" s="293"/>
      <c r="NU94" s="294"/>
      <c r="NV94" s="294"/>
      <c r="NW94" s="295"/>
      <c r="NX94" s="67"/>
      <c r="NZ94" s="290"/>
      <c r="OA94" s="291"/>
      <c r="OB94" s="292"/>
      <c r="OC94" s="293"/>
      <c r="OD94" s="294"/>
      <c r="OE94" s="294"/>
      <c r="OF94" s="295"/>
      <c r="OG94" s="67"/>
      <c r="OI94" s="296"/>
      <c r="OJ94" s="297"/>
      <c r="OK94" s="329"/>
      <c r="OL94" s="293"/>
      <c r="OM94" s="294"/>
      <c r="ON94" s="294"/>
      <c r="OO94" s="295"/>
      <c r="OP94" s="67"/>
      <c r="OR94" s="290"/>
      <c r="OS94" s="291"/>
      <c r="OT94" s="292"/>
      <c r="OU94" s="293"/>
      <c r="OV94" s="294"/>
      <c r="OW94" s="294"/>
      <c r="OX94" s="295"/>
      <c r="OY94" s="67"/>
      <c r="PA94" s="296"/>
      <c r="PB94" s="297"/>
      <c r="PC94" s="298"/>
      <c r="PD94" s="293"/>
      <c r="PE94" s="294"/>
      <c r="PF94" s="294"/>
      <c r="PG94" s="295"/>
      <c r="PH94" s="67"/>
      <c r="PJ94" s="303"/>
      <c r="PK94" s="304"/>
      <c r="PL94" s="305"/>
      <c r="PM94" s="293"/>
      <c r="PN94" s="294"/>
      <c r="PO94" s="294"/>
      <c r="PP94" s="295"/>
      <c r="PQ94" s="67"/>
      <c r="PS94" s="406"/>
      <c r="PT94" s="407"/>
      <c r="PU94" s="408"/>
      <c r="PV94" s="334"/>
      <c r="PW94" s="335"/>
      <c r="PX94" s="335"/>
      <c r="PY94" s="336"/>
      <c r="PZ94" s="333"/>
      <c r="QB94" s="290"/>
      <c r="QC94" s="291"/>
      <c r="QD94" s="292"/>
      <c r="QE94" s="293"/>
      <c r="QF94" s="294"/>
      <c r="QG94" s="294"/>
      <c r="QH94" s="295"/>
      <c r="QI94" s="67"/>
      <c r="QK94" s="306"/>
      <c r="QL94" s="307"/>
      <c r="QM94" s="308"/>
      <c r="QN94" s="293"/>
      <c r="QO94" s="294"/>
      <c r="QP94" s="294"/>
      <c r="QQ94" s="295"/>
      <c r="QR94" s="67"/>
      <c r="QS94" s="91"/>
      <c r="QT94" s="107">
        <f t="shared" si="87"/>
        <v>0</v>
      </c>
      <c r="QU94" s="130">
        <f t="shared" si="88"/>
        <v>0</v>
      </c>
      <c r="QV94" s="130">
        <f t="shared" si="89"/>
        <v>0</v>
      </c>
      <c r="QW94" s="108">
        <f t="shared" si="90"/>
        <v>0</v>
      </c>
      <c r="QY94" s="260">
        <f t="shared" si="91"/>
        <v>0</v>
      </c>
      <c r="RA94" s="141">
        <f t="shared" si="92"/>
        <v>0</v>
      </c>
      <c r="RB94" s="106">
        <f t="shared" si="93"/>
        <v>0</v>
      </c>
      <c r="RC94" s="106">
        <f t="shared" si="94"/>
        <v>0</v>
      </c>
      <c r="RD94" s="106">
        <f t="shared" si="95"/>
        <v>0</v>
      </c>
      <c r="RE94" s="106">
        <f t="shared" si="96"/>
        <v>0</v>
      </c>
      <c r="RF94" s="142">
        <f t="shared" si="97"/>
        <v>0</v>
      </c>
      <c r="RG94" s="106"/>
      <c r="RH94" s="139">
        <f t="shared" si="98"/>
        <v>0</v>
      </c>
      <c r="RI94" s="140">
        <f t="shared" si="99"/>
        <v>0</v>
      </c>
      <c r="RJ94" s="106"/>
      <c r="RK94" s="136">
        <f t="shared" si="100"/>
        <v>0</v>
      </c>
      <c r="RL94" s="106"/>
      <c r="RM94" s="137">
        <f t="shared" si="101"/>
        <v>0</v>
      </c>
      <c r="RN94" s="138">
        <f t="shared" si="102"/>
        <v>0</v>
      </c>
      <c r="RO94" s="106"/>
      <c r="RP94" s="259">
        <f t="shared" si="103"/>
        <v>0</v>
      </c>
    </row>
    <row r="95" spans="1:484" x14ac:dyDescent="0.2">
      <c r="A95" s="89">
        <f>'Name List'!B95</f>
        <v>21</v>
      </c>
      <c r="C95" s="296"/>
      <c r="D95" s="297"/>
      <c r="E95" s="329" t="str">
        <f t="shared" si="67"/>
        <v/>
      </c>
      <c r="F95" s="293"/>
      <c r="G95" s="294"/>
      <c r="H95" s="294"/>
      <c r="I95" s="295"/>
      <c r="J95" s="333" t="str">
        <f>IF(E95="","",'Name List'!$I$4)</f>
        <v/>
      </c>
      <c r="L95" s="296"/>
      <c r="M95" s="297"/>
      <c r="N95" s="298"/>
      <c r="O95" s="293"/>
      <c r="P95" s="294"/>
      <c r="Q95" s="294"/>
      <c r="R95" s="295"/>
      <c r="S95" s="67"/>
      <c r="U95" s="290"/>
      <c r="V95" s="291"/>
      <c r="W95" s="396" t="str">
        <f t="shared" si="68"/>
        <v/>
      </c>
      <c r="X95" s="293"/>
      <c r="Y95" s="294"/>
      <c r="Z95" s="294"/>
      <c r="AA95" s="295"/>
      <c r="AB95" s="333" t="str">
        <f>IF(W95="","",'Name List'!$I$4)</f>
        <v/>
      </c>
      <c r="AD95" s="296"/>
      <c r="AE95" s="297"/>
      <c r="AF95" s="329" t="str">
        <f t="shared" si="69"/>
        <v/>
      </c>
      <c r="AG95" s="293"/>
      <c r="AH95" s="294"/>
      <c r="AI95" s="294"/>
      <c r="AJ95" s="295"/>
      <c r="AK95" s="333" t="str">
        <f>IF(AF95="","",'Name List'!$I$4)</f>
        <v/>
      </c>
      <c r="AM95" s="296"/>
      <c r="AN95" s="297"/>
      <c r="AO95" s="329" t="str">
        <f t="shared" si="70"/>
        <v/>
      </c>
      <c r="AP95" s="293"/>
      <c r="AQ95" s="294"/>
      <c r="AR95" s="294"/>
      <c r="AS95" s="295"/>
      <c r="AT95" s="333" t="str">
        <f>IF(AO95="","",'Name List'!$I$4)</f>
        <v/>
      </c>
      <c r="AV95" s="459"/>
      <c r="AW95" s="402"/>
      <c r="AX95" s="400" t="str">
        <f t="shared" si="71"/>
        <v/>
      </c>
      <c r="AY95" s="293"/>
      <c r="AZ95" s="294"/>
      <c r="BA95" s="294"/>
      <c r="BB95" s="295"/>
      <c r="BC95" s="457" t="str">
        <f>IF(AX95="","",'Name List'!$I$4)</f>
        <v/>
      </c>
      <c r="BE95" s="290"/>
      <c r="BF95" s="291"/>
      <c r="BG95" s="383" t="str">
        <f t="shared" si="72"/>
        <v/>
      </c>
      <c r="BH95" s="293"/>
      <c r="BI95" s="294"/>
      <c r="BJ95" s="294"/>
      <c r="BK95" s="295"/>
      <c r="BL95" s="67"/>
      <c r="BN95" s="296"/>
      <c r="BO95" s="297"/>
      <c r="BP95" s="298"/>
      <c r="BQ95" s="293"/>
      <c r="BR95" s="294"/>
      <c r="BS95" s="294"/>
      <c r="BT95" s="295"/>
      <c r="BU95" s="67"/>
      <c r="BW95" s="296"/>
      <c r="BX95" s="297"/>
      <c r="BY95" s="329" t="str">
        <f t="shared" si="73"/>
        <v/>
      </c>
      <c r="BZ95" s="293"/>
      <c r="CA95" s="294"/>
      <c r="CB95" s="294"/>
      <c r="CC95" s="295"/>
      <c r="CD95" s="333" t="str">
        <f>IF(BY95="","",'Name List'!$I$4)</f>
        <v/>
      </c>
      <c r="CF95" s="68"/>
      <c r="CG95" s="69"/>
      <c r="CH95" s="282" t="str">
        <f t="shared" si="86"/>
        <v/>
      </c>
      <c r="CI95" s="293"/>
      <c r="CJ95" s="294"/>
      <c r="CK95" s="294"/>
      <c r="CL95" s="295"/>
      <c r="CM95" s="67"/>
      <c r="CO95" s="290"/>
      <c r="CP95" s="291"/>
      <c r="CQ95" s="383" t="str">
        <f t="shared" si="74"/>
        <v/>
      </c>
      <c r="CR95" s="293"/>
      <c r="CS95" s="294"/>
      <c r="CT95" s="294"/>
      <c r="CU95" s="295"/>
      <c r="CV95" s="333" t="str">
        <f>IF(CQ95="","",'Name List'!$I$4)</f>
        <v/>
      </c>
      <c r="CX95" s="296"/>
      <c r="CY95" s="297"/>
      <c r="CZ95" s="329" t="str">
        <f t="shared" si="75"/>
        <v/>
      </c>
      <c r="DA95" s="293"/>
      <c r="DB95" s="294"/>
      <c r="DC95" s="294"/>
      <c r="DD95" s="295"/>
      <c r="DE95" s="333" t="str">
        <f>IF(CZ95="","",'Name List'!$I$4)</f>
        <v/>
      </c>
      <c r="DG95" s="296"/>
      <c r="DH95" s="297"/>
      <c r="DI95" s="298"/>
      <c r="DJ95" s="293"/>
      <c r="DK95" s="294"/>
      <c r="DL95" s="294"/>
      <c r="DM95" s="295"/>
      <c r="DN95" s="67"/>
      <c r="DP95" s="296"/>
      <c r="DQ95" s="297"/>
      <c r="DR95" s="329" t="str">
        <f t="shared" si="77"/>
        <v/>
      </c>
      <c r="DS95" s="293"/>
      <c r="DT95" s="294"/>
      <c r="DU95" s="294"/>
      <c r="DV95" s="295"/>
      <c r="DW95" s="67"/>
      <c r="DY95" s="296"/>
      <c r="DZ95" s="297"/>
      <c r="EA95" s="329" t="str">
        <f t="shared" si="78"/>
        <v/>
      </c>
      <c r="EB95" s="293"/>
      <c r="EC95" s="294"/>
      <c r="ED95" s="294"/>
      <c r="EE95" s="295"/>
      <c r="EF95" s="67"/>
      <c r="EH95" s="296"/>
      <c r="EI95" s="297"/>
      <c r="EJ95" s="298"/>
      <c r="EK95" s="293"/>
      <c r="EL95" s="294"/>
      <c r="EM95" s="294"/>
      <c r="EN95" s="295"/>
      <c r="EO95" s="67"/>
      <c r="EQ95" s="300"/>
      <c r="ER95" s="301"/>
      <c r="ES95" s="390"/>
      <c r="ET95" s="293"/>
      <c r="EU95" s="294"/>
      <c r="EV95" s="294"/>
      <c r="EW95" s="295"/>
      <c r="EX95" s="67"/>
      <c r="EZ95" s="303"/>
      <c r="FA95" s="304"/>
      <c r="FB95" s="305"/>
      <c r="FC95" s="293"/>
      <c r="FD95" s="294"/>
      <c r="FE95" s="294"/>
      <c r="FF95" s="295"/>
      <c r="FG95" s="67"/>
      <c r="FI95" s="296"/>
      <c r="FJ95" s="297"/>
      <c r="FK95" s="298"/>
      <c r="FL95" s="293"/>
      <c r="FM95" s="294"/>
      <c r="FN95" s="294"/>
      <c r="FO95" s="295"/>
      <c r="FP95" s="67"/>
      <c r="FR95" s="296"/>
      <c r="FS95" s="297"/>
      <c r="FT95" s="298"/>
      <c r="FU95" s="293"/>
      <c r="FV95" s="294"/>
      <c r="FW95" s="294"/>
      <c r="FX95" s="295"/>
      <c r="FY95" s="67"/>
      <c r="GA95" s="296"/>
      <c r="GB95" s="297"/>
      <c r="GC95" s="298"/>
      <c r="GD95" s="293"/>
      <c r="GE95" s="294"/>
      <c r="GF95" s="294"/>
      <c r="GG95" s="295"/>
      <c r="GH95" s="67"/>
      <c r="GJ95" s="296"/>
      <c r="GK95" s="297"/>
      <c r="GL95" s="298"/>
      <c r="GM95" s="293"/>
      <c r="GN95" s="294"/>
      <c r="GO95" s="294"/>
      <c r="GP95" s="295"/>
      <c r="GQ95" s="67"/>
      <c r="GS95" s="303"/>
      <c r="GT95" s="304"/>
      <c r="GU95" s="305"/>
      <c r="GV95" s="293"/>
      <c r="GW95" s="294"/>
      <c r="GX95" s="294"/>
      <c r="GY95" s="295"/>
      <c r="GZ95" s="67"/>
      <c r="HB95" s="296"/>
      <c r="HC95" s="297"/>
      <c r="HD95" s="298"/>
      <c r="HE95" s="293"/>
      <c r="HF95" s="294"/>
      <c r="HG95" s="294"/>
      <c r="HH95" s="295"/>
      <c r="HI95" s="67"/>
      <c r="HK95" s="290"/>
      <c r="HL95" s="291"/>
      <c r="HM95" s="383" t="str">
        <f t="shared" si="85"/>
        <v/>
      </c>
      <c r="HN95" s="293"/>
      <c r="HO95" s="294"/>
      <c r="HP95" s="294"/>
      <c r="HQ95" s="295"/>
      <c r="HR95" s="333" t="str">
        <f>IF(HM95="","",'Name List'!$I$4)</f>
        <v/>
      </c>
      <c r="HT95" s="303"/>
      <c r="HU95" s="304"/>
      <c r="HV95" s="305"/>
      <c r="HW95" s="293"/>
      <c r="HX95" s="294"/>
      <c r="HY95" s="294"/>
      <c r="HZ95" s="295"/>
      <c r="IA95" s="67"/>
      <c r="IC95" s="300"/>
      <c r="ID95" s="301"/>
      <c r="IE95" s="302"/>
      <c r="IF95" s="293"/>
      <c r="IG95" s="294"/>
      <c r="IH95" s="294"/>
      <c r="II95" s="295"/>
      <c r="IJ95" s="67"/>
      <c r="IL95" s="296"/>
      <c r="IM95" s="297"/>
      <c r="IN95" s="298"/>
      <c r="IO95" s="293"/>
      <c r="IP95" s="294"/>
      <c r="IQ95" s="294"/>
      <c r="IR95" s="295"/>
      <c r="IS95" s="67"/>
      <c r="IU95" s="296"/>
      <c r="IV95" s="297"/>
      <c r="IW95" s="298"/>
      <c r="IX95" s="293"/>
      <c r="IY95" s="294"/>
      <c r="IZ95" s="294"/>
      <c r="JA95" s="295"/>
      <c r="JB95" s="67"/>
      <c r="JD95" s="296"/>
      <c r="JE95" s="297"/>
      <c r="JF95" s="298"/>
      <c r="JG95" s="293"/>
      <c r="JH95" s="294"/>
      <c r="JI95" s="294"/>
      <c r="JJ95" s="295"/>
      <c r="JK95" s="67"/>
      <c r="JM95" s="296"/>
      <c r="JN95" s="297"/>
      <c r="JO95" s="299"/>
      <c r="JP95" s="293"/>
      <c r="JQ95" s="294"/>
      <c r="JR95" s="294"/>
      <c r="JS95" s="295"/>
      <c r="JT95" s="67"/>
      <c r="JV95" s="296"/>
      <c r="JW95" s="297"/>
      <c r="JX95" s="298"/>
      <c r="JY95" s="293"/>
      <c r="JZ95" s="294"/>
      <c r="KA95" s="294"/>
      <c r="KB95" s="295"/>
      <c r="KC95" s="67"/>
      <c r="KE95" s="296"/>
      <c r="KF95" s="297"/>
      <c r="KG95" s="298"/>
      <c r="KH95" s="293"/>
      <c r="KI95" s="294"/>
      <c r="KJ95" s="294"/>
      <c r="KK95" s="295"/>
      <c r="KL95" s="67"/>
      <c r="KN95" s="303"/>
      <c r="KO95" s="304"/>
      <c r="KP95" s="305"/>
      <c r="KQ95" s="293"/>
      <c r="KR95" s="294"/>
      <c r="KS95" s="294"/>
      <c r="KT95" s="295"/>
      <c r="KU95" s="67"/>
      <c r="KW95" s="296"/>
      <c r="KX95" s="297"/>
      <c r="KY95" s="298"/>
      <c r="KZ95" s="293"/>
      <c r="LA95" s="294"/>
      <c r="LB95" s="294"/>
      <c r="LC95" s="295"/>
      <c r="LD95" s="67"/>
      <c r="LF95" s="290"/>
      <c r="LG95" s="291"/>
      <c r="LH95" s="292"/>
      <c r="LI95" s="293"/>
      <c r="LJ95" s="294"/>
      <c r="LK95" s="294"/>
      <c r="LL95" s="295"/>
      <c r="LM95" s="67"/>
      <c r="LO95" s="296"/>
      <c r="LP95" s="297"/>
      <c r="LQ95" s="298"/>
      <c r="LR95" s="293"/>
      <c r="LS95" s="294"/>
      <c r="LT95" s="294"/>
      <c r="LU95" s="295"/>
      <c r="LV95" s="67"/>
      <c r="LX95" s="296"/>
      <c r="LY95" s="297"/>
      <c r="LZ95" s="298"/>
      <c r="MA95" s="293"/>
      <c r="MB95" s="294"/>
      <c r="MC95" s="294"/>
      <c r="MD95" s="295"/>
      <c r="ME95" s="67"/>
      <c r="MG95" s="296"/>
      <c r="MH95" s="297"/>
      <c r="MI95" s="298"/>
      <c r="MJ95" s="293"/>
      <c r="MK95" s="294"/>
      <c r="ML95" s="294"/>
      <c r="MM95" s="295"/>
      <c r="MN95" s="67"/>
      <c r="MP95" s="296"/>
      <c r="MQ95" s="297"/>
      <c r="MR95" s="298"/>
      <c r="MS95" s="293"/>
      <c r="MT95" s="294"/>
      <c r="MU95" s="294"/>
      <c r="MV95" s="295"/>
      <c r="MW95" s="67"/>
      <c r="MY95" s="296"/>
      <c r="MZ95" s="297"/>
      <c r="NA95" s="298"/>
      <c r="NB95" s="293"/>
      <c r="NC95" s="294"/>
      <c r="ND95" s="294"/>
      <c r="NE95" s="295"/>
      <c r="NF95" s="67"/>
      <c r="NH95" s="296"/>
      <c r="NI95" s="297"/>
      <c r="NJ95" s="298"/>
      <c r="NK95" s="293"/>
      <c r="NL95" s="294"/>
      <c r="NM95" s="294"/>
      <c r="NN95" s="295"/>
      <c r="NO95" s="67"/>
      <c r="NQ95" s="296"/>
      <c r="NR95" s="297"/>
      <c r="NS95" s="298"/>
      <c r="NT95" s="293"/>
      <c r="NU95" s="294"/>
      <c r="NV95" s="294"/>
      <c r="NW95" s="295"/>
      <c r="NX95" s="67"/>
      <c r="NZ95" s="290"/>
      <c r="OA95" s="291"/>
      <c r="OB95" s="292"/>
      <c r="OC95" s="293"/>
      <c r="OD95" s="294"/>
      <c r="OE95" s="294"/>
      <c r="OF95" s="295"/>
      <c r="OG95" s="67"/>
      <c r="OI95" s="296"/>
      <c r="OJ95" s="297"/>
      <c r="OK95" s="329"/>
      <c r="OL95" s="293"/>
      <c r="OM95" s="294"/>
      <c r="ON95" s="294"/>
      <c r="OO95" s="295"/>
      <c r="OP95" s="67"/>
      <c r="OR95" s="290"/>
      <c r="OS95" s="291"/>
      <c r="OT95" s="292"/>
      <c r="OU95" s="293"/>
      <c r="OV95" s="294"/>
      <c r="OW95" s="294"/>
      <c r="OX95" s="295"/>
      <c r="OY95" s="67"/>
      <c r="PA95" s="296"/>
      <c r="PB95" s="297"/>
      <c r="PC95" s="298"/>
      <c r="PD95" s="293"/>
      <c r="PE95" s="294"/>
      <c r="PF95" s="294"/>
      <c r="PG95" s="295"/>
      <c r="PH95" s="67"/>
      <c r="PJ95" s="303"/>
      <c r="PK95" s="304"/>
      <c r="PL95" s="305"/>
      <c r="PM95" s="293"/>
      <c r="PN95" s="294"/>
      <c r="PO95" s="294"/>
      <c r="PP95" s="295"/>
      <c r="PQ95" s="67"/>
      <c r="PS95" s="406"/>
      <c r="PT95" s="407"/>
      <c r="PU95" s="408"/>
      <c r="PV95" s="334"/>
      <c r="PW95" s="335"/>
      <c r="PX95" s="335"/>
      <c r="PY95" s="336"/>
      <c r="PZ95" s="333"/>
      <c r="QB95" s="290"/>
      <c r="QC95" s="291"/>
      <c r="QD95" s="292"/>
      <c r="QE95" s="293"/>
      <c r="QF95" s="294"/>
      <c r="QG95" s="294"/>
      <c r="QH95" s="295"/>
      <c r="QI95" s="67"/>
      <c r="QK95" s="306"/>
      <c r="QL95" s="307"/>
      <c r="QM95" s="308"/>
      <c r="QN95" s="293"/>
      <c r="QO95" s="294"/>
      <c r="QP95" s="294"/>
      <c r="QQ95" s="295"/>
      <c r="QR95" s="67"/>
      <c r="QS95" s="91"/>
      <c r="QT95" s="107">
        <f t="shared" si="87"/>
        <v>0</v>
      </c>
      <c r="QU95" s="130">
        <f t="shared" si="88"/>
        <v>0</v>
      </c>
      <c r="QV95" s="130">
        <f t="shared" si="89"/>
        <v>0</v>
      </c>
      <c r="QW95" s="108">
        <f t="shared" si="90"/>
        <v>0</v>
      </c>
      <c r="QY95" s="260">
        <f t="shared" si="91"/>
        <v>0</v>
      </c>
      <c r="RA95" s="141">
        <f t="shared" si="92"/>
        <v>0</v>
      </c>
      <c r="RB95" s="106">
        <f t="shared" si="93"/>
        <v>0</v>
      </c>
      <c r="RC95" s="106">
        <f t="shared" si="94"/>
        <v>0</v>
      </c>
      <c r="RD95" s="106">
        <f t="shared" si="95"/>
        <v>0</v>
      </c>
      <c r="RE95" s="106">
        <f t="shared" si="96"/>
        <v>0</v>
      </c>
      <c r="RF95" s="142">
        <f t="shared" si="97"/>
        <v>0</v>
      </c>
      <c r="RG95" s="106"/>
      <c r="RH95" s="139">
        <f t="shared" si="98"/>
        <v>0</v>
      </c>
      <c r="RI95" s="140">
        <f t="shared" si="99"/>
        <v>0</v>
      </c>
      <c r="RJ95" s="106"/>
      <c r="RK95" s="136">
        <f t="shared" si="100"/>
        <v>0</v>
      </c>
      <c r="RL95" s="106"/>
      <c r="RM95" s="137">
        <f t="shared" si="101"/>
        <v>0</v>
      </c>
      <c r="RN95" s="138">
        <f t="shared" si="102"/>
        <v>0</v>
      </c>
      <c r="RO95" s="106"/>
      <c r="RP95" s="259">
        <f t="shared" si="103"/>
        <v>0</v>
      </c>
    </row>
    <row r="96" spans="1:484" x14ac:dyDescent="0.2">
      <c r="A96" s="89">
        <f>'Name List'!B96</f>
        <v>22</v>
      </c>
      <c r="C96" s="296"/>
      <c r="D96" s="297"/>
      <c r="E96" s="329" t="str">
        <f t="shared" si="67"/>
        <v/>
      </c>
      <c r="F96" s="293"/>
      <c r="G96" s="294"/>
      <c r="H96" s="294"/>
      <c r="I96" s="295"/>
      <c r="J96" s="333" t="str">
        <f>IF(E96="","",'Name List'!$I$4)</f>
        <v/>
      </c>
      <c r="L96" s="296"/>
      <c r="M96" s="297"/>
      <c r="N96" s="298"/>
      <c r="O96" s="293"/>
      <c r="P96" s="294"/>
      <c r="Q96" s="294"/>
      <c r="R96" s="295"/>
      <c r="S96" s="67"/>
      <c r="U96" s="290"/>
      <c r="V96" s="291"/>
      <c r="W96" s="396" t="str">
        <f t="shared" si="68"/>
        <v/>
      </c>
      <c r="X96" s="293"/>
      <c r="Y96" s="294"/>
      <c r="Z96" s="294"/>
      <c r="AA96" s="295"/>
      <c r="AB96" s="333" t="str">
        <f>IF(W96="","",'Name List'!$I$4)</f>
        <v/>
      </c>
      <c r="AD96" s="296"/>
      <c r="AE96" s="297"/>
      <c r="AF96" s="329" t="str">
        <f t="shared" si="69"/>
        <v/>
      </c>
      <c r="AG96" s="293"/>
      <c r="AH96" s="294"/>
      <c r="AI96" s="294"/>
      <c r="AJ96" s="295"/>
      <c r="AK96" s="333" t="str">
        <f>IF(AF96="","",'Name List'!$I$4)</f>
        <v/>
      </c>
      <c r="AM96" s="296"/>
      <c r="AN96" s="297"/>
      <c r="AO96" s="329" t="str">
        <f t="shared" si="70"/>
        <v/>
      </c>
      <c r="AP96" s="293"/>
      <c r="AQ96" s="294"/>
      <c r="AR96" s="294"/>
      <c r="AS96" s="295"/>
      <c r="AT96" s="333" t="str">
        <f>IF(AO96="","",'Name List'!$I$4)</f>
        <v/>
      </c>
      <c r="AV96" s="459"/>
      <c r="AW96" s="402"/>
      <c r="AX96" s="400" t="str">
        <f t="shared" si="71"/>
        <v/>
      </c>
      <c r="AY96" s="293"/>
      <c r="AZ96" s="294"/>
      <c r="BA96" s="294"/>
      <c r="BB96" s="295"/>
      <c r="BC96" s="457" t="str">
        <f>IF(AX96="","",'Name List'!$I$4)</f>
        <v/>
      </c>
      <c r="BE96" s="290"/>
      <c r="BF96" s="291"/>
      <c r="BG96" s="383" t="str">
        <f t="shared" si="72"/>
        <v/>
      </c>
      <c r="BH96" s="293"/>
      <c r="BI96" s="294"/>
      <c r="BJ96" s="294"/>
      <c r="BK96" s="295"/>
      <c r="BL96" s="67"/>
      <c r="BN96" s="296"/>
      <c r="BO96" s="297"/>
      <c r="BP96" s="298"/>
      <c r="BQ96" s="293"/>
      <c r="BR96" s="294"/>
      <c r="BS96" s="294"/>
      <c r="BT96" s="295"/>
      <c r="BU96" s="67"/>
      <c r="BW96" s="296"/>
      <c r="BX96" s="297"/>
      <c r="BY96" s="329" t="str">
        <f t="shared" si="73"/>
        <v/>
      </c>
      <c r="BZ96" s="293"/>
      <c r="CA96" s="294"/>
      <c r="CB96" s="294"/>
      <c r="CC96" s="295"/>
      <c r="CD96" s="333" t="str">
        <f>IF(BY96="","",'Name List'!$I$4)</f>
        <v/>
      </c>
      <c r="CF96" s="68"/>
      <c r="CG96" s="69"/>
      <c r="CH96" s="70"/>
      <c r="CI96" s="293"/>
      <c r="CJ96" s="294"/>
      <c r="CK96" s="294"/>
      <c r="CL96" s="295"/>
      <c r="CM96" s="67"/>
      <c r="CO96" s="290"/>
      <c r="CP96" s="291"/>
      <c r="CQ96" s="383" t="str">
        <f t="shared" si="74"/>
        <v/>
      </c>
      <c r="CR96" s="293"/>
      <c r="CS96" s="294"/>
      <c r="CT96" s="294"/>
      <c r="CU96" s="295"/>
      <c r="CV96" s="333" t="str">
        <f>IF(CQ96="","",'Name List'!$I$4)</f>
        <v/>
      </c>
      <c r="CX96" s="296"/>
      <c r="CY96" s="297"/>
      <c r="CZ96" s="100"/>
      <c r="DA96" s="293"/>
      <c r="DB96" s="294"/>
      <c r="DC96" s="294"/>
      <c r="DD96" s="295"/>
      <c r="DE96" s="67"/>
      <c r="DG96" s="296"/>
      <c r="DH96" s="297"/>
      <c r="DI96" s="298"/>
      <c r="DJ96" s="293"/>
      <c r="DK96" s="294"/>
      <c r="DL96" s="294"/>
      <c r="DM96" s="295"/>
      <c r="DN96" s="67"/>
      <c r="DP96" s="296"/>
      <c r="DQ96" s="297"/>
      <c r="DR96" s="329" t="str">
        <f t="shared" si="77"/>
        <v/>
      </c>
      <c r="DS96" s="293"/>
      <c r="DT96" s="294"/>
      <c r="DU96" s="294"/>
      <c r="DV96" s="295"/>
      <c r="DW96" s="67"/>
      <c r="DY96" s="296"/>
      <c r="DZ96" s="297"/>
      <c r="EA96" s="329" t="str">
        <f t="shared" si="78"/>
        <v/>
      </c>
      <c r="EB96" s="293"/>
      <c r="EC96" s="294"/>
      <c r="ED96" s="294"/>
      <c r="EE96" s="295"/>
      <c r="EF96" s="67"/>
      <c r="EH96" s="296"/>
      <c r="EI96" s="297"/>
      <c r="EJ96" s="298"/>
      <c r="EK96" s="293"/>
      <c r="EL96" s="294"/>
      <c r="EM96" s="294"/>
      <c r="EN96" s="295"/>
      <c r="EO96" s="67"/>
      <c r="EQ96" s="300"/>
      <c r="ER96" s="301"/>
      <c r="ES96" s="390"/>
      <c r="ET96" s="293"/>
      <c r="EU96" s="294"/>
      <c r="EV96" s="294"/>
      <c r="EW96" s="295"/>
      <c r="EX96" s="67"/>
      <c r="EZ96" s="303"/>
      <c r="FA96" s="304"/>
      <c r="FB96" s="305"/>
      <c r="FC96" s="293"/>
      <c r="FD96" s="294"/>
      <c r="FE96" s="294"/>
      <c r="FF96" s="295"/>
      <c r="FG96" s="67"/>
      <c r="FI96" s="296"/>
      <c r="FJ96" s="297"/>
      <c r="FK96" s="298"/>
      <c r="FL96" s="293"/>
      <c r="FM96" s="294"/>
      <c r="FN96" s="294"/>
      <c r="FO96" s="295"/>
      <c r="FP96" s="67"/>
      <c r="FR96" s="296"/>
      <c r="FS96" s="297"/>
      <c r="FT96" s="298"/>
      <c r="FU96" s="293"/>
      <c r="FV96" s="294"/>
      <c r="FW96" s="294"/>
      <c r="FX96" s="295"/>
      <c r="FY96" s="67"/>
      <c r="GA96" s="296"/>
      <c r="GB96" s="297"/>
      <c r="GC96" s="298"/>
      <c r="GD96" s="293"/>
      <c r="GE96" s="294"/>
      <c r="GF96" s="294"/>
      <c r="GG96" s="295"/>
      <c r="GH96" s="67"/>
      <c r="GJ96" s="296"/>
      <c r="GK96" s="297"/>
      <c r="GL96" s="298"/>
      <c r="GM96" s="293"/>
      <c r="GN96" s="294"/>
      <c r="GO96" s="294"/>
      <c r="GP96" s="295"/>
      <c r="GQ96" s="67"/>
      <c r="GS96" s="303"/>
      <c r="GT96" s="304"/>
      <c r="GU96" s="305"/>
      <c r="GV96" s="293"/>
      <c r="GW96" s="294"/>
      <c r="GX96" s="294"/>
      <c r="GY96" s="295"/>
      <c r="GZ96" s="67"/>
      <c r="HB96" s="296"/>
      <c r="HC96" s="297"/>
      <c r="HD96" s="298"/>
      <c r="HE96" s="293"/>
      <c r="HF96" s="294"/>
      <c r="HG96" s="294"/>
      <c r="HH96" s="295"/>
      <c r="HI96" s="67"/>
      <c r="HK96" s="290"/>
      <c r="HL96" s="291"/>
      <c r="HM96" s="383" t="str">
        <f t="shared" si="85"/>
        <v/>
      </c>
      <c r="HN96" s="293"/>
      <c r="HO96" s="294"/>
      <c r="HP96" s="294"/>
      <c r="HQ96" s="295"/>
      <c r="HR96" s="333" t="str">
        <f>IF(HM96="","",'Name List'!$I$4)</f>
        <v/>
      </c>
      <c r="HT96" s="303"/>
      <c r="HU96" s="304"/>
      <c r="HV96" s="305"/>
      <c r="HW96" s="293"/>
      <c r="HX96" s="294"/>
      <c r="HY96" s="294"/>
      <c r="HZ96" s="295"/>
      <c r="IA96" s="67"/>
      <c r="IC96" s="300"/>
      <c r="ID96" s="301"/>
      <c r="IE96" s="302"/>
      <c r="IF96" s="293"/>
      <c r="IG96" s="294"/>
      <c r="IH96" s="294"/>
      <c r="II96" s="295"/>
      <c r="IJ96" s="67"/>
      <c r="IL96" s="296"/>
      <c r="IM96" s="297"/>
      <c r="IN96" s="298"/>
      <c r="IO96" s="293"/>
      <c r="IP96" s="294"/>
      <c r="IQ96" s="294"/>
      <c r="IR96" s="295"/>
      <c r="IS96" s="67"/>
      <c r="IU96" s="296"/>
      <c r="IV96" s="297"/>
      <c r="IW96" s="298"/>
      <c r="IX96" s="293"/>
      <c r="IY96" s="294"/>
      <c r="IZ96" s="294"/>
      <c r="JA96" s="295"/>
      <c r="JB96" s="67"/>
      <c r="JD96" s="296"/>
      <c r="JE96" s="297"/>
      <c r="JF96" s="298"/>
      <c r="JG96" s="293"/>
      <c r="JH96" s="294"/>
      <c r="JI96" s="294"/>
      <c r="JJ96" s="295"/>
      <c r="JK96" s="67"/>
      <c r="JM96" s="296"/>
      <c r="JN96" s="297"/>
      <c r="JO96" s="299"/>
      <c r="JP96" s="293"/>
      <c r="JQ96" s="294"/>
      <c r="JR96" s="294"/>
      <c r="JS96" s="295"/>
      <c r="JT96" s="67"/>
      <c r="JV96" s="296"/>
      <c r="JW96" s="297"/>
      <c r="JX96" s="298"/>
      <c r="JY96" s="293"/>
      <c r="JZ96" s="294"/>
      <c r="KA96" s="294"/>
      <c r="KB96" s="295"/>
      <c r="KC96" s="67"/>
      <c r="KE96" s="296"/>
      <c r="KF96" s="297"/>
      <c r="KG96" s="298"/>
      <c r="KH96" s="293"/>
      <c r="KI96" s="294"/>
      <c r="KJ96" s="294"/>
      <c r="KK96" s="295"/>
      <c r="KL96" s="67"/>
      <c r="KN96" s="303"/>
      <c r="KO96" s="304"/>
      <c r="KP96" s="305"/>
      <c r="KQ96" s="293"/>
      <c r="KR96" s="294"/>
      <c r="KS96" s="294"/>
      <c r="KT96" s="295"/>
      <c r="KU96" s="67"/>
      <c r="KW96" s="296"/>
      <c r="KX96" s="297"/>
      <c r="KY96" s="298"/>
      <c r="KZ96" s="293"/>
      <c r="LA96" s="294"/>
      <c r="LB96" s="294"/>
      <c r="LC96" s="295"/>
      <c r="LD96" s="67"/>
      <c r="LF96" s="290"/>
      <c r="LG96" s="291"/>
      <c r="LH96" s="292"/>
      <c r="LI96" s="293"/>
      <c r="LJ96" s="294"/>
      <c r="LK96" s="294"/>
      <c r="LL96" s="295"/>
      <c r="LM96" s="67"/>
      <c r="LO96" s="296"/>
      <c r="LP96" s="297"/>
      <c r="LQ96" s="298"/>
      <c r="LR96" s="293"/>
      <c r="LS96" s="294"/>
      <c r="LT96" s="294"/>
      <c r="LU96" s="295"/>
      <c r="LV96" s="67"/>
      <c r="LX96" s="296"/>
      <c r="LY96" s="297"/>
      <c r="LZ96" s="298"/>
      <c r="MA96" s="293"/>
      <c r="MB96" s="294"/>
      <c r="MC96" s="294"/>
      <c r="MD96" s="295"/>
      <c r="ME96" s="67"/>
      <c r="MG96" s="296"/>
      <c r="MH96" s="297"/>
      <c r="MI96" s="298"/>
      <c r="MJ96" s="293"/>
      <c r="MK96" s="294"/>
      <c r="ML96" s="294"/>
      <c r="MM96" s="295"/>
      <c r="MN96" s="67"/>
      <c r="MP96" s="296"/>
      <c r="MQ96" s="297"/>
      <c r="MR96" s="298"/>
      <c r="MS96" s="293"/>
      <c r="MT96" s="294"/>
      <c r="MU96" s="294"/>
      <c r="MV96" s="295"/>
      <c r="MW96" s="67"/>
      <c r="MY96" s="296"/>
      <c r="MZ96" s="297"/>
      <c r="NA96" s="298"/>
      <c r="NB96" s="293"/>
      <c r="NC96" s="294"/>
      <c r="ND96" s="294"/>
      <c r="NE96" s="295"/>
      <c r="NF96" s="67"/>
      <c r="NH96" s="296"/>
      <c r="NI96" s="297"/>
      <c r="NJ96" s="298"/>
      <c r="NK96" s="293"/>
      <c r="NL96" s="294"/>
      <c r="NM96" s="294"/>
      <c r="NN96" s="295"/>
      <c r="NO96" s="67"/>
      <c r="NQ96" s="296"/>
      <c r="NR96" s="297"/>
      <c r="NS96" s="298"/>
      <c r="NT96" s="293"/>
      <c r="NU96" s="294"/>
      <c r="NV96" s="294"/>
      <c r="NW96" s="295"/>
      <c r="NX96" s="67"/>
      <c r="NZ96" s="290"/>
      <c r="OA96" s="291"/>
      <c r="OB96" s="292"/>
      <c r="OC96" s="293"/>
      <c r="OD96" s="294"/>
      <c r="OE96" s="294"/>
      <c r="OF96" s="295"/>
      <c r="OG96" s="67"/>
      <c r="OI96" s="296"/>
      <c r="OJ96" s="297"/>
      <c r="OK96" s="329"/>
      <c r="OL96" s="293"/>
      <c r="OM96" s="294"/>
      <c r="ON96" s="294"/>
      <c r="OO96" s="295"/>
      <c r="OP96" s="67"/>
      <c r="OR96" s="290"/>
      <c r="OS96" s="291"/>
      <c r="OT96" s="292"/>
      <c r="OU96" s="293"/>
      <c r="OV96" s="294"/>
      <c r="OW96" s="294"/>
      <c r="OX96" s="295"/>
      <c r="OY96" s="67"/>
      <c r="PA96" s="296"/>
      <c r="PB96" s="297"/>
      <c r="PC96" s="298"/>
      <c r="PD96" s="293"/>
      <c r="PE96" s="294"/>
      <c r="PF96" s="294"/>
      <c r="PG96" s="295"/>
      <c r="PH96" s="67"/>
      <c r="PJ96" s="303"/>
      <c r="PK96" s="304"/>
      <c r="PL96" s="305"/>
      <c r="PM96" s="293"/>
      <c r="PN96" s="294"/>
      <c r="PO96" s="294"/>
      <c r="PP96" s="295"/>
      <c r="PQ96" s="67"/>
      <c r="PS96" s="406"/>
      <c r="PT96" s="407"/>
      <c r="PU96" s="408"/>
      <c r="PV96" s="334"/>
      <c r="PW96" s="335"/>
      <c r="PX96" s="335"/>
      <c r="PY96" s="336"/>
      <c r="PZ96" s="333"/>
      <c r="QB96" s="290"/>
      <c r="QC96" s="291"/>
      <c r="QD96" s="292"/>
      <c r="QE96" s="293"/>
      <c r="QF96" s="294"/>
      <c r="QG96" s="294"/>
      <c r="QH96" s="295"/>
      <c r="QI96" s="67"/>
      <c r="QK96" s="306"/>
      <c r="QL96" s="307"/>
      <c r="QM96" s="308"/>
      <c r="QN96" s="293"/>
      <c r="QO96" s="294"/>
      <c r="QP96" s="294"/>
      <c r="QQ96" s="295"/>
      <c r="QR96" s="67"/>
      <c r="QS96" s="91"/>
      <c r="QT96" s="107">
        <f t="shared" si="87"/>
        <v>0</v>
      </c>
      <c r="QU96" s="130">
        <f t="shared" si="88"/>
        <v>0</v>
      </c>
      <c r="QV96" s="130">
        <f t="shared" si="89"/>
        <v>0</v>
      </c>
      <c r="QW96" s="108">
        <f t="shared" si="90"/>
        <v>0</v>
      </c>
      <c r="QY96" s="260">
        <f t="shared" si="91"/>
        <v>0</v>
      </c>
      <c r="RA96" s="141">
        <f t="shared" si="92"/>
        <v>0</v>
      </c>
      <c r="RB96" s="106">
        <f t="shared" si="93"/>
        <v>0</v>
      </c>
      <c r="RC96" s="106">
        <f t="shared" si="94"/>
        <v>0</v>
      </c>
      <c r="RD96" s="106">
        <f t="shared" si="95"/>
        <v>0</v>
      </c>
      <c r="RE96" s="106">
        <f t="shared" si="96"/>
        <v>0</v>
      </c>
      <c r="RF96" s="142">
        <f t="shared" si="97"/>
        <v>0</v>
      </c>
      <c r="RG96" s="106"/>
      <c r="RH96" s="139">
        <f t="shared" si="98"/>
        <v>0</v>
      </c>
      <c r="RI96" s="140">
        <f t="shared" si="99"/>
        <v>0</v>
      </c>
      <c r="RJ96" s="106"/>
      <c r="RK96" s="136">
        <f t="shared" si="100"/>
        <v>0</v>
      </c>
      <c r="RL96" s="106"/>
      <c r="RM96" s="137">
        <f t="shared" si="101"/>
        <v>0</v>
      </c>
      <c r="RN96" s="138">
        <f t="shared" si="102"/>
        <v>0</v>
      </c>
      <c r="RO96" s="106"/>
      <c r="RP96" s="259">
        <f t="shared" si="103"/>
        <v>0</v>
      </c>
    </row>
    <row r="97" spans="1:484" x14ac:dyDescent="0.2">
      <c r="A97" s="89">
        <f>'Name List'!B97</f>
        <v>23</v>
      </c>
      <c r="C97" s="296"/>
      <c r="D97" s="297"/>
      <c r="E97" s="329" t="str">
        <f t="shared" si="67"/>
        <v/>
      </c>
      <c r="F97" s="293"/>
      <c r="G97" s="294"/>
      <c r="H97" s="294"/>
      <c r="I97" s="295"/>
      <c r="J97" s="333" t="str">
        <f>IF(E97="","",'Name List'!$I$4)</f>
        <v/>
      </c>
      <c r="L97" s="296"/>
      <c r="M97" s="297"/>
      <c r="N97" s="298"/>
      <c r="O97" s="293"/>
      <c r="P97" s="294"/>
      <c r="Q97" s="294"/>
      <c r="R97" s="295"/>
      <c r="S97" s="67"/>
      <c r="U97" s="290"/>
      <c r="V97" s="291"/>
      <c r="W97" s="396" t="str">
        <f t="shared" si="68"/>
        <v/>
      </c>
      <c r="X97" s="293"/>
      <c r="Y97" s="294"/>
      <c r="Z97" s="294"/>
      <c r="AA97" s="295"/>
      <c r="AB97" s="333" t="str">
        <f>IF(W97="","",'Name List'!$I$4)</f>
        <v/>
      </c>
      <c r="AD97" s="296"/>
      <c r="AE97" s="297"/>
      <c r="AF97" s="329" t="str">
        <f t="shared" si="69"/>
        <v/>
      </c>
      <c r="AG97" s="293"/>
      <c r="AH97" s="294"/>
      <c r="AI97" s="294"/>
      <c r="AJ97" s="295"/>
      <c r="AK97" s="333" t="str">
        <f>IF(AF97="","",'Name List'!$I$4)</f>
        <v/>
      </c>
      <c r="AM97" s="296"/>
      <c r="AN97" s="297"/>
      <c r="AO97" s="329" t="str">
        <f t="shared" si="70"/>
        <v/>
      </c>
      <c r="AP97" s="293"/>
      <c r="AQ97" s="294"/>
      <c r="AR97" s="294"/>
      <c r="AS97" s="295"/>
      <c r="AT97" s="333" t="str">
        <f>IF(AO97="","",'Name List'!$I$4)</f>
        <v/>
      </c>
      <c r="AV97" s="459"/>
      <c r="AW97" s="402"/>
      <c r="AX97" s="400" t="str">
        <f t="shared" si="71"/>
        <v/>
      </c>
      <c r="AY97" s="293"/>
      <c r="AZ97" s="294"/>
      <c r="BA97" s="294"/>
      <c r="BB97" s="295"/>
      <c r="BC97" s="457" t="str">
        <f>IF(AX97="","",'Name List'!$I$4)</f>
        <v/>
      </c>
      <c r="BE97" s="290"/>
      <c r="BF97" s="291"/>
      <c r="BG97" s="292"/>
      <c r="BH97" s="293"/>
      <c r="BI97" s="294"/>
      <c r="BJ97" s="294"/>
      <c r="BK97" s="295"/>
      <c r="BL97" s="67"/>
      <c r="BN97" s="296"/>
      <c r="BO97" s="297"/>
      <c r="BP97" s="298"/>
      <c r="BQ97" s="293"/>
      <c r="BR97" s="294"/>
      <c r="BS97" s="294"/>
      <c r="BT97" s="295"/>
      <c r="BU97" s="67"/>
      <c r="BW97" s="296"/>
      <c r="BX97" s="297"/>
      <c r="BY97" s="329" t="str">
        <f t="shared" si="73"/>
        <v/>
      </c>
      <c r="BZ97" s="293"/>
      <c r="CA97" s="294"/>
      <c r="CB97" s="294"/>
      <c r="CC97" s="295"/>
      <c r="CD97" s="333" t="str">
        <f>IF(BY97="","",'Name List'!$I$4)</f>
        <v/>
      </c>
      <c r="CF97" s="68"/>
      <c r="CG97" s="69"/>
      <c r="CH97" s="70"/>
      <c r="CI97" s="293"/>
      <c r="CJ97" s="294"/>
      <c r="CK97" s="294"/>
      <c r="CL97" s="295"/>
      <c r="CM97" s="67"/>
      <c r="CO97" s="290"/>
      <c r="CP97" s="291"/>
      <c r="CQ97" s="383" t="str">
        <f t="shared" si="74"/>
        <v/>
      </c>
      <c r="CR97" s="293"/>
      <c r="CS97" s="294"/>
      <c r="CT97" s="294"/>
      <c r="CU97" s="295"/>
      <c r="CV97" s="333" t="str">
        <f>IF(CQ97="","",'Name List'!$I$4)</f>
        <v/>
      </c>
      <c r="CX97" s="296"/>
      <c r="CY97" s="297"/>
      <c r="CZ97" s="100"/>
      <c r="DA97" s="293"/>
      <c r="DB97" s="294"/>
      <c r="DC97" s="294"/>
      <c r="DD97" s="295"/>
      <c r="DE97" s="67"/>
      <c r="DG97" s="296"/>
      <c r="DH97" s="297"/>
      <c r="DI97" s="298"/>
      <c r="DJ97" s="293"/>
      <c r="DK97" s="294"/>
      <c r="DL97" s="294"/>
      <c r="DM97" s="295"/>
      <c r="DN97" s="67"/>
      <c r="DP97" s="296"/>
      <c r="DQ97" s="297"/>
      <c r="DR97" s="329" t="str">
        <f t="shared" si="77"/>
        <v/>
      </c>
      <c r="DS97" s="293"/>
      <c r="DT97" s="294"/>
      <c r="DU97" s="294"/>
      <c r="DV97" s="295"/>
      <c r="DW97" s="67"/>
      <c r="DY97" s="296"/>
      <c r="DZ97" s="297"/>
      <c r="EA97" s="329" t="str">
        <f t="shared" si="78"/>
        <v/>
      </c>
      <c r="EB97" s="293"/>
      <c r="EC97" s="294"/>
      <c r="ED97" s="294"/>
      <c r="EE97" s="295"/>
      <c r="EF97" s="67"/>
      <c r="EH97" s="296"/>
      <c r="EI97" s="297"/>
      <c r="EJ97" s="298"/>
      <c r="EK97" s="293"/>
      <c r="EL97" s="294"/>
      <c r="EM97" s="294"/>
      <c r="EN97" s="295"/>
      <c r="EO97" s="67"/>
      <c r="EQ97" s="300"/>
      <c r="ER97" s="301"/>
      <c r="ES97" s="390"/>
      <c r="ET97" s="293"/>
      <c r="EU97" s="294"/>
      <c r="EV97" s="294"/>
      <c r="EW97" s="295"/>
      <c r="EX97" s="67"/>
      <c r="EZ97" s="303"/>
      <c r="FA97" s="304"/>
      <c r="FB97" s="305"/>
      <c r="FC97" s="293"/>
      <c r="FD97" s="294"/>
      <c r="FE97" s="294"/>
      <c r="FF97" s="295"/>
      <c r="FG97" s="67"/>
      <c r="FI97" s="296"/>
      <c r="FJ97" s="297"/>
      <c r="FK97" s="298"/>
      <c r="FL97" s="293"/>
      <c r="FM97" s="294"/>
      <c r="FN97" s="294"/>
      <c r="FO97" s="295"/>
      <c r="FP97" s="67"/>
      <c r="FR97" s="296"/>
      <c r="FS97" s="297"/>
      <c r="FT97" s="298"/>
      <c r="FU97" s="293"/>
      <c r="FV97" s="294"/>
      <c r="FW97" s="294"/>
      <c r="FX97" s="295"/>
      <c r="FY97" s="67"/>
      <c r="GA97" s="296"/>
      <c r="GB97" s="297"/>
      <c r="GC97" s="298"/>
      <c r="GD97" s="293"/>
      <c r="GE97" s="294"/>
      <c r="GF97" s="294"/>
      <c r="GG97" s="295"/>
      <c r="GH97" s="67"/>
      <c r="GJ97" s="296"/>
      <c r="GK97" s="297"/>
      <c r="GL97" s="298"/>
      <c r="GM97" s="293"/>
      <c r="GN97" s="294"/>
      <c r="GO97" s="294"/>
      <c r="GP97" s="295"/>
      <c r="GQ97" s="67"/>
      <c r="GS97" s="303"/>
      <c r="GT97" s="304"/>
      <c r="GU97" s="305"/>
      <c r="GV97" s="293"/>
      <c r="GW97" s="294"/>
      <c r="GX97" s="294"/>
      <c r="GY97" s="295"/>
      <c r="GZ97" s="67"/>
      <c r="HB97" s="296"/>
      <c r="HC97" s="297"/>
      <c r="HD97" s="298"/>
      <c r="HE97" s="293"/>
      <c r="HF97" s="294"/>
      <c r="HG97" s="294"/>
      <c r="HH97" s="295"/>
      <c r="HI97" s="67"/>
      <c r="HK97" s="290"/>
      <c r="HL97" s="291"/>
      <c r="HM97" s="383" t="str">
        <f t="shared" si="85"/>
        <v/>
      </c>
      <c r="HN97" s="293"/>
      <c r="HO97" s="294"/>
      <c r="HP97" s="294"/>
      <c r="HQ97" s="295"/>
      <c r="HR97" s="333" t="str">
        <f>IF(HM97="","",'Name List'!$I$4)</f>
        <v/>
      </c>
      <c r="HT97" s="303"/>
      <c r="HU97" s="304"/>
      <c r="HV97" s="305"/>
      <c r="HW97" s="293"/>
      <c r="HX97" s="294"/>
      <c r="HY97" s="294"/>
      <c r="HZ97" s="295"/>
      <c r="IA97" s="67"/>
      <c r="IC97" s="300"/>
      <c r="ID97" s="301"/>
      <c r="IE97" s="302"/>
      <c r="IF97" s="293"/>
      <c r="IG97" s="294"/>
      <c r="IH97" s="294"/>
      <c r="II97" s="295"/>
      <c r="IJ97" s="67"/>
      <c r="IL97" s="296"/>
      <c r="IM97" s="297"/>
      <c r="IN97" s="298"/>
      <c r="IO97" s="293"/>
      <c r="IP97" s="294"/>
      <c r="IQ97" s="294"/>
      <c r="IR97" s="295"/>
      <c r="IS97" s="67"/>
      <c r="IU97" s="296"/>
      <c r="IV97" s="297"/>
      <c r="IW97" s="298"/>
      <c r="IX97" s="293"/>
      <c r="IY97" s="294"/>
      <c r="IZ97" s="294"/>
      <c r="JA97" s="295"/>
      <c r="JB97" s="67"/>
      <c r="JD97" s="296"/>
      <c r="JE97" s="297"/>
      <c r="JF97" s="298"/>
      <c r="JG97" s="293"/>
      <c r="JH97" s="294"/>
      <c r="JI97" s="294"/>
      <c r="JJ97" s="295"/>
      <c r="JK97" s="67"/>
      <c r="JM97" s="296"/>
      <c r="JN97" s="297"/>
      <c r="JO97" s="299"/>
      <c r="JP97" s="293"/>
      <c r="JQ97" s="294"/>
      <c r="JR97" s="294"/>
      <c r="JS97" s="295"/>
      <c r="JT97" s="67"/>
      <c r="JV97" s="296"/>
      <c r="JW97" s="297"/>
      <c r="JX97" s="298"/>
      <c r="JY97" s="293"/>
      <c r="JZ97" s="294"/>
      <c r="KA97" s="294"/>
      <c r="KB97" s="295"/>
      <c r="KC97" s="67"/>
      <c r="KE97" s="296"/>
      <c r="KF97" s="297"/>
      <c r="KG97" s="298"/>
      <c r="KH97" s="293"/>
      <c r="KI97" s="294"/>
      <c r="KJ97" s="294"/>
      <c r="KK97" s="295"/>
      <c r="KL97" s="67"/>
      <c r="KN97" s="303"/>
      <c r="KO97" s="304"/>
      <c r="KP97" s="305"/>
      <c r="KQ97" s="293"/>
      <c r="KR97" s="294"/>
      <c r="KS97" s="294"/>
      <c r="KT97" s="295"/>
      <c r="KU97" s="67"/>
      <c r="KW97" s="296"/>
      <c r="KX97" s="297"/>
      <c r="KY97" s="298"/>
      <c r="KZ97" s="293"/>
      <c r="LA97" s="294"/>
      <c r="LB97" s="294"/>
      <c r="LC97" s="295"/>
      <c r="LD97" s="67"/>
      <c r="LF97" s="290"/>
      <c r="LG97" s="291"/>
      <c r="LH97" s="292"/>
      <c r="LI97" s="293"/>
      <c r="LJ97" s="294"/>
      <c r="LK97" s="294"/>
      <c r="LL97" s="295"/>
      <c r="LM97" s="67"/>
      <c r="LO97" s="296"/>
      <c r="LP97" s="297"/>
      <c r="LQ97" s="298"/>
      <c r="LR97" s="293"/>
      <c r="LS97" s="294"/>
      <c r="LT97" s="294"/>
      <c r="LU97" s="295"/>
      <c r="LV97" s="67"/>
      <c r="LX97" s="296"/>
      <c r="LY97" s="297"/>
      <c r="LZ97" s="298"/>
      <c r="MA97" s="293"/>
      <c r="MB97" s="294"/>
      <c r="MC97" s="294"/>
      <c r="MD97" s="295"/>
      <c r="ME97" s="67"/>
      <c r="MG97" s="296"/>
      <c r="MH97" s="297"/>
      <c r="MI97" s="298"/>
      <c r="MJ97" s="293"/>
      <c r="MK97" s="294"/>
      <c r="ML97" s="294"/>
      <c r="MM97" s="295"/>
      <c r="MN97" s="67"/>
      <c r="MP97" s="296"/>
      <c r="MQ97" s="297"/>
      <c r="MR97" s="298"/>
      <c r="MS97" s="293"/>
      <c r="MT97" s="294"/>
      <c r="MU97" s="294"/>
      <c r="MV97" s="295"/>
      <c r="MW97" s="67"/>
      <c r="MY97" s="296"/>
      <c r="MZ97" s="297"/>
      <c r="NA97" s="298"/>
      <c r="NB97" s="293"/>
      <c r="NC97" s="294"/>
      <c r="ND97" s="294"/>
      <c r="NE97" s="295"/>
      <c r="NF97" s="67"/>
      <c r="NH97" s="296"/>
      <c r="NI97" s="297"/>
      <c r="NJ97" s="298"/>
      <c r="NK97" s="293"/>
      <c r="NL97" s="294"/>
      <c r="NM97" s="294"/>
      <c r="NN97" s="295"/>
      <c r="NO97" s="67"/>
      <c r="NQ97" s="296"/>
      <c r="NR97" s="297"/>
      <c r="NS97" s="298"/>
      <c r="NT97" s="293"/>
      <c r="NU97" s="294"/>
      <c r="NV97" s="294"/>
      <c r="NW97" s="295"/>
      <c r="NX97" s="67"/>
      <c r="NZ97" s="290"/>
      <c r="OA97" s="291"/>
      <c r="OB97" s="292"/>
      <c r="OC97" s="293"/>
      <c r="OD97" s="294"/>
      <c r="OE97" s="294"/>
      <c r="OF97" s="295"/>
      <c r="OG97" s="67"/>
      <c r="OI97" s="296"/>
      <c r="OJ97" s="297"/>
      <c r="OK97" s="329"/>
      <c r="OL97" s="293"/>
      <c r="OM97" s="294"/>
      <c r="ON97" s="294"/>
      <c r="OO97" s="295"/>
      <c r="OP97" s="67"/>
      <c r="OR97" s="290"/>
      <c r="OS97" s="291"/>
      <c r="OT97" s="292"/>
      <c r="OU97" s="293"/>
      <c r="OV97" s="294"/>
      <c r="OW97" s="294"/>
      <c r="OX97" s="295"/>
      <c r="OY97" s="67"/>
      <c r="PA97" s="296"/>
      <c r="PB97" s="297"/>
      <c r="PC97" s="298"/>
      <c r="PD97" s="293"/>
      <c r="PE97" s="294"/>
      <c r="PF97" s="294"/>
      <c r="PG97" s="295"/>
      <c r="PH97" s="67"/>
      <c r="PJ97" s="303"/>
      <c r="PK97" s="304"/>
      <c r="PL97" s="305"/>
      <c r="PM97" s="293"/>
      <c r="PN97" s="294"/>
      <c r="PO97" s="294"/>
      <c r="PP97" s="295"/>
      <c r="PQ97" s="67"/>
      <c r="PS97" s="406"/>
      <c r="PT97" s="407"/>
      <c r="PU97" s="408"/>
      <c r="PV97" s="334"/>
      <c r="PW97" s="335"/>
      <c r="PX97" s="335"/>
      <c r="PY97" s="336"/>
      <c r="PZ97" s="333"/>
      <c r="QB97" s="290"/>
      <c r="QC97" s="291"/>
      <c r="QD97" s="292"/>
      <c r="QE97" s="293"/>
      <c r="QF97" s="294"/>
      <c r="QG97" s="294"/>
      <c r="QH97" s="295"/>
      <c r="QI97" s="67"/>
      <c r="QK97" s="306"/>
      <c r="QL97" s="307"/>
      <c r="QM97" s="308"/>
      <c r="QN97" s="293"/>
      <c r="QO97" s="294"/>
      <c r="QP97" s="294"/>
      <c r="QQ97" s="295"/>
      <c r="QR97" s="67"/>
      <c r="QS97" s="91"/>
      <c r="QT97" s="107">
        <f t="shared" si="87"/>
        <v>0</v>
      </c>
      <c r="QU97" s="130">
        <f t="shared" si="88"/>
        <v>0</v>
      </c>
      <c r="QV97" s="130">
        <f t="shared" si="89"/>
        <v>0</v>
      </c>
      <c r="QW97" s="108">
        <f t="shared" si="90"/>
        <v>0</v>
      </c>
      <c r="QY97" s="260">
        <f t="shared" si="91"/>
        <v>0</v>
      </c>
      <c r="RA97" s="141">
        <f t="shared" si="92"/>
        <v>0</v>
      </c>
      <c r="RB97" s="106">
        <f t="shared" si="93"/>
        <v>0</v>
      </c>
      <c r="RC97" s="106">
        <f t="shared" si="94"/>
        <v>0</v>
      </c>
      <c r="RD97" s="106">
        <f t="shared" si="95"/>
        <v>0</v>
      </c>
      <c r="RE97" s="106">
        <f t="shared" si="96"/>
        <v>0</v>
      </c>
      <c r="RF97" s="142">
        <f t="shared" si="97"/>
        <v>0</v>
      </c>
      <c r="RG97" s="106"/>
      <c r="RH97" s="139">
        <f t="shared" si="98"/>
        <v>0</v>
      </c>
      <c r="RI97" s="140">
        <f t="shared" si="99"/>
        <v>0</v>
      </c>
      <c r="RJ97" s="106"/>
      <c r="RK97" s="136">
        <f t="shared" si="100"/>
        <v>0</v>
      </c>
      <c r="RL97" s="106"/>
      <c r="RM97" s="137">
        <f t="shared" si="101"/>
        <v>0</v>
      </c>
      <c r="RN97" s="138">
        <f t="shared" si="102"/>
        <v>0</v>
      </c>
      <c r="RO97" s="106"/>
      <c r="RP97" s="259">
        <f t="shared" si="103"/>
        <v>0</v>
      </c>
    </row>
    <row r="98" spans="1:484" x14ac:dyDescent="0.2">
      <c r="A98" s="89">
        <f>'Name List'!B98</f>
        <v>24</v>
      </c>
      <c r="C98" s="296"/>
      <c r="D98" s="297"/>
      <c r="E98" s="329" t="str">
        <f t="shared" si="67"/>
        <v/>
      </c>
      <c r="F98" s="293"/>
      <c r="G98" s="294"/>
      <c r="H98" s="294"/>
      <c r="I98" s="295"/>
      <c r="J98" s="333" t="str">
        <f>IF(E98="","",'Name List'!$I$4)</f>
        <v/>
      </c>
      <c r="L98" s="296"/>
      <c r="M98" s="297"/>
      <c r="N98" s="298"/>
      <c r="O98" s="293"/>
      <c r="P98" s="294"/>
      <c r="Q98" s="294"/>
      <c r="R98" s="295"/>
      <c r="S98" s="67"/>
      <c r="U98" s="290"/>
      <c r="V98" s="291"/>
      <c r="W98" s="396" t="str">
        <f t="shared" si="68"/>
        <v/>
      </c>
      <c r="X98" s="293"/>
      <c r="Y98" s="294"/>
      <c r="Z98" s="294"/>
      <c r="AA98" s="295"/>
      <c r="AB98" s="333" t="str">
        <f>IF(W98="","",'Name List'!$I$4)</f>
        <v/>
      </c>
      <c r="AD98" s="296"/>
      <c r="AE98" s="297"/>
      <c r="AF98" s="329" t="str">
        <f t="shared" si="69"/>
        <v/>
      </c>
      <c r="AG98" s="293"/>
      <c r="AH98" s="294"/>
      <c r="AI98" s="294"/>
      <c r="AJ98" s="295"/>
      <c r="AK98" s="333" t="str">
        <f>IF(AF98="","",'Name List'!$I$4)</f>
        <v/>
      </c>
      <c r="AM98" s="296"/>
      <c r="AN98" s="297"/>
      <c r="AO98" s="329" t="str">
        <f t="shared" si="70"/>
        <v/>
      </c>
      <c r="AP98" s="293"/>
      <c r="AQ98" s="294"/>
      <c r="AR98" s="294"/>
      <c r="AS98" s="295"/>
      <c r="AT98" s="333" t="str">
        <f>IF(AO98="","",'Name List'!$I$4)</f>
        <v/>
      </c>
      <c r="AV98" s="459"/>
      <c r="AW98" s="402"/>
      <c r="AX98" s="400" t="str">
        <f t="shared" si="71"/>
        <v/>
      </c>
      <c r="AY98" s="293"/>
      <c r="AZ98" s="294"/>
      <c r="BA98" s="294"/>
      <c r="BB98" s="295"/>
      <c r="BC98" s="457" t="str">
        <f>IF(AX98="","",'Name List'!$I$4)</f>
        <v/>
      </c>
      <c r="BE98" s="290"/>
      <c r="BF98" s="291"/>
      <c r="BG98" s="292"/>
      <c r="BH98" s="293"/>
      <c r="BI98" s="294"/>
      <c r="BJ98" s="294"/>
      <c r="BK98" s="295"/>
      <c r="BL98" s="67"/>
      <c r="BN98" s="296"/>
      <c r="BO98" s="297"/>
      <c r="BP98" s="298"/>
      <c r="BQ98" s="293"/>
      <c r="BR98" s="294"/>
      <c r="BS98" s="294"/>
      <c r="BT98" s="295"/>
      <c r="BU98" s="67"/>
      <c r="BW98" s="296"/>
      <c r="BX98" s="297"/>
      <c r="BY98" s="329" t="str">
        <f t="shared" si="73"/>
        <v/>
      </c>
      <c r="BZ98" s="293"/>
      <c r="CA98" s="294"/>
      <c r="CB98" s="294"/>
      <c r="CC98" s="295"/>
      <c r="CD98" s="333" t="str">
        <f>IF(BY98="","",'Name List'!$I$4)</f>
        <v/>
      </c>
      <c r="CF98" s="68"/>
      <c r="CG98" s="69"/>
      <c r="CH98" s="70"/>
      <c r="CI98" s="293"/>
      <c r="CJ98" s="294"/>
      <c r="CK98" s="294"/>
      <c r="CL98" s="295"/>
      <c r="CM98" s="67"/>
      <c r="CO98" s="290"/>
      <c r="CP98" s="291"/>
      <c r="CQ98" s="383" t="str">
        <f t="shared" si="74"/>
        <v/>
      </c>
      <c r="CR98" s="293"/>
      <c r="CS98" s="294"/>
      <c r="CT98" s="294"/>
      <c r="CU98" s="295"/>
      <c r="CV98" s="333" t="str">
        <f>IF(CQ98="","",'Name List'!$I$4)</f>
        <v/>
      </c>
      <c r="CX98" s="296"/>
      <c r="CY98" s="297"/>
      <c r="CZ98" s="100"/>
      <c r="DA98" s="293"/>
      <c r="DB98" s="294"/>
      <c r="DC98" s="294"/>
      <c r="DD98" s="295"/>
      <c r="DE98" s="67"/>
      <c r="DG98" s="296"/>
      <c r="DH98" s="297"/>
      <c r="DI98" s="298"/>
      <c r="DJ98" s="293"/>
      <c r="DK98" s="294"/>
      <c r="DL98" s="294"/>
      <c r="DM98" s="295"/>
      <c r="DN98" s="67"/>
      <c r="DP98" s="296"/>
      <c r="DQ98" s="297"/>
      <c r="DR98" s="329" t="str">
        <f t="shared" si="77"/>
        <v/>
      </c>
      <c r="DS98" s="293"/>
      <c r="DT98" s="294"/>
      <c r="DU98" s="294"/>
      <c r="DV98" s="295"/>
      <c r="DW98" s="67"/>
      <c r="DY98" s="296"/>
      <c r="DZ98" s="297"/>
      <c r="EA98" s="329" t="str">
        <f t="shared" si="78"/>
        <v/>
      </c>
      <c r="EB98" s="293"/>
      <c r="EC98" s="294"/>
      <c r="ED98" s="294"/>
      <c r="EE98" s="295"/>
      <c r="EF98" s="67"/>
      <c r="EH98" s="296"/>
      <c r="EI98" s="297"/>
      <c r="EJ98" s="298"/>
      <c r="EK98" s="293"/>
      <c r="EL98" s="294"/>
      <c r="EM98" s="294"/>
      <c r="EN98" s="295"/>
      <c r="EO98" s="67"/>
      <c r="EQ98" s="300"/>
      <c r="ER98" s="301"/>
      <c r="ES98" s="390"/>
      <c r="ET98" s="293"/>
      <c r="EU98" s="294"/>
      <c r="EV98" s="294"/>
      <c r="EW98" s="295"/>
      <c r="EX98" s="67"/>
      <c r="EZ98" s="303"/>
      <c r="FA98" s="304"/>
      <c r="FB98" s="305"/>
      <c r="FC98" s="293"/>
      <c r="FD98" s="294"/>
      <c r="FE98" s="294"/>
      <c r="FF98" s="295"/>
      <c r="FG98" s="67"/>
      <c r="FI98" s="296"/>
      <c r="FJ98" s="297"/>
      <c r="FK98" s="298"/>
      <c r="FL98" s="293"/>
      <c r="FM98" s="294"/>
      <c r="FN98" s="294"/>
      <c r="FO98" s="295"/>
      <c r="FP98" s="67"/>
      <c r="FR98" s="296"/>
      <c r="FS98" s="297"/>
      <c r="FT98" s="298"/>
      <c r="FU98" s="293"/>
      <c r="FV98" s="294"/>
      <c r="FW98" s="294"/>
      <c r="FX98" s="295"/>
      <c r="FY98" s="67"/>
      <c r="GA98" s="296"/>
      <c r="GB98" s="297"/>
      <c r="GC98" s="298"/>
      <c r="GD98" s="293"/>
      <c r="GE98" s="294"/>
      <c r="GF98" s="294"/>
      <c r="GG98" s="295"/>
      <c r="GH98" s="67"/>
      <c r="GJ98" s="296"/>
      <c r="GK98" s="297"/>
      <c r="GL98" s="298"/>
      <c r="GM98" s="293"/>
      <c r="GN98" s="294"/>
      <c r="GO98" s="294"/>
      <c r="GP98" s="295"/>
      <c r="GQ98" s="67"/>
      <c r="GS98" s="303"/>
      <c r="GT98" s="304"/>
      <c r="GU98" s="305"/>
      <c r="GV98" s="293"/>
      <c r="GW98" s="294"/>
      <c r="GX98" s="294"/>
      <c r="GY98" s="295"/>
      <c r="GZ98" s="67"/>
      <c r="HB98" s="296"/>
      <c r="HC98" s="297"/>
      <c r="HD98" s="298"/>
      <c r="HE98" s="293"/>
      <c r="HF98" s="294"/>
      <c r="HG98" s="294"/>
      <c r="HH98" s="295"/>
      <c r="HI98" s="67"/>
      <c r="HK98" s="290"/>
      <c r="HL98" s="291"/>
      <c r="HM98" s="383" t="str">
        <f t="shared" si="85"/>
        <v/>
      </c>
      <c r="HN98" s="293"/>
      <c r="HO98" s="294"/>
      <c r="HP98" s="294"/>
      <c r="HQ98" s="295"/>
      <c r="HR98" s="333" t="str">
        <f>IF(HM98="","",'Name List'!$I$4)</f>
        <v/>
      </c>
      <c r="HT98" s="303"/>
      <c r="HU98" s="304"/>
      <c r="HV98" s="305"/>
      <c r="HW98" s="293"/>
      <c r="HX98" s="294"/>
      <c r="HY98" s="294"/>
      <c r="HZ98" s="295"/>
      <c r="IA98" s="67"/>
      <c r="IC98" s="300"/>
      <c r="ID98" s="301"/>
      <c r="IE98" s="302"/>
      <c r="IF98" s="293"/>
      <c r="IG98" s="294"/>
      <c r="IH98" s="294"/>
      <c r="II98" s="295"/>
      <c r="IJ98" s="67"/>
      <c r="IL98" s="296"/>
      <c r="IM98" s="297"/>
      <c r="IN98" s="298"/>
      <c r="IO98" s="293"/>
      <c r="IP98" s="294"/>
      <c r="IQ98" s="294"/>
      <c r="IR98" s="295"/>
      <c r="IS98" s="67"/>
      <c r="IU98" s="296"/>
      <c r="IV98" s="297"/>
      <c r="IW98" s="298"/>
      <c r="IX98" s="293"/>
      <c r="IY98" s="294"/>
      <c r="IZ98" s="294"/>
      <c r="JA98" s="295"/>
      <c r="JB98" s="67"/>
      <c r="JD98" s="296"/>
      <c r="JE98" s="297"/>
      <c r="JF98" s="298"/>
      <c r="JG98" s="293"/>
      <c r="JH98" s="294"/>
      <c r="JI98" s="294"/>
      <c r="JJ98" s="295"/>
      <c r="JK98" s="67"/>
      <c r="JM98" s="296"/>
      <c r="JN98" s="297"/>
      <c r="JO98" s="299"/>
      <c r="JP98" s="293"/>
      <c r="JQ98" s="294"/>
      <c r="JR98" s="294"/>
      <c r="JS98" s="295"/>
      <c r="JT98" s="67"/>
      <c r="JV98" s="296"/>
      <c r="JW98" s="297"/>
      <c r="JX98" s="298"/>
      <c r="JY98" s="293"/>
      <c r="JZ98" s="294"/>
      <c r="KA98" s="294"/>
      <c r="KB98" s="295"/>
      <c r="KC98" s="67"/>
      <c r="KE98" s="296"/>
      <c r="KF98" s="297"/>
      <c r="KG98" s="298"/>
      <c r="KH98" s="293"/>
      <c r="KI98" s="294"/>
      <c r="KJ98" s="294"/>
      <c r="KK98" s="295"/>
      <c r="KL98" s="67"/>
      <c r="KN98" s="303"/>
      <c r="KO98" s="304"/>
      <c r="KP98" s="305"/>
      <c r="KQ98" s="293"/>
      <c r="KR98" s="294"/>
      <c r="KS98" s="294"/>
      <c r="KT98" s="295"/>
      <c r="KU98" s="67"/>
      <c r="KW98" s="296"/>
      <c r="KX98" s="297"/>
      <c r="KY98" s="298"/>
      <c r="KZ98" s="293"/>
      <c r="LA98" s="294"/>
      <c r="LB98" s="294"/>
      <c r="LC98" s="295"/>
      <c r="LD98" s="67"/>
      <c r="LF98" s="290"/>
      <c r="LG98" s="291"/>
      <c r="LH98" s="292"/>
      <c r="LI98" s="293"/>
      <c r="LJ98" s="294"/>
      <c r="LK98" s="294"/>
      <c r="LL98" s="295"/>
      <c r="LM98" s="67"/>
      <c r="LO98" s="296"/>
      <c r="LP98" s="297"/>
      <c r="LQ98" s="298"/>
      <c r="LR98" s="293"/>
      <c r="LS98" s="294"/>
      <c r="LT98" s="294"/>
      <c r="LU98" s="295"/>
      <c r="LV98" s="67"/>
      <c r="LX98" s="296"/>
      <c r="LY98" s="297"/>
      <c r="LZ98" s="298"/>
      <c r="MA98" s="293"/>
      <c r="MB98" s="294"/>
      <c r="MC98" s="294"/>
      <c r="MD98" s="295"/>
      <c r="ME98" s="67"/>
      <c r="MG98" s="296"/>
      <c r="MH98" s="297"/>
      <c r="MI98" s="298"/>
      <c r="MJ98" s="293"/>
      <c r="MK98" s="294"/>
      <c r="ML98" s="294"/>
      <c r="MM98" s="295"/>
      <c r="MN98" s="67"/>
      <c r="MP98" s="296"/>
      <c r="MQ98" s="297"/>
      <c r="MR98" s="298"/>
      <c r="MS98" s="293"/>
      <c r="MT98" s="294"/>
      <c r="MU98" s="294"/>
      <c r="MV98" s="295"/>
      <c r="MW98" s="67"/>
      <c r="MY98" s="296"/>
      <c r="MZ98" s="297"/>
      <c r="NA98" s="298"/>
      <c r="NB98" s="293"/>
      <c r="NC98" s="294"/>
      <c r="ND98" s="294"/>
      <c r="NE98" s="295"/>
      <c r="NF98" s="67"/>
      <c r="NH98" s="296"/>
      <c r="NI98" s="297"/>
      <c r="NJ98" s="298"/>
      <c r="NK98" s="293"/>
      <c r="NL98" s="294"/>
      <c r="NM98" s="294"/>
      <c r="NN98" s="295"/>
      <c r="NO98" s="67"/>
      <c r="NQ98" s="296"/>
      <c r="NR98" s="297"/>
      <c r="NS98" s="298"/>
      <c r="NT98" s="293"/>
      <c r="NU98" s="294"/>
      <c r="NV98" s="294"/>
      <c r="NW98" s="295"/>
      <c r="NX98" s="67"/>
      <c r="NZ98" s="290"/>
      <c r="OA98" s="291"/>
      <c r="OB98" s="292"/>
      <c r="OC98" s="293"/>
      <c r="OD98" s="294"/>
      <c r="OE98" s="294"/>
      <c r="OF98" s="295"/>
      <c r="OG98" s="67"/>
      <c r="OI98" s="296"/>
      <c r="OJ98" s="297"/>
      <c r="OK98" s="329"/>
      <c r="OL98" s="293"/>
      <c r="OM98" s="294"/>
      <c r="ON98" s="294"/>
      <c r="OO98" s="295"/>
      <c r="OP98" s="67"/>
      <c r="OR98" s="290"/>
      <c r="OS98" s="291"/>
      <c r="OT98" s="292"/>
      <c r="OU98" s="293"/>
      <c r="OV98" s="294"/>
      <c r="OW98" s="294"/>
      <c r="OX98" s="295"/>
      <c r="OY98" s="67"/>
      <c r="PA98" s="296"/>
      <c r="PB98" s="297"/>
      <c r="PC98" s="298"/>
      <c r="PD98" s="293"/>
      <c r="PE98" s="294"/>
      <c r="PF98" s="294"/>
      <c r="PG98" s="295"/>
      <c r="PH98" s="67"/>
      <c r="PJ98" s="303"/>
      <c r="PK98" s="304"/>
      <c r="PL98" s="305"/>
      <c r="PM98" s="293"/>
      <c r="PN98" s="294"/>
      <c r="PO98" s="294"/>
      <c r="PP98" s="295"/>
      <c r="PQ98" s="67"/>
      <c r="PS98" s="406"/>
      <c r="PT98" s="407"/>
      <c r="PU98" s="408"/>
      <c r="PV98" s="334"/>
      <c r="PW98" s="335"/>
      <c r="PX98" s="335"/>
      <c r="PY98" s="336"/>
      <c r="PZ98" s="333"/>
      <c r="QB98" s="290"/>
      <c r="QC98" s="291"/>
      <c r="QD98" s="292"/>
      <c r="QE98" s="293"/>
      <c r="QF98" s="294"/>
      <c r="QG98" s="294"/>
      <c r="QH98" s="295"/>
      <c r="QI98" s="67"/>
      <c r="QK98" s="306"/>
      <c r="QL98" s="307"/>
      <c r="QM98" s="308"/>
      <c r="QN98" s="293"/>
      <c r="QO98" s="294"/>
      <c r="QP98" s="294"/>
      <c r="QQ98" s="295"/>
      <c r="QR98" s="67"/>
      <c r="QS98" s="91"/>
      <c r="QT98" s="107">
        <f t="shared" si="87"/>
        <v>0</v>
      </c>
      <c r="QU98" s="130">
        <f t="shared" si="88"/>
        <v>0</v>
      </c>
      <c r="QV98" s="130">
        <f t="shared" si="89"/>
        <v>0</v>
      </c>
      <c r="QW98" s="108">
        <f t="shared" si="90"/>
        <v>0</v>
      </c>
      <c r="QY98" s="260">
        <f t="shared" si="91"/>
        <v>0</v>
      </c>
      <c r="RA98" s="141">
        <f t="shared" si="92"/>
        <v>0</v>
      </c>
      <c r="RB98" s="106">
        <f t="shared" si="93"/>
        <v>0</v>
      </c>
      <c r="RC98" s="106">
        <f t="shared" si="94"/>
        <v>0</v>
      </c>
      <c r="RD98" s="106">
        <f t="shared" si="95"/>
        <v>0</v>
      </c>
      <c r="RE98" s="106">
        <f t="shared" si="96"/>
        <v>0</v>
      </c>
      <c r="RF98" s="142">
        <f t="shared" si="97"/>
        <v>0</v>
      </c>
      <c r="RG98" s="106"/>
      <c r="RH98" s="139">
        <f t="shared" si="98"/>
        <v>0</v>
      </c>
      <c r="RI98" s="140">
        <f t="shared" si="99"/>
        <v>0</v>
      </c>
      <c r="RJ98" s="106"/>
      <c r="RK98" s="136">
        <f t="shared" si="100"/>
        <v>0</v>
      </c>
      <c r="RL98" s="106"/>
      <c r="RM98" s="137">
        <f t="shared" si="101"/>
        <v>0</v>
      </c>
      <c r="RN98" s="138">
        <f t="shared" si="102"/>
        <v>0</v>
      </c>
      <c r="RO98" s="106"/>
      <c r="RP98" s="259">
        <f t="shared" si="103"/>
        <v>0</v>
      </c>
    </row>
    <row r="99" spans="1:484" x14ac:dyDescent="0.2">
      <c r="A99" s="89">
        <f>'Name List'!B99</f>
        <v>25</v>
      </c>
      <c r="C99" s="296"/>
      <c r="D99" s="297"/>
      <c r="E99" s="329" t="str">
        <f t="shared" si="67"/>
        <v/>
      </c>
      <c r="F99" s="293"/>
      <c r="G99" s="294"/>
      <c r="H99" s="294"/>
      <c r="I99" s="295"/>
      <c r="J99" s="333" t="str">
        <f>IF(E99="","",'Name List'!$I$4)</f>
        <v/>
      </c>
      <c r="L99" s="296"/>
      <c r="M99" s="297"/>
      <c r="N99" s="298"/>
      <c r="O99" s="293"/>
      <c r="P99" s="294"/>
      <c r="Q99" s="294"/>
      <c r="R99" s="295"/>
      <c r="S99" s="67"/>
      <c r="U99" s="290"/>
      <c r="V99" s="291"/>
      <c r="W99" s="396" t="str">
        <f t="shared" si="68"/>
        <v/>
      </c>
      <c r="X99" s="293"/>
      <c r="Y99" s="294"/>
      <c r="Z99" s="294"/>
      <c r="AA99" s="295"/>
      <c r="AB99" s="333" t="str">
        <f>IF(W99="","",'Name List'!$I$4)</f>
        <v/>
      </c>
      <c r="AD99" s="296"/>
      <c r="AE99" s="297"/>
      <c r="AF99" s="329" t="str">
        <f t="shared" si="69"/>
        <v/>
      </c>
      <c r="AG99" s="293"/>
      <c r="AH99" s="294"/>
      <c r="AI99" s="294"/>
      <c r="AJ99" s="295"/>
      <c r="AK99" s="333" t="str">
        <f>IF(AF99="","",'Name List'!$I$4)</f>
        <v/>
      </c>
      <c r="AM99" s="296"/>
      <c r="AN99" s="297"/>
      <c r="AO99" s="329" t="str">
        <f t="shared" si="70"/>
        <v/>
      </c>
      <c r="AP99" s="293"/>
      <c r="AQ99" s="294"/>
      <c r="AR99" s="294"/>
      <c r="AS99" s="295"/>
      <c r="AT99" s="333" t="str">
        <f>IF(AO99="","",'Name List'!$I$4)</f>
        <v/>
      </c>
      <c r="AV99" s="459"/>
      <c r="AW99" s="402"/>
      <c r="AX99" s="400" t="str">
        <f t="shared" si="71"/>
        <v/>
      </c>
      <c r="AY99" s="293"/>
      <c r="AZ99" s="294"/>
      <c r="BA99" s="294"/>
      <c r="BB99" s="295"/>
      <c r="BC99" s="457" t="str">
        <f>IF(AX99="","",'Name List'!$I$4)</f>
        <v/>
      </c>
      <c r="BE99" s="290"/>
      <c r="BF99" s="291"/>
      <c r="BG99" s="292"/>
      <c r="BH99" s="293"/>
      <c r="BI99" s="294"/>
      <c r="BJ99" s="294"/>
      <c r="BK99" s="295"/>
      <c r="BL99" s="67"/>
      <c r="BN99" s="296"/>
      <c r="BO99" s="297"/>
      <c r="BP99" s="298"/>
      <c r="BQ99" s="293"/>
      <c r="BR99" s="294"/>
      <c r="BS99" s="294"/>
      <c r="BT99" s="295"/>
      <c r="BU99" s="67"/>
      <c r="BW99" s="296"/>
      <c r="BX99" s="297"/>
      <c r="BY99" s="329" t="str">
        <f t="shared" si="73"/>
        <v/>
      </c>
      <c r="BZ99" s="293"/>
      <c r="CA99" s="294"/>
      <c r="CB99" s="294"/>
      <c r="CC99" s="295"/>
      <c r="CD99" s="333" t="str">
        <f>IF(BY99="","",'Name List'!$I$4)</f>
        <v/>
      </c>
      <c r="CF99" s="68"/>
      <c r="CG99" s="69"/>
      <c r="CH99" s="70"/>
      <c r="CI99" s="293"/>
      <c r="CJ99" s="294"/>
      <c r="CK99" s="294"/>
      <c r="CL99" s="295"/>
      <c r="CM99" s="67"/>
      <c r="CO99" s="290"/>
      <c r="CP99" s="291"/>
      <c r="CQ99" s="383" t="str">
        <f t="shared" si="74"/>
        <v/>
      </c>
      <c r="CR99" s="293"/>
      <c r="CS99" s="294"/>
      <c r="CT99" s="294"/>
      <c r="CU99" s="295"/>
      <c r="CV99" s="333" t="str">
        <f>IF(CQ99="","",'Name List'!$I$4)</f>
        <v/>
      </c>
      <c r="CX99" s="296"/>
      <c r="CY99" s="297"/>
      <c r="CZ99" s="100"/>
      <c r="DA99" s="293"/>
      <c r="DB99" s="294"/>
      <c r="DC99" s="294"/>
      <c r="DD99" s="295"/>
      <c r="DE99" s="67"/>
      <c r="DG99" s="296"/>
      <c r="DH99" s="297"/>
      <c r="DI99" s="298"/>
      <c r="DJ99" s="293"/>
      <c r="DK99" s="294"/>
      <c r="DL99" s="294"/>
      <c r="DM99" s="295"/>
      <c r="DN99" s="67"/>
      <c r="DP99" s="296"/>
      <c r="DQ99" s="297"/>
      <c r="DR99" s="329" t="str">
        <f t="shared" si="77"/>
        <v/>
      </c>
      <c r="DS99" s="293"/>
      <c r="DT99" s="294"/>
      <c r="DU99" s="294"/>
      <c r="DV99" s="295"/>
      <c r="DW99" s="67"/>
      <c r="DY99" s="296"/>
      <c r="DZ99" s="297"/>
      <c r="EA99" s="329" t="str">
        <f t="shared" si="78"/>
        <v/>
      </c>
      <c r="EB99" s="293"/>
      <c r="EC99" s="294"/>
      <c r="ED99" s="294"/>
      <c r="EE99" s="295"/>
      <c r="EF99" s="67"/>
      <c r="EH99" s="296"/>
      <c r="EI99" s="297"/>
      <c r="EJ99" s="298"/>
      <c r="EK99" s="293"/>
      <c r="EL99" s="294"/>
      <c r="EM99" s="294"/>
      <c r="EN99" s="295"/>
      <c r="EO99" s="67"/>
      <c r="EQ99" s="300"/>
      <c r="ER99" s="301"/>
      <c r="ES99" s="390"/>
      <c r="ET99" s="293"/>
      <c r="EU99" s="294"/>
      <c r="EV99" s="294"/>
      <c r="EW99" s="295"/>
      <c r="EX99" s="67"/>
      <c r="EZ99" s="303"/>
      <c r="FA99" s="304"/>
      <c r="FB99" s="305"/>
      <c r="FC99" s="293"/>
      <c r="FD99" s="294"/>
      <c r="FE99" s="294"/>
      <c r="FF99" s="295"/>
      <c r="FG99" s="67"/>
      <c r="FI99" s="296"/>
      <c r="FJ99" s="297"/>
      <c r="FK99" s="298"/>
      <c r="FL99" s="293"/>
      <c r="FM99" s="294"/>
      <c r="FN99" s="294"/>
      <c r="FO99" s="295"/>
      <c r="FP99" s="67"/>
      <c r="FR99" s="296"/>
      <c r="FS99" s="297"/>
      <c r="FT99" s="298"/>
      <c r="FU99" s="293"/>
      <c r="FV99" s="294"/>
      <c r="FW99" s="294"/>
      <c r="FX99" s="295"/>
      <c r="FY99" s="67"/>
      <c r="GA99" s="296"/>
      <c r="GB99" s="297"/>
      <c r="GC99" s="298"/>
      <c r="GD99" s="293"/>
      <c r="GE99" s="294"/>
      <c r="GF99" s="294"/>
      <c r="GG99" s="295"/>
      <c r="GH99" s="67"/>
      <c r="GJ99" s="296"/>
      <c r="GK99" s="297"/>
      <c r="GL99" s="298"/>
      <c r="GM99" s="293"/>
      <c r="GN99" s="294"/>
      <c r="GO99" s="294"/>
      <c r="GP99" s="295"/>
      <c r="GQ99" s="67"/>
      <c r="GS99" s="303"/>
      <c r="GT99" s="304"/>
      <c r="GU99" s="305"/>
      <c r="GV99" s="293"/>
      <c r="GW99" s="294"/>
      <c r="GX99" s="294"/>
      <c r="GY99" s="295"/>
      <c r="GZ99" s="67"/>
      <c r="HB99" s="296"/>
      <c r="HC99" s="297"/>
      <c r="HD99" s="298"/>
      <c r="HE99" s="293"/>
      <c r="HF99" s="294"/>
      <c r="HG99" s="294"/>
      <c r="HH99" s="295"/>
      <c r="HI99" s="67"/>
      <c r="HK99" s="290"/>
      <c r="HL99" s="291"/>
      <c r="HM99" s="383" t="str">
        <f t="shared" si="85"/>
        <v/>
      </c>
      <c r="HN99" s="293"/>
      <c r="HO99" s="294"/>
      <c r="HP99" s="294"/>
      <c r="HQ99" s="295"/>
      <c r="HR99" s="333" t="str">
        <f>IF(HM99="","",'Name List'!$I$4)</f>
        <v/>
      </c>
      <c r="HT99" s="303"/>
      <c r="HU99" s="304"/>
      <c r="HV99" s="305"/>
      <c r="HW99" s="293"/>
      <c r="HX99" s="294"/>
      <c r="HY99" s="294"/>
      <c r="HZ99" s="295"/>
      <c r="IA99" s="67"/>
      <c r="IC99" s="300"/>
      <c r="ID99" s="301"/>
      <c r="IE99" s="302"/>
      <c r="IF99" s="293"/>
      <c r="IG99" s="294"/>
      <c r="IH99" s="294"/>
      <c r="II99" s="295"/>
      <c r="IJ99" s="67"/>
      <c r="IL99" s="296"/>
      <c r="IM99" s="297"/>
      <c r="IN99" s="298"/>
      <c r="IO99" s="293"/>
      <c r="IP99" s="294"/>
      <c r="IQ99" s="294"/>
      <c r="IR99" s="295"/>
      <c r="IS99" s="67"/>
      <c r="IU99" s="296"/>
      <c r="IV99" s="297"/>
      <c r="IW99" s="298"/>
      <c r="IX99" s="293"/>
      <c r="IY99" s="294"/>
      <c r="IZ99" s="294"/>
      <c r="JA99" s="295"/>
      <c r="JB99" s="67"/>
      <c r="JD99" s="296"/>
      <c r="JE99" s="297"/>
      <c r="JF99" s="298"/>
      <c r="JG99" s="293"/>
      <c r="JH99" s="294"/>
      <c r="JI99" s="294"/>
      <c r="JJ99" s="295"/>
      <c r="JK99" s="67"/>
      <c r="JM99" s="296"/>
      <c r="JN99" s="297"/>
      <c r="JO99" s="299"/>
      <c r="JP99" s="293"/>
      <c r="JQ99" s="294"/>
      <c r="JR99" s="294"/>
      <c r="JS99" s="295"/>
      <c r="JT99" s="67"/>
      <c r="JV99" s="296"/>
      <c r="JW99" s="297"/>
      <c r="JX99" s="298"/>
      <c r="JY99" s="293"/>
      <c r="JZ99" s="294"/>
      <c r="KA99" s="294"/>
      <c r="KB99" s="295"/>
      <c r="KC99" s="67"/>
      <c r="KE99" s="296"/>
      <c r="KF99" s="297"/>
      <c r="KG99" s="298"/>
      <c r="KH99" s="293"/>
      <c r="KI99" s="294"/>
      <c r="KJ99" s="294"/>
      <c r="KK99" s="295"/>
      <c r="KL99" s="67"/>
      <c r="KN99" s="303"/>
      <c r="KO99" s="304"/>
      <c r="KP99" s="305"/>
      <c r="KQ99" s="293"/>
      <c r="KR99" s="294"/>
      <c r="KS99" s="294"/>
      <c r="KT99" s="295"/>
      <c r="KU99" s="67"/>
      <c r="KW99" s="296"/>
      <c r="KX99" s="297"/>
      <c r="KY99" s="298"/>
      <c r="KZ99" s="293"/>
      <c r="LA99" s="294"/>
      <c r="LB99" s="294"/>
      <c r="LC99" s="295"/>
      <c r="LD99" s="67"/>
      <c r="LF99" s="290"/>
      <c r="LG99" s="291"/>
      <c r="LH99" s="292"/>
      <c r="LI99" s="293"/>
      <c r="LJ99" s="294"/>
      <c r="LK99" s="294"/>
      <c r="LL99" s="295"/>
      <c r="LM99" s="67"/>
      <c r="LO99" s="296"/>
      <c r="LP99" s="297"/>
      <c r="LQ99" s="298"/>
      <c r="LR99" s="293"/>
      <c r="LS99" s="294"/>
      <c r="LT99" s="294"/>
      <c r="LU99" s="295"/>
      <c r="LV99" s="67"/>
      <c r="LX99" s="296"/>
      <c r="LY99" s="297"/>
      <c r="LZ99" s="298"/>
      <c r="MA99" s="293"/>
      <c r="MB99" s="294"/>
      <c r="MC99" s="294"/>
      <c r="MD99" s="295"/>
      <c r="ME99" s="67"/>
      <c r="MG99" s="296"/>
      <c r="MH99" s="297"/>
      <c r="MI99" s="298"/>
      <c r="MJ99" s="293"/>
      <c r="MK99" s="294"/>
      <c r="ML99" s="294"/>
      <c r="MM99" s="295"/>
      <c r="MN99" s="67"/>
      <c r="MP99" s="296"/>
      <c r="MQ99" s="297"/>
      <c r="MR99" s="298"/>
      <c r="MS99" s="293"/>
      <c r="MT99" s="294"/>
      <c r="MU99" s="294"/>
      <c r="MV99" s="295"/>
      <c r="MW99" s="67"/>
      <c r="MY99" s="296"/>
      <c r="MZ99" s="297"/>
      <c r="NA99" s="298"/>
      <c r="NB99" s="293"/>
      <c r="NC99" s="294"/>
      <c r="ND99" s="294"/>
      <c r="NE99" s="295"/>
      <c r="NF99" s="67"/>
      <c r="NH99" s="296"/>
      <c r="NI99" s="297"/>
      <c r="NJ99" s="298"/>
      <c r="NK99" s="293"/>
      <c r="NL99" s="294"/>
      <c r="NM99" s="294"/>
      <c r="NN99" s="295"/>
      <c r="NO99" s="67"/>
      <c r="NQ99" s="296"/>
      <c r="NR99" s="297"/>
      <c r="NS99" s="298"/>
      <c r="NT99" s="293"/>
      <c r="NU99" s="294"/>
      <c r="NV99" s="294"/>
      <c r="NW99" s="295"/>
      <c r="NX99" s="67"/>
      <c r="NZ99" s="290"/>
      <c r="OA99" s="291"/>
      <c r="OB99" s="292"/>
      <c r="OC99" s="293"/>
      <c r="OD99" s="294"/>
      <c r="OE99" s="294"/>
      <c r="OF99" s="295"/>
      <c r="OG99" s="67"/>
      <c r="OI99" s="296"/>
      <c r="OJ99" s="297"/>
      <c r="OK99" s="329"/>
      <c r="OL99" s="293"/>
      <c r="OM99" s="294"/>
      <c r="ON99" s="294"/>
      <c r="OO99" s="295"/>
      <c r="OP99" s="67"/>
      <c r="OR99" s="290"/>
      <c r="OS99" s="291"/>
      <c r="OT99" s="292"/>
      <c r="OU99" s="293"/>
      <c r="OV99" s="294"/>
      <c r="OW99" s="294"/>
      <c r="OX99" s="295"/>
      <c r="OY99" s="67"/>
      <c r="PA99" s="296"/>
      <c r="PB99" s="297"/>
      <c r="PC99" s="298"/>
      <c r="PD99" s="293"/>
      <c r="PE99" s="294"/>
      <c r="PF99" s="294"/>
      <c r="PG99" s="295"/>
      <c r="PH99" s="67"/>
      <c r="PJ99" s="303"/>
      <c r="PK99" s="304"/>
      <c r="PL99" s="305"/>
      <c r="PM99" s="293"/>
      <c r="PN99" s="294"/>
      <c r="PO99" s="294"/>
      <c r="PP99" s="295"/>
      <c r="PQ99" s="67"/>
      <c r="PS99" s="406"/>
      <c r="PT99" s="407"/>
      <c r="PU99" s="408"/>
      <c r="PV99" s="334"/>
      <c r="PW99" s="335"/>
      <c r="PX99" s="335"/>
      <c r="PY99" s="336"/>
      <c r="PZ99" s="333"/>
      <c r="QB99" s="290"/>
      <c r="QC99" s="291"/>
      <c r="QD99" s="292"/>
      <c r="QE99" s="293"/>
      <c r="QF99" s="294"/>
      <c r="QG99" s="294"/>
      <c r="QH99" s="295"/>
      <c r="QI99" s="67"/>
      <c r="QK99" s="306"/>
      <c r="QL99" s="307"/>
      <c r="QM99" s="308"/>
      <c r="QN99" s="293"/>
      <c r="QO99" s="294"/>
      <c r="QP99" s="294"/>
      <c r="QQ99" s="295"/>
      <c r="QR99" s="67"/>
      <c r="QS99" s="91"/>
      <c r="QT99" s="107">
        <f t="shared" si="87"/>
        <v>0</v>
      </c>
      <c r="QU99" s="130">
        <f t="shared" si="88"/>
        <v>0</v>
      </c>
      <c r="QV99" s="130">
        <f t="shared" si="89"/>
        <v>0</v>
      </c>
      <c r="QW99" s="108">
        <f t="shared" si="90"/>
        <v>0</v>
      </c>
      <c r="QY99" s="260">
        <f t="shared" si="91"/>
        <v>0</v>
      </c>
      <c r="RA99" s="141">
        <f t="shared" si="92"/>
        <v>0</v>
      </c>
      <c r="RB99" s="106">
        <f t="shared" si="93"/>
        <v>0</v>
      </c>
      <c r="RC99" s="106">
        <f t="shared" si="94"/>
        <v>0</v>
      </c>
      <c r="RD99" s="106">
        <f t="shared" si="95"/>
        <v>0</v>
      </c>
      <c r="RE99" s="106">
        <f t="shared" si="96"/>
        <v>0</v>
      </c>
      <c r="RF99" s="142">
        <f t="shared" si="97"/>
        <v>0</v>
      </c>
      <c r="RG99" s="106"/>
      <c r="RH99" s="139">
        <f t="shared" si="98"/>
        <v>0</v>
      </c>
      <c r="RI99" s="140">
        <f t="shared" si="99"/>
        <v>0</v>
      </c>
      <c r="RJ99" s="106"/>
      <c r="RK99" s="136">
        <f t="shared" si="100"/>
        <v>0</v>
      </c>
      <c r="RL99" s="106"/>
      <c r="RM99" s="137">
        <f t="shared" si="101"/>
        <v>0</v>
      </c>
      <c r="RN99" s="138">
        <f t="shared" si="102"/>
        <v>0</v>
      </c>
      <c r="RO99" s="106"/>
      <c r="RP99" s="259">
        <f t="shared" si="103"/>
        <v>0</v>
      </c>
    </row>
    <row r="100" spans="1:484" x14ac:dyDescent="0.2">
      <c r="A100" s="89">
        <f>'Name List'!B100</f>
        <v>26</v>
      </c>
      <c r="C100" s="296"/>
      <c r="D100" s="297"/>
      <c r="E100" s="329" t="str">
        <f t="shared" si="67"/>
        <v/>
      </c>
      <c r="F100" s="293"/>
      <c r="G100" s="294"/>
      <c r="H100" s="294"/>
      <c r="I100" s="295"/>
      <c r="J100" s="333" t="str">
        <f>IF(E100="","",'Name List'!$I$4)</f>
        <v/>
      </c>
      <c r="L100" s="296"/>
      <c r="M100" s="297"/>
      <c r="N100" s="298"/>
      <c r="O100" s="293"/>
      <c r="P100" s="294"/>
      <c r="Q100" s="294"/>
      <c r="R100" s="295"/>
      <c r="S100" s="67"/>
      <c r="U100" s="290"/>
      <c r="V100" s="291"/>
      <c r="W100" s="396" t="str">
        <f t="shared" si="68"/>
        <v/>
      </c>
      <c r="X100" s="293"/>
      <c r="Y100" s="294"/>
      <c r="Z100" s="294"/>
      <c r="AA100" s="295"/>
      <c r="AB100" s="333" t="str">
        <f>IF(W100="","",'Name List'!$I$4)</f>
        <v/>
      </c>
      <c r="AD100" s="296"/>
      <c r="AE100" s="297"/>
      <c r="AF100" s="329" t="str">
        <f t="shared" si="69"/>
        <v/>
      </c>
      <c r="AG100" s="293"/>
      <c r="AH100" s="294"/>
      <c r="AI100" s="294"/>
      <c r="AJ100" s="295"/>
      <c r="AK100" s="333" t="str">
        <f>IF(AF100="","",'Name List'!$I$4)</f>
        <v/>
      </c>
      <c r="AM100" s="296"/>
      <c r="AN100" s="297"/>
      <c r="AO100" s="329" t="str">
        <f t="shared" si="70"/>
        <v/>
      </c>
      <c r="AP100" s="293"/>
      <c r="AQ100" s="294"/>
      <c r="AR100" s="294"/>
      <c r="AS100" s="295"/>
      <c r="AT100" s="333" t="str">
        <f>IF(AO100="","",'Name List'!$I$4)</f>
        <v/>
      </c>
      <c r="AV100" s="459"/>
      <c r="AW100" s="402"/>
      <c r="AX100" s="400" t="str">
        <f t="shared" si="71"/>
        <v/>
      </c>
      <c r="AY100" s="293"/>
      <c r="AZ100" s="294"/>
      <c r="BA100" s="294"/>
      <c r="BB100" s="295"/>
      <c r="BC100" s="457" t="str">
        <f>IF(AX100="","",'Name List'!$I$4)</f>
        <v/>
      </c>
      <c r="BE100" s="290"/>
      <c r="BF100" s="291"/>
      <c r="BG100" s="292"/>
      <c r="BH100" s="293"/>
      <c r="BI100" s="294"/>
      <c r="BJ100" s="294"/>
      <c r="BK100" s="295"/>
      <c r="BL100" s="67"/>
      <c r="BN100" s="296"/>
      <c r="BO100" s="297"/>
      <c r="BP100" s="298"/>
      <c r="BQ100" s="293"/>
      <c r="BR100" s="294"/>
      <c r="BS100" s="294"/>
      <c r="BT100" s="295"/>
      <c r="BU100" s="67"/>
      <c r="BW100" s="296"/>
      <c r="BX100" s="297"/>
      <c r="BY100" s="329" t="str">
        <f t="shared" si="73"/>
        <v/>
      </c>
      <c r="BZ100" s="293"/>
      <c r="CA100" s="294"/>
      <c r="CB100" s="294"/>
      <c r="CC100" s="295"/>
      <c r="CD100" s="333" t="str">
        <f>IF(BY100="","",'Name List'!$I$4)</f>
        <v/>
      </c>
      <c r="CF100" s="68"/>
      <c r="CG100" s="69"/>
      <c r="CH100" s="70"/>
      <c r="CI100" s="293"/>
      <c r="CJ100" s="294"/>
      <c r="CK100" s="294"/>
      <c r="CL100" s="295"/>
      <c r="CM100" s="67"/>
      <c r="CO100" s="290"/>
      <c r="CP100" s="291"/>
      <c r="CQ100" s="383" t="str">
        <f t="shared" si="74"/>
        <v/>
      </c>
      <c r="CR100" s="293"/>
      <c r="CS100" s="294"/>
      <c r="CT100" s="294"/>
      <c r="CU100" s="295"/>
      <c r="CV100" s="333" t="str">
        <f>IF(CQ100="","",'Name List'!$I$4)</f>
        <v/>
      </c>
      <c r="CX100" s="296"/>
      <c r="CY100" s="297"/>
      <c r="CZ100" s="100"/>
      <c r="DA100" s="293"/>
      <c r="DB100" s="294"/>
      <c r="DC100" s="294"/>
      <c r="DD100" s="295"/>
      <c r="DE100" s="67"/>
      <c r="DG100" s="296"/>
      <c r="DH100" s="297"/>
      <c r="DI100" s="298"/>
      <c r="DJ100" s="293"/>
      <c r="DK100" s="294"/>
      <c r="DL100" s="294"/>
      <c r="DM100" s="295"/>
      <c r="DN100" s="67"/>
      <c r="DP100" s="296"/>
      <c r="DQ100" s="297"/>
      <c r="DR100" s="329" t="str">
        <f t="shared" si="77"/>
        <v/>
      </c>
      <c r="DS100" s="293"/>
      <c r="DT100" s="294"/>
      <c r="DU100" s="294"/>
      <c r="DV100" s="295"/>
      <c r="DW100" s="67"/>
      <c r="DY100" s="296"/>
      <c r="DZ100" s="297"/>
      <c r="EA100" s="329"/>
      <c r="EB100" s="293"/>
      <c r="EC100" s="294"/>
      <c r="ED100" s="294"/>
      <c r="EE100" s="295"/>
      <c r="EF100" s="67"/>
      <c r="EH100" s="296"/>
      <c r="EI100" s="297"/>
      <c r="EJ100" s="298"/>
      <c r="EK100" s="293"/>
      <c r="EL100" s="294"/>
      <c r="EM100" s="294"/>
      <c r="EN100" s="295"/>
      <c r="EO100" s="67"/>
      <c r="EQ100" s="300"/>
      <c r="ER100" s="301"/>
      <c r="ES100" s="390"/>
      <c r="ET100" s="293"/>
      <c r="EU100" s="294"/>
      <c r="EV100" s="294"/>
      <c r="EW100" s="295"/>
      <c r="EX100" s="67"/>
      <c r="EZ100" s="303"/>
      <c r="FA100" s="304"/>
      <c r="FB100" s="305"/>
      <c r="FC100" s="293"/>
      <c r="FD100" s="294"/>
      <c r="FE100" s="294"/>
      <c r="FF100" s="295"/>
      <c r="FG100" s="67"/>
      <c r="FI100" s="296"/>
      <c r="FJ100" s="297"/>
      <c r="FK100" s="298"/>
      <c r="FL100" s="293"/>
      <c r="FM100" s="294"/>
      <c r="FN100" s="294"/>
      <c r="FO100" s="295"/>
      <c r="FP100" s="67"/>
      <c r="FR100" s="296"/>
      <c r="FS100" s="297"/>
      <c r="FT100" s="298"/>
      <c r="FU100" s="293"/>
      <c r="FV100" s="294"/>
      <c r="FW100" s="294"/>
      <c r="FX100" s="295"/>
      <c r="FY100" s="67"/>
      <c r="GA100" s="296"/>
      <c r="GB100" s="297"/>
      <c r="GC100" s="298"/>
      <c r="GD100" s="293"/>
      <c r="GE100" s="294"/>
      <c r="GF100" s="294"/>
      <c r="GG100" s="295"/>
      <c r="GH100" s="67"/>
      <c r="GJ100" s="296"/>
      <c r="GK100" s="297"/>
      <c r="GL100" s="298"/>
      <c r="GM100" s="293"/>
      <c r="GN100" s="294"/>
      <c r="GO100" s="294"/>
      <c r="GP100" s="295"/>
      <c r="GQ100" s="67"/>
      <c r="GS100" s="303"/>
      <c r="GT100" s="304"/>
      <c r="GU100" s="305"/>
      <c r="GV100" s="293"/>
      <c r="GW100" s="294"/>
      <c r="GX100" s="294"/>
      <c r="GY100" s="295"/>
      <c r="GZ100" s="67"/>
      <c r="HB100" s="296"/>
      <c r="HC100" s="297"/>
      <c r="HD100" s="298"/>
      <c r="HE100" s="293"/>
      <c r="HF100" s="294"/>
      <c r="HG100" s="294"/>
      <c r="HH100" s="295"/>
      <c r="HI100" s="67"/>
      <c r="HK100" s="290"/>
      <c r="HL100" s="291"/>
      <c r="HM100" s="383" t="str">
        <f t="shared" si="85"/>
        <v/>
      </c>
      <c r="HN100" s="293"/>
      <c r="HO100" s="294"/>
      <c r="HP100" s="294"/>
      <c r="HQ100" s="295"/>
      <c r="HR100" s="67"/>
      <c r="HT100" s="303"/>
      <c r="HU100" s="304"/>
      <c r="HV100" s="305"/>
      <c r="HW100" s="293"/>
      <c r="HX100" s="294"/>
      <c r="HY100" s="294"/>
      <c r="HZ100" s="295"/>
      <c r="IA100" s="67"/>
      <c r="IC100" s="300"/>
      <c r="ID100" s="301"/>
      <c r="IE100" s="302"/>
      <c r="IF100" s="293"/>
      <c r="IG100" s="294"/>
      <c r="IH100" s="294"/>
      <c r="II100" s="295"/>
      <c r="IJ100" s="67"/>
      <c r="IL100" s="296"/>
      <c r="IM100" s="297"/>
      <c r="IN100" s="298"/>
      <c r="IO100" s="293"/>
      <c r="IP100" s="294"/>
      <c r="IQ100" s="294"/>
      <c r="IR100" s="295"/>
      <c r="IS100" s="67"/>
      <c r="IU100" s="296"/>
      <c r="IV100" s="297"/>
      <c r="IW100" s="298"/>
      <c r="IX100" s="293"/>
      <c r="IY100" s="294"/>
      <c r="IZ100" s="294"/>
      <c r="JA100" s="295"/>
      <c r="JB100" s="67"/>
      <c r="JD100" s="296"/>
      <c r="JE100" s="297"/>
      <c r="JF100" s="298"/>
      <c r="JG100" s="293"/>
      <c r="JH100" s="294"/>
      <c r="JI100" s="294"/>
      <c r="JJ100" s="295"/>
      <c r="JK100" s="67"/>
      <c r="JM100" s="296"/>
      <c r="JN100" s="297"/>
      <c r="JO100" s="299"/>
      <c r="JP100" s="293"/>
      <c r="JQ100" s="294"/>
      <c r="JR100" s="294"/>
      <c r="JS100" s="295"/>
      <c r="JT100" s="67"/>
      <c r="JV100" s="296"/>
      <c r="JW100" s="297"/>
      <c r="JX100" s="298"/>
      <c r="JY100" s="293"/>
      <c r="JZ100" s="294"/>
      <c r="KA100" s="294"/>
      <c r="KB100" s="295"/>
      <c r="KC100" s="67"/>
      <c r="KE100" s="296"/>
      <c r="KF100" s="297"/>
      <c r="KG100" s="298"/>
      <c r="KH100" s="293"/>
      <c r="KI100" s="294"/>
      <c r="KJ100" s="294"/>
      <c r="KK100" s="295"/>
      <c r="KL100" s="67"/>
      <c r="KN100" s="303"/>
      <c r="KO100" s="304"/>
      <c r="KP100" s="305"/>
      <c r="KQ100" s="293"/>
      <c r="KR100" s="294"/>
      <c r="KS100" s="294"/>
      <c r="KT100" s="295"/>
      <c r="KU100" s="67"/>
      <c r="KW100" s="296"/>
      <c r="KX100" s="297"/>
      <c r="KY100" s="298"/>
      <c r="KZ100" s="293"/>
      <c r="LA100" s="294"/>
      <c r="LB100" s="294"/>
      <c r="LC100" s="295"/>
      <c r="LD100" s="67"/>
      <c r="LF100" s="290"/>
      <c r="LG100" s="291"/>
      <c r="LH100" s="292"/>
      <c r="LI100" s="293"/>
      <c r="LJ100" s="294"/>
      <c r="LK100" s="294"/>
      <c r="LL100" s="295"/>
      <c r="LM100" s="67"/>
      <c r="LO100" s="296"/>
      <c r="LP100" s="297"/>
      <c r="LQ100" s="298"/>
      <c r="LR100" s="293"/>
      <c r="LS100" s="294"/>
      <c r="LT100" s="294"/>
      <c r="LU100" s="295"/>
      <c r="LV100" s="67"/>
      <c r="LX100" s="296"/>
      <c r="LY100" s="297"/>
      <c r="LZ100" s="298"/>
      <c r="MA100" s="293"/>
      <c r="MB100" s="294"/>
      <c r="MC100" s="294"/>
      <c r="MD100" s="295"/>
      <c r="ME100" s="67"/>
      <c r="MG100" s="296"/>
      <c r="MH100" s="297"/>
      <c r="MI100" s="298"/>
      <c r="MJ100" s="293"/>
      <c r="MK100" s="294"/>
      <c r="ML100" s="294"/>
      <c r="MM100" s="295"/>
      <c r="MN100" s="67"/>
      <c r="MP100" s="296"/>
      <c r="MQ100" s="297"/>
      <c r="MR100" s="298"/>
      <c r="MS100" s="293"/>
      <c r="MT100" s="294"/>
      <c r="MU100" s="294"/>
      <c r="MV100" s="295"/>
      <c r="MW100" s="67"/>
      <c r="MY100" s="296"/>
      <c r="MZ100" s="297"/>
      <c r="NA100" s="298"/>
      <c r="NB100" s="293"/>
      <c r="NC100" s="294"/>
      <c r="ND100" s="294"/>
      <c r="NE100" s="295"/>
      <c r="NF100" s="67"/>
      <c r="NH100" s="296"/>
      <c r="NI100" s="297"/>
      <c r="NJ100" s="298"/>
      <c r="NK100" s="293"/>
      <c r="NL100" s="294"/>
      <c r="NM100" s="294"/>
      <c r="NN100" s="295"/>
      <c r="NO100" s="67"/>
      <c r="NQ100" s="296"/>
      <c r="NR100" s="297"/>
      <c r="NS100" s="298"/>
      <c r="NT100" s="293"/>
      <c r="NU100" s="294"/>
      <c r="NV100" s="294"/>
      <c r="NW100" s="295"/>
      <c r="NX100" s="67"/>
      <c r="NZ100" s="290"/>
      <c r="OA100" s="291"/>
      <c r="OB100" s="292"/>
      <c r="OC100" s="293"/>
      <c r="OD100" s="294"/>
      <c r="OE100" s="294"/>
      <c r="OF100" s="295"/>
      <c r="OG100" s="67"/>
      <c r="OI100" s="296"/>
      <c r="OJ100" s="297"/>
      <c r="OK100" s="329"/>
      <c r="OL100" s="293"/>
      <c r="OM100" s="294"/>
      <c r="ON100" s="294"/>
      <c r="OO100" s="295"/>
      <c r="OP100" s="67"/>
      <c r="OR100" s="290"/>
      <c r="OS100" s="291"/>
      <c r="OT100" s="292"/>
      <c r="OU100" s="293"/>
      <c r="OV100" s="294"/>
      <c r="OW100" s="294"/>
      <c r="OX100" s="295"/>
      <c r="OY100" s="67"/>
      <c r="PA100" s="296"/>
      <c r="PB100" s="297"/>
      <c r="PC100" s="298"/>
      <c r="PD100" s="293"/>
      <c r="PE100" s="294"/>
      <c r="PF100" s="294"/>
      <c r="PG100" s="295"/>
      <c r="PH100" s="67"/>
      <c r="PJ100" s="303"/>
      <c r="PK100" s="304"/>
      <c r="PL100" s="305"/>
      <c r="PM100" s="293"/>
      <c r="PN100" s="294"/>
      <c r="PO100" s="294"/>
      <c r="PP100" s="295"/>
      <c r="PQ100" s="67"/>
      <c r="PS100" s="406"/>
      <c r="PT100" s="407"/>
      <c r="PU100" s="408"/>
      <c r="PV100" s="334"/>
      <c r="PW100" s="335"/>
      <c r="PX100" s="335"/>
      <c r="PY100" s="336"/>
      <c r="PZ100" s="333"/>
      <c r="QB100" s="290"/>
      <c r="QC100" s="291"/>
      <c r="QD100" s="292"/>
      <c r="QE100" s="293"/>
      <c r="QF100" s="294"/>
      <c r="QG100" s="294"/>
      <c r="QH100" s="295"/>
      <c r="QI100" s="67"/>
      <c r="QK100" s="306"/>
      <c r="QL100" s="307"/>
      <c r="QM100" s="308"/>
      <c r="QN100" s="293"/>
      <c r="QO100" s="294"/>
      <c r="QP100" s="294"/>
      <c r="QQ100" s="295"/>
      <c r="QR100" s="67"/>
      <c r="QS100" s="91"/>
      <c r="QT100" s="107">
        <f t="shared" si="87"/>
        <v>0</v>
      </c>
      <c r="QU100" s="130">
        <f t="shared" si="88"/>
        <v>0</v>
      </c>
      <c r="QV100" s="130">
        <f t="shared" si="89"/>
        <v>0</v>
      </c>
      <c r="QW100" s="108">
        <f t="shared" si="90"/>
        <v>0</v>
      </c>
      <c r="QY100" s="260">
        <f t="shared" si="91"/>
        <v>0</v>
      </c>
      <c r="RA100" s="141">
        <f t="shared" si="92"/>
        <v>0</v>
      </c>
      <c r="RB100" s="106">
        <f t="shared" si="93"/>
        <v>0</v>
      </c>
      <c r="RC100" s="106">
        <f t="shared" si="94"/>
        <v>0</v>
      </c>
      <c r="RD100" s="106">
        <f t="shared" si="95"/>
        <v>0</v>
      </c>
      <c r="RE100" s="106">
        <f t="shared" si="96"/>
        <v>0</v>
      </c>
      <c r="RF100" s="142">
        <f t="shared" si="97"/>
        <v>0</v>
      </c>
      <c r="RG100" s="106"/>
      <c r="RH100" s="139">
        <f t="shared" si="98"/>
        <v>0</v>
      </c>
      <c r="RI100" s="140">
        <f t="shared" si="99"/>
        <v>0</v>
      </c>
      <c r="RJ100" s="106"/>
      <c r="RK100" s="136">
        <f t="shared" si="100"/>
        <v>0</v>
      </c>
      <c r="RL100" s="106"/>
      <c r="RM100" s="137">
        <f t="shared" si="101"/>
        <v>0</v>
      </c>
      <c r="RN100" s="138">
        <f t="shared" si="102"/>
        <v>0</v>
      </c>
      <c r="RO100" s="106"/>
      <c r="RP100" s="259">
        <f t="shared" si="103"/>
        <v>0</v>
      </c>
    </row>
    <row r="101" spans="1:484" x14ac:dyDescent="0.2">
      <c r="A101" s="89">
        <f>'Name List'!B101</f>
        <v>27</v>
      </c>
      <c r="C101" s="296"/>
      <c r="D101" s="297"/>
      <c r="E101" s="329" t="str">
        <f t="shared" si="67"/>
        <v/>
      </c>
      <c r="F101" s="293"/>
      <c r="G101" s="294"/>
      <c r="H101" s="294"/>
      <c r="I101" s="295"/>
      <c r="J101" s="333" t="str">
        <f>IF(E101="","",'Name List'!$I$4)</f>
        <v/>
      </c>
      <c r="L101" s="296"/>
      <c r="M101" s="297"/>
      <c r="N101" s="298"/>
      <c r="O101" s="293"/>
      <c r="P101" s="294"/>
      <c r="Q101" s="294"/>
      <c r="R101" s="295"/>
      <c r="S101" s="67"/>
      <c r="U101" s="290"/>
      <c r="V101" s="291"/>
      <c r="W101" s="396" t="str">
        <f t="shared" si="68"/>
        <v/>
      </c>
      <c r="X101" s="293"/>
      <c r="Y101" s="294"/>
      <c r="Z101" s="294"/>
      <c r="AA101" s="295"/>
      <c r="AB101" s="333" t="str">
        <f>IF(W101="","",'Name List'!$I$4)</f>
        <v/>
      </c>
      <c r="AD101" s="296"/>
      <c r="AE101" s="297"/>
      <c r="AF101" s="329" t="str">
        <f t="shared" si="69"/>
        <v/>
      </c>
      <c r="AG101" s="293"/>
      <c r="AH101" s="294"/>
      <c r="AI101" s="294"/>
      <c r="AJ101" s="295"/>
      <c r="AK101" s="333" t="str">
        <f>IF(AF101="","",'Name List'!$I$4)</f>
        <v/>
      </c>
      <c r="AM101" s="296"/>
      <c r="AN101" s="297"/>
      <c r="AO101" s="329" t="str">
        <f t="shared" si="70"/>
        <v/>
      </c>
      <c r="AP101" s="293"/>
      <c r="AQ101" s="294"/>
      <c r="AR101" s="294"/>
      <c r="AS101" s="295"/>
      <c r="AT101" s="333" t="str">
        <f>IF(AO101="","",'Name List'!$I$4)</f>
        <v/>
      </c>
      <c r="AV101" s="459"/>
      <c r="AW101" s="402"/>
      <c r="AX101" s="400" t="str">
        <f t="shared" si="71"/>
        <v/>
      </c>
      <c r="AY101" s="293"/>
      <c r="AZ101" s="294"/>
      <c r="BA101" s="294"/>
      <c r="BB101" s="295"/>
      <c r="BC101" s="457" t="str">
        <f>IF(AX101="","",'Name List'!$I$4)</f>
        <v/>
      </c>
      <c r="BE101" s="290"/>
      <c r="BF101" s="291"/>
      <c r="BG101" s="292"/>
      <c r="BH101" s="293"/>
      <c r="BI101" s="294"/>
      <c r="BJ101" s="294"/>
      <c r="BK101" s="295"/>
      <c r="BL101" s="67"/>
      <c r="BN101" s="296"/>
      <c r="BO101" s="297"/>
      <c r="BP101" s="298"/>
      <c r="BQ101" s="293"/>
      <c r="BR101" s="294"/>
      <c r="BS101" s="294"/>
      <c r="BT101" s="295"/>
      <c r="BU101" s="67"/>
      <c r="BW101" s="296"/>
      <c r="BX101" s="297"/>
      <c r="BY101" s="329" t="str">
        <f t="shared" si="73"/>
        <v/>
      </c>
      <c r="BZ101" s="293"/>
      <c r="CA101" s="294"/>
      <c r="CB101" s="294"/>
      <c r="CC101" s="295"/>
      <c r="CD101" s="333" t="str">
        <f>IF(BY101="","",'Name List'!$I$4)</f>
        <v/>
      </c>
      <c r="CF101" s="68"/>
      <c r="CG101" s="69"/>
      <c r="CH101" s="70"/>
      <c r="CI101" s="293"/>
      <c r="CJ101" s="294"/>
      <c r="CK101" s="294"/>
      <c r="CL101" s="295"/>
      <c r="CM101" s="67"/>
      <c r="CO101" s="290"/>
      <c r="CP101" s="291"/>
      <c r="CQ101" s="383" t="str">
        <f t="shared" si="74"/>
        <v/>
      </c>
      <c r="CR101" s="293"/>
      <c r="CS101" s="294"/>
      <c r="CT101" s="294"/>
      <c r="CU101" s="295"/>
      <c r="CV101" s="333" t="str">
        <f>IF(CQ101="","",'Name List'!$I$4)</f>
        <v/>
      </c>
      <c r="CX101" s="296"/>
      <c r="CY101" s="297"/>
      <c r="CZ101" s="100"/>
      <c r="DA101" s="293"/>
      <c r="DB101" s="294"/>
      <c r="DC101" s="294"/>
      <c r="DD101" s="295"/>
      <c r="DE101" s="67"/>
      <c r="DG101" s="296"/>
      <c r="DH101" s="297"/>
      <c r="DI101" s="298"/>
      <c r="DJ101" s="293"/>
      <c r="DK101" s="294"/>
      <c r="DL101" s="294"/>
      <c r="DM101" s="295"/>
      <c r="DN101" s="67"/>
      <c r="DP101" s="296"/>
      <c r="DQ101" s="297"/>
      <c r="DR101" s="329" t="str">
        <f t="shared" si="77"/>
        <v/>
      </c>
      <c r="DS101" s="293"/>
      <c r="DT101" s="294"/>
      <c r="DU101" s="294"/>
      <c r="DV101" s="295"/>
      <c r="DW101" s="67"/>
      <c r="DY101" s="296"/>
      <c r="DZ101" s="297"/>
      <c r="EA101" s="329"/>
      <c r="EB101" s="293"/>
      <c r="EC101" s="294"/>
      <c r="ED101" s="294"/>
      <c r="EE101" s="295"/>
      <c r="EF101" s="67"/>
      <c r="EH101" s="296"/>
      <c r="EI101" s="297"/>
      <c r="EJ101" s="298"/>
      <c r="EK101" s="293"/>
      <c r="EL101" s="294"/>
      <c r="EM101" s="294"/>
      <c r="EN101" s="295"/>
      <c r="EO101" s="67"/>
      <c r="EQ101" s="300"/>
      <c r="ER101" s="301"/>
      <c r="ES101" s="390"/>
      <c r="ET101" s="293"/>
      <c r="EU101" s="294"/>
      <c r="EV101" s="294"/>
      <c r="EW101" s="295"/>
      <c r="EX101" s="67"/>
      <c r="EZ101" s="303"/>
      <c r="FA101" s="304"/>
      <c r="FB101" s="305"/>
      <c r="FC101" s="293"/>
      <c r="FD101" s="294"/>
      <c r="FE101" s="294"/>
      <c r="FF101" s="295"/>
      <c r="FG101" s="67"/>
      <c r="FI101" s="296"/>
      <c r="FJ101" s="297"/>
      <c r="FK101" s="298"/>
      <c r="FL101" s="293"/>
      <c r="FM101" s="294"/>
      <c r="FN101" s="294"/>
      <c r="FO101" s="295"/>
      <c r="FP101" s="67"/>
      <c r="FR101" s="296"/>
      <c r="FS101" s="297"/>
      <c r="FT101" s="298"/>
      <c r="FU101" s="293"/>
      <c r="FV101" s="294"/>
      <c r="FW101" s="294"/>
      <c r="FX101" s="295"/>
      <c r="FY101" s="67"/>
      <c r="GA101" s="296"/>
      <c r="GB101" s="297"/>
      <c r="GC101" s="298"/>
      <c r="GD101" s="293"/>
      <c r="GE101" s="294"/>
      <c r="GF101" s="294"/>
      <c r="GG101" s="295"/>
      <c r="GH101" s="67"/>
      <c r="GJ101" s="296"/>
      <c r="GK101" s="297"/>
      <c r="GL101" s="298"/>
      <c r="GM101" s="293"/>
      <c r="GN101" s="294"/>
      <c r="GO101" s="294"/>
      <c r="GP101" s="295"/>
      <c r="GQ101" s="67"/>
      <c r="GS101" s="303"/>
      <c r="GT101" s="304"/>
      <c r="GU101" s="305"/>
      <c r="GV101" s="293"/>
      <c r="GW101" s="294"/>
      <c r="GX101" s="294"/>
      <c r="GY101" s="295"/>
      <c r="GZ101" s="67"/>
      <c r="HB101" s="296"/>
      <c r="HC101" s="297"/>
      <c r="HD101" s="298"/>
      <c r="HE101" s="293"/>
      <c r="HF101" s="294"/>
      <c r="HG101" s="294"/>
      <c r="HH101" s="295"/>
      <c r="HI101" s="67"/>
      <c r="HK101" s="290"/>
      <c r="HL101" s="291"/>
      <c r="HM101" s="292"/>
      <c r="HN101" s="293"/>
      <c r="HO101" s="294"/>
      <c r="HP101" s="294"/>
      <c r="HQ101" s="295"/>
      <c r="HR101" s="67"/>
      <c r="HT101" s="303"/>
      <c r="HU101" s="304"/>
      <c r="HV101" s="305"/>
      <c r="HW101" s="293"/>
      <c r="HX101" s="294"/>
      <c r="HY101" s="294"/>
      <c r="HZ101" s="295"/>
      <c r="IA101" s="67"/>
      <c r="IC101" s="300"/>
      <c r="ID101" s="301"/>
      <c r="IE101" s="302"/>
      <c r="IF101" s="293"/>
      <c r="IG101" s="294"/>
      <c r="IH101" s="294"/>
      <c r="II101" s="295"/>
      <c r="IJ101" s="67"/>
      <c r="IL101" s="296"/>
      <c r="IM101" s="297"/>
      <c r="IN101" s="298"/>
      <c r="IO101" s="293"/>
      <c r="IP101" s="294"/>
      <c r="IQ101" s="294"/>
      <c r="IR101" s="295"/>
      <c r="IS101" s="67"/>
      <c r="IU101" s="296"/>
      <c r="IV101" s="297"/>
      <c r="IW101" s="298"/>
      <c r="IX101" s="293"/>
      <c r="IY101" s="294"/>
      <c r="IZ101" s="294"/>
      <c r="JA101" s="295"/>
      <c r="JB101" s="67"/>
      <c r="JD101" s="296"/>
      <c r="JE101" s="297"/>
      <c r="JF101" s="298"/>
      <c r="JG101" s="293"/>
      <c r="JH101" s="294"/>
      <c r="JI101" s="294"/>
      <c r="JJ101" s="295"/>
      <c r="JK101" s="67"/>
      <c r="JM101" s="296"/>
      <c r="JN101" s="297"/>
      <c r="JO101" s="299"/>
      <c r="JP101" s="293"/>
      <c r="JQ101" s="294"/>
      <c r="JR101" s="294"/>
      <c r="JS101" s="295"/>
      <c r="JT101" s="67"/>
      <c r="JV101" s="296"/>
      <c r="JW101" s="297"/>
      <c r="JX101" s="298"/>
      <c r="JY101" s="293"/>
      <c r="JZ101" s="294"/>
      <c r="KA101" s="294"/>
      <c r="KB101" s="295"/>
      <c r="KC101" s="67"/>
      <c r="KE101" s="296"/>
      <c r="KF101" s="297"/>
      <c r="KG101" s="298"/>
      <c r="KH101" s="293"/>
      <c r="KI101" s="294"/>
      <c r="KJ101" s="294"/>
      <c r="KK101" s="295"/>
      <c r="KL101" s="67"/>
      <c r="KN101" s="303"/>
      <c r="KO101" s="304"/>
      <c r="KP101" s="305"/>
      <c r="KQ101" s="293"/>
      <c r="KR101" s="294"/>
      <c r="KS101" s="294"/>
      <c r="KT101" s="295"/>
      <c r="KU101" s="67"/>
      <c r="KW101" s="296"/>
      <c r="KX101" s="297"/>
      <c r="KY101" s="298"/>
      <c r="KZ101" s="293"/>
      <c r="LA101" s="294"/>
      <c r="LB101" s="294"/>
      <c r="LC101" s="295"/>
      <c r="LD101" s="67"/>
      <c r="LF101" s="290"/>
      <c r="LG101" s="291"/>
      <c r="LH101" s="292"/>
      <c r="LI101" s="293"/>
      <c r="LJ101" s="294"/>
      <c r="LK101" s="294"/>
      <c r="LL101" s="295"/>
      <c r="LM101" s="67"/>
      <c r="LO101" s="296"/>
      <c r="LP101" s="297"/>
      <c r="LQ101" s="298"/>
      <c r="LR101" s="293"/>
      <c r="LS101" s="294"/>
      <c r="LT101" s="294"/>
      <c r="LU101" s="295"/>
      <c r="LV101" s="67"/>
      <c r="LX101" s="296"/>
      <c r="LY101" s="297"/>
      <c r="LZ101" s="298"/>
      <c r="MA101" s="293"/>
      <c r="MB101" s="294"/>
      <c r="MC101" s="294"/>
      <c r="MD101" s="295"/>
      <c r="ME101" s="67"/>
      <c r="MG101" s="296"/>
      <c r="MH101" s="297"/>
      <c r="MI101" s="298"/>
      <c r="MJ101" s="293"/>
      <c r="MK101" s="294"/>
      <c r="ML101" s="294"/>
      <c r="MM101" s="295"/>
      <c r="MN101" s="67"/>
      <c r="MP101" s="296"/>
      <c r="MQ101" s="297"/>
      <c r="MR101" s="298"/>
      <c r="MS101" s="293"/>
      <c r="MT101" s="294"/>
      <c r="MU101" s="294"/>
      <c r="MV101" s="295"/>
      <c r="MW101" s="67"/>
      <c r="MY101" s="296"/>
      <c r="MZ101" s="297"/>
      <c r="NA101" s="298"/>
      <c r="NB101" s="293"/>
      <c r="NC101" s="294"/>
      <c r="ND101" s="294"/>
      <c r="NE101" s="295"/>
      <c r="NF101" s="67"/>
      <c r="NH101" s="296"/>
      <c r="NI101" s="297"/>
      <c r="NJ101" s="298"/>
      <c r="NK101" s="293"/>
      <c r="NL101" s="294"/>
      <c r="NM101" s="294"/>
      <c r="NN101" s="295"/>
      <c r="NO101" s="67"/>
      <c r="NQ101" s="296"/>
      <c r="NR101" s="297"/>
      <c r="NS101" s="298"/>
      <c r="NT101" s="293"/>
      <c r="NU101" s="294"/>
      <c r="NV101" s="294"/>
      <c r="NW101" s="295"/>
      <c r="NX101" s="67"/>
      <c r="NZ101" s="290"/>
      <c r="OA101" s="291"/>
      <c r="OB101" s="292"/>
      <c r="OC101" s="293"/>
      <c r="OD101" s="294"/>
      <c r="OE101" s="294"/>
      <c r="OF101" s="295"/>
      <c r="OG101" s="67"/>
      <c r="OI101" s="296"/>
      <c r="OJ101" s="297"/>
      <c r="OK101" s="329"/>
      <c r="OL101" s="293"/>
      <c r="OM101" s="294"/>
      <c r="ON101" s="294"/>
      <c r="OO101" s="295"/>
      <c r="OP101" s="67"/>
      <c r="OR101" s="290"/>
      <c r="OS101" s="291"/>
      <c r="OT101" s="292"/>
      <c r="OU101" s="293"/>
      <c r="OV101" s="294"/>
      <c r="OW101" s="294"/>
      <c r="OX101" s="295"/>
      <c r="OY101" s="67"/>
      <c r="PA101" s="296"/>
      <c r="PB101" s="297"/>
      <c r="PC101" s="298"/>
      <c r="PD101" s="293"/>
      <c r="PE101" s="294"/>
      <c r="PF101" s="294"/>
      <c r="PG101" s="295"/>
      <c r="PH101" s="67"/>
      <c r="PJ101" s="303"/>
      <c r="PK101" s="304"/>
      <c r="PL101" s="305"/>
      <c r="PM101" s="293"/>
      <c r="PN101" s="294"/>
      <c r="PO101" s="294"/>
      <c r="PP101" s="295"/>
      <c r="PQ101" s="67"/>
      <c r="PS101" s="406"/>
      <c r="PT101" s="407"/>
      <c r="PU101" s="408"/>
      <c r="PV101" s="334"/>
      <c r="PW101" s="335"/>
      <c r="PX101" s="335"/>
      <c r="PY101" s="336"/>
      <c r="PZ101" s="333"/>
      <c r="QB101" s="290"/>
      <c r="QC101" s="291"/>
      <c r="QD101" s="292"/>
      <c r="QE101" s="293"/>
      <c r="QF101" s="294"/>
      <c r="QG101" s="294"/>
      <c r="QH101" s="295"/>
      <c r="QI101" s="67"/>
      <c r="QK101" s="306"/>
      <c r="QL101" s="307"/>
      <c r="QM101" s="308"/>
      <c r="QN101" s="293"/>
      <c r="QO101" s="294"/>
      <c r="QP101" s="294"/>
      <c r="QQ101" s="295"/>
      <c r="QR101" s="67"/>
      <c r="QS101" s="91"/>
      <c r="QT101" s="107">
        <f t="shared" si="87"/>
        <v>0</v>
      </c>
      <c r="QU101" s="130">
        <f t="shared" si="88"/>
        <v>0</v>
      </c>
      <c r="QV101" s="130">
        <f t="shared" si="89"/>
        <v>0</v>
      </c>
      <c r="QW101" s="108">
        <f t="shared" si="90"/>
        <v>0</v>
      </c>
      <c r="QY101" s="260">
        <f t="shared" si="91"/>
        <v>0</v>
      </c>
      <c r="RA101" s="141">
        <f t="shared" si="92"/>
        <v>0</v>
      </c>
      <c r="RB101" s="106">
        <f t="shared" si="93"/>
        <v>0</v>
      </c>
      <c r="RC101" s="106">
        <f t="shared" si="94"/>
        <v>0</v>
      </c>
      <c r="RD101" s="106">
        <f t="shared" si="95"/>
        <v>0</v>
      </c>
      <c r="RE101" s="106">
        <f t="shared" si="96"/>
        <v>0</v>
      </c>
      <c r="RF101" s="142">
        <f t="shared" si="97"/>
        <v>0</v>
      </c>
      <c r="RG101" s="106"/>
      <c r="RH101" s="139">
        <f t="shared" si="98"/>
        <v>0</v>
      </c>
      <c r="RI101" s="140">
        <f t="shared" si="99"/>
        <v>0</v>
      </c>
      <c r="RJ101" s="106"/>
      <c r="RK101" s="136">
        <f t="shared" si="100"/>
        <v>0</v>
      </c>
      <c r="RL101" s="106"/>
      <c r="RM101" s="137">
        <f t="shared" si="101"/>
        <v>0</v>
      </c>
      <c r="RN101" s="138">
        <f t="shared" si="102"/>
        <v>0</v>
      </c>
      <c r="RO101" s="106"/>
      <c r="RP101" s="259">
        <f t="shared" si="103"/>
        <v>0</v>
      </c>
    </row>
    <row r="102" spans="1:484" x14ac:dyDescent="0.2">
      <c r="A102" s="89">
        <f>'Name List'!B102</f>
        <v>28</v>
      </c>
      <c r="C102" s="296"/>
      <c r="D102" s="297"/>
      <c r="E102" s="329" t="str">
        <f t="shared" si="67"/>
        <v/>
      </c>
      <c r="F102" s="293"/>
      <c r="G102" s="294"/>
      <c r="H102" s="294"/>
      <c r="I102" s="295"/>
      <c r="J102" s="333" t="str">
        <f>IF(E102="","",'Name List'!$I$4)</f>
        <v/>
      </c>
      <c r="L102" s="296"/>
      <c r="M102" s="297"/>
      <c r="N102" s="298"/>
      <c r="O102" s="293"/>
      <c r="P102" s="294"/>
      <c r="Q102" s="294"/>
      <c r="R102" s="295"/>
      <c r="S102" s="67"/>
      <c r="U102" s="290"/>
      <c r="V102" s="291"/>
      <c r="W102" s="396" t="str">
        <f t="shared" si="68"/>
        <v/>
      </c>
      <c r="X102" s="293"/>
      <c r="Y102" s="294"/>
      <c r="Z102" s="294"/>
      <c r="AA102" s="295"/>
      <c r="AB102" s="333" t="str">
        <f>IF(W102="","",'Name List'!$I$4)</f>
        <v/>
      </c>
      <c r="AD102" s="296"/>
      <c r="AE102" s="297"/>
      <c r="AF102" s="329" t="str">
        <f t="shared" si="69"/>
        <v/>
      </c>
      <c r="AG102" s="293"/>
      <c r="AH102" s="294"/>
      <c r="AI102" s="294"/>
      <c r="AJ102" s="295"/>
      <c r="AK102" s="333" t="str">
        <f>IF(AF102="","",'Name List'!$I$4)</f>
        <v/>
      </c>
      <c r="AM102" s="296"/>
      <c r="AN102" s="297"/>
      <c r="AO102" s="329" t="str">
        <f t="shared" si="70"/>
        <v/>
      </c>
      <c r="AP102" s="293"/>
      <c r="AQ102" s="294"/>
      <c r="AR102" s="294"/>
      <c r="AS102" s="295"/>
      <c r="AT102" s="333" t="str">
        <f>IF(AO102="","",'Name List'!$I$4)</f>
        <v/>
      </c>
      <c r="AV102" s="459"/>
      <c r="AW102" s="402"/>
      <c r="AX102" s="400" t="str">
        <f t="shared" si="71"/>
        <v/>
      </c>
      <c r="AY102" s="293"/>
      <c r="AZ102" s="294"/>
      <c r="BA102" s="294"/>
      <c r="BB102" s="295"/>
      <c r="BC102" s="457" t="str">
        <f>IF(AX102="","",'Name List'!$I$4)</f>
        <v/>
      </c>
      <c r="BE102" s="290"/>
      <c r="BF102" s="291"/>
      <c r="BG102" s="292"/>
      <c r="BH102" s="293"/>
      <c r="BI102" s="294"/>
      <c r="BJ102" s="294"/>
      <c r="BK102" s="295"/>
      <c r="BL102" s="67"/>
      <c r="BN102" s="296"/>
      <c r="BO102" s="297"/>
      <c r="BP102" s="298"/>
      <c r="BQ102" s="293"/>
      <c r="BR102" s="294"/>
      <c r="BS102" s="294"/>
      <c r="BT102" s="295"/>
      <c r="BU102" s="67"/>
      <c r="BW102" s="296"/>
      <c r="BX102" s="297"/>
      <c r="BY102" s="329" t="str">
        <f t="shared" si="73"/>
        <v/>
      </c>
      <c r="BZ102" s="293"/>
      <c r="CA102" s="294"/>
      <c r="CB102" s="294"/>
      <c r="CC102" s="295"/>
      <c r="CD102" s="333" t="str">
        <f>IF(BY102="","",'Name List'!$I$4)</f>
        <v/>
      </c>
      <c r="CF102" s="68"/>
      <c r="CG102" s="69"/>
      <c r="CH102" s="70"/>
      <c r="CI102" s="293"/>
      <c r="CJ102" s="294"/>
      <c r="CK102" s="294"/>
      <c r="CL102" s="295"/>
      <c r="CM102" s="67"/>
      <c r="CO102" s="290"/>
      <c r="CP102" s="291"/>
      <c r="CQ102" s="383" t="str">
        <f t="shared" si="74"/>
        <v/>
      </c>
      <c r="CR102" s="293"/>
      <c r="CS102" s="294"/>
      <c r="CT102" s="294"/>
      <c r="CU102" s="295"/>
      <c r="CV102" s="333" t="str">
        <f>IF(CQ102="","",'Name List'!$I$4)</f>
        <v/>
      </c>
      <c r="CX102" s="296"/>
      <c r="CY102" s="297"/>
      <c r="CZ102" s="100"/>
      <c r="DA102" s="293"/>
      <c r="DB102" s="294"/>
      <c r="DC102" s="294"/>
      <c r="DD102" s="295"/>
      <c r="DE102" s="67"/>
      <c r="DG102" s="296"/>
      <c r="DH102" s="297"/>
      <c r="DI102" s="298"/>
      <c r="DJ102" s="293"/>
      <c r="DK102" s="294"/>
      <c r="DL102" s="294"/>
      <c r="DM102" s="295"/>
      <c r="DN102" s="67"/>
      <c r="DP102" s="296"/>
      <c r="DQ102" s="297"/>
      <c r="DR102" s="329" t="str">
        <f t="shared" si="77"/>
        <v/>
      </c>
      <c r="DS102" s="293"/>
      <c r="DT102" s="294"/>
      <c r="DU102" s="294"/>
      <c r="DV102" s="295"/>
      <c r="DW102" s="67"/>
      <c r="DY102" s="296"/>
      <c r="DZ102" s="297"/>
      <c r="EA102" s="329"/>
      <c r="EB102" s="293"/>
      <c r="EC102" s="294"/>
      <c r="ED102" s="294"/>
      <c r="EE102" s="295"/>
      <c r="EF102" s="67"/>
      <c r="EH102" s="296"/>
      <c r="EI102" s="297"/>
      <c r="EJ102" s="298"/>
      <c r="EK102" s="293"/>
      <c r="EL102" s="294"/>
      <c r="EM102" s="294"/>
      <c r="EN102" s="295"/>
      <c r="EO102" s="67"/>
      <c r="EQ102" s="300"/>
      <c r="ER102" s="301"/>
      <c r="ES102" s="390"/>
      <c r="ET102" s="293"/>
      <c r="EU102" s="294"/>
      <c r="EV102" s="294"/>
      <c r="EW102" s="295"/>
      <c r="EX102" s="67"/>
      <c r="EZ102" s="303"/>
      <c r="FA102" s="304"/>
      <c r="FB102" s="305"/>
      <c r="FC102" s="293"/>
      <c r="FD102" s="294"/>
      <c r="FE102" s="294"/>
      <c r="FF102" s="295"/>
      <c r="FG102" s="67"/>
      <c r="FI102" s="296"/>
      <c r="FJ102" s="297"/>
      <c r="FK102" s="298"/>
      <c r="FL102" s="293"/>
      <c r="FM102" s="294"/>
      <c r="FN102" s="294"/>
      <c r="FO102" s="295"/>
      <c r="FP102" s="67"/>
      <c r="FR102" s="296"/>
      <c r="FS102" s="297"/>
      <c r="FT102" s="298"/>
      <c r="FU102" s="293"/>
      <c r="FV102" s="294"/>
      <c r="FW102" s="294"/>
      <c r="FX102" s="295"/>
      <c r="FY102" s="67"/>
      <c r="GA102" s="296"/>
      <c r="GB102" s="297"/>
      <c r="GC102" s="298"/>
      <c r="GD102" s="293"/>
      <c r="GE102" s="294"/>
      <c r="GF102" s="294"/>
      <c r="GG102" s="295"/>
      <c r="GH102" s="67"/>
      <c r="GJ102" s="296"/>
      <c r="GK102" s="297"/>
      <c r="GL102" s="298"/>
      <c r="GM102" s="293"/>
      <c r="GN102" s="294"/>
      <c r="GO102" s="294"/>
      <c r="GP102" s="295"/>
      <c r="GQ102" s="67"/>
      <c r="GS102" s="303"/>
      <c r="GT102" s="304"/>
      <c r="GU102" s="305"/>
      <c r="GV102" s="293"/>
      <c r="GW102" s="294"/>
      <c r="GX102" s="294"/>
      <c r="GY102" s="295"/>
      <c r="GZ102" s="67"/>
      <c r="HB102" s="296"/>
      <c r="HC102" s="297"/>
      <c r="HD102" s="298"/>
      <c r="HE102" s="293"/>
      <c r="HF102" s="294"/>
      <c r="HG102" s="294"/>
      <c r="HH102" s="295"/>
      <c r="HI102" s="67"/>
      <c r="HK102" s="290"/>
      <c r="HL102" s="291"/>
      <c r="HM102" s="292"/>
      <c r="HN102" s="293"/>
      <c r="HO102" s="294"/>
      <c r="HP102" s="294"/>
      <c r="HQ102" s="295"/>
      <c r="HR102" s="67"/>
      <c r="HT102" s="303"/>
      <c r="HU102" s="304"/>
      <c r="HV102" s="305"/>
      <c r="HW102" s="293"/>
      <c r="HX102" s="294"/>
      <c r="HY102" s="294"/>
      <c r="HZ102" s="295"/>
      <c r="IA102" s="67"/>
      <c r="IC102" s="300"/>
      <c r="ID102" s="301"/>
      <c r="IE102" s="302"/>
      <c r="IF102" s="293"/>
      <c r="IG102" s="294"/>
      <c r="IH102" s="294"/>
      <c r="II102" s="295"/>
      <c r="IJ102" s="67"/>
      <c r="IL102" s="296"/>
      <c r="IM102" s="297"/>
      <c r="IN102" s="298"/>
      <c r="IO102" s="293"/>
      <c r="IP102" s="294"/>
      <c r="IQ102" s="294"/>
      <c r="IR102" s="295"/>
      <c r="IS102" s="67"/>
      <c r="IU102" s="296"/>
      <c r="IV102" s="297"/>
      <c r="IW102" s="298"/>
      <c r="IX102" s="293"/>
      <c r="IY102" s="294"/>
      <c r="IZ102" s="294"/>
      <c r="JA102" s="295"/>
      <c r="JB102" s="67"/>
      <c r="JD102" s="296"/>
      <c r="JE102" s="297"/>
      <c r="JF102" s="298"/>
      <c r="JG102" s="293"/>
      <c r="JH102" s="294"/>
      <c r="JI102" s="294"/>
      <c r="JJ102" s="295"/>
      <c r="JK102" s="67"/>
      <c r="JM102" s="296"/>
      <c r="JN102" s="297"/>
      <c r="JO102" s="299"/>
      <c r="JP102" s="293"/>
      <c r="JQ102" s="294"/>
      <c r="JR102" s="294"/>
      <c r="JS102" s="295"/>
      <c r="JT102" s="67"/>
      <c r="JV102" s="296"/>
      <c r="JW102" s="297"/>
      <c r="JX102" s="298"/>
      <c r="JY102" s="293"/>
      <c r="JZ102" s="294"/>
      <c r="KA102" s="294"/>
      <c r="KB102" s="295"/>
      <c r="KC102" s="67"/>
      <c r="KE102" s="296"/>
      <c r="KF102" s="297"/>
      <c r="KG102" s="298"/>
      <c r="KH102" s="293"/>
      <c r="KI102" s="294"/>
      <c r="KJ102" s="294"/>
      <c r="KK102" s="295"/>
      <c r="KL102" s="67"/>
      <c r="KN102" s="303"/>
      <c r="KO102" s="304"/>
      <c r="KP102" s="305"/>
      <c r="KQ102" s="293"/>
      <c r="KR102" s="294"/>
      <c r="KS102" s="294"/>
      <c r="KT102" s="295"/>
      <c r="KU102" s="67"/>
      <c r="KW102" s="296"/>
      <c r="KX102" s="297"/>
      <c r="KY102" s="298"/>
      <c r="KZ102" s="293"/>
      <c r="LA102" s="294"/>
      <c r="LB102" s="294"/>
      <c r="LC102" s="295"/>
      <c r="LD102" s="67"/>
      <c r="LF102" s="290"/>
      <c r="LG102" s="291"/>
      <c r="LH102" s="292"/>
      <c r="LI102" s="293"/>
      <c r="LJ102" s="294"/>
      <c r="LK102" s="294"/>
      <c r="LL102" s="295"/>
      <c r="LM102" s="67"/>
      <c r="LO102" s="296"/>
      <c r="LP102" s="297"/>
      <c r="LQ102" s="298"/>
      <c r="LR102" s="293"/>
      <c r="LS102" s="294"/>
      <c r="LT102" s="294"/>
      <c r="LU102" s="295"/>
      <c r="LV102" s="67"/>
      <c r="LX102" s="296"/>
      <c r="LY102" s="297"/>
      <c r="LZ102" s="298"/>
      <c r="MA102" s="293"/>
      <c r="MB102" s="294"/>
      <c r="MC102" s="294"/>
      <c r="MD102" s="295"/>
      <c r="ME102" s="67"/>
      <c r="MG102" s="296"/>
      <c r="MH102" s="297"/>
      <c r="MI102" s="298"/>
      <c r="MJ102" s="293"/>
      <c r="MK102" s="294"/>
      <c r="ML102" s="294"/>
      <c r="MM102" s="295"/>
      <c r="MN102" s="67"/>
      <c r="MP102" s="296"/>
      <c r="MQ102" s="297"/>
      <c r="MR102" s="298"/>
      <c r="MS102" s="293"/>
      <c r="MT102" s="294"/>
      <c r="MU102" s="294"/>
      <c r="MV102" s="295"/>
      <c r="MW102" s="67"/>
      <c r="MY102" s="296"/>
      <c r="MZ102" s="297"/>
      <c r="NA102" s="298"/>
      <c r="NB102" s="293"/>
      <c r="NC102" s="294"/>
      <c r="ND102" s="294"/>
      <c r="NE102" s="295"/>
      <c r="NF102" s="67"/>
      <c r="NH102" s="296"/>
      <c r="NI102" s="297"/>
      <c r="NJ102" s="298"/>
      <c r="NK102" s="293"/>
      <c r="NL102" s="294"/>
      <c r="NM102" s="294"/>
      <c r="NN102" s="295"/>
      <c r="NO102" s="67"/>
      <c r="NQ102" s="296"/>
      <c r="NR102" s="297"/>
      <c r="NS102" s="298"/>
      <c r="NT102" s="293"/>
      <c r="NU102" s="294"/>
      <c r="NV102" s="294"/>
      <c r="NW102" s="295"/>
      <c r="NX102" s="67"/>
      <c r="NZ102" s="290"/>
      <c r="OA102" s="291"/>
      <c r="OB102" s="292"/>
      <c r="OC102" s="293"/>
      <c r="OD102" s="294"/>
      <c r="OE102" s="294"/>
      <c r="OF102" s="295"/>
      <c r="OG102" s="67"/>
      <c r="OI102" s="296"/>
      <c r="OJ102" s="297"/>
      <c r="OK102" s="329"/>
      <c r="OL102" s="293"/>
      <c r="OM102" s="294"/>
      <c r="ON102" s="294"/>
      <c r="OO102" s="295"/>
      <c r="OP102" s="67"/>
      <c r="OR102" s="290"/>
      <c r="OS102" s="291"/>
      <c r="OT102" s="292"/>
      <c r="OU102" s="293"/>
      <c r="OV102" s="294"/>
      <c r="OW102" s="294"/>
      <c r="OX102" s="295"/>
      <c r="OY102" s="67"/>
      <c r="PA102" s="296"/>
      <c r="PB102" s="297"/>
      <c r="PC102" s="298"/>
      <c r="PD102" s="293"/>
      <c r="PE102" s="294"/>
      <c r="PF102" s="294"/>
      <c r="PG102" s="295"/>
      <c r="PH102" s="67"/>
      <c r="PJ102" s="303"/>
      <c r="PK102" s="304"/>
      <c r="PL102" s="305"/>
      <c r="PM102" s="293"/>
      <c r="PN102" s="294"/>
      <c r="PO102" s="294"/>
      <c r="PP102" s="295"/>
      <c r="PQ102" s="67"/>
      <c r="PS102" s="406"/>
      <c r="PT102" s="407"/>
      <c r="PU102" s="408"/>
      <c r="PV102" s="334"/>
      <c r="PW102" s="335"/>
      <c r="PX102" s="335"/>
      <c r="PY102" s="336"/>
      <c r="PZ102" s="333"/>
      <c r="QB102" s="290"/>
      <c r="QC102" s="291"/>
      <c r="QD102" s="292"/>
      <c r="QE102" s="293"/>
      <c r="QF102" s="294"/>
      <c r="QG102" s="294"/>
      <c r="QH102" s="295"/>
      <c r="QI102" s="67"/>
      <c r="QK102" s="306"/>
      <c r="QL102" s="307"/>
      <c r="QM102" s="308"/>
      <c r="QN102" s="293"/>
      <c r="QO102" s="294"/>
      <c r="QP102" s="294"/>
      <c r="QQ102" s="295"/>
      <c r="QR102" s="67"/>
      <c r="QS102" s="91"/>
      <c r="QT102" s="107">
        <f t="shared" si="87"/>
        <v>0</v>
      </c>
      <c r="QU102" s="130">
        <f t="shared" si="88"/>
        <v>0</v>
      </c>
      <c r="QV102" s="130">
        <f t="shared" si="89"/>
        <v>0</v>
      </c>
      <c r="QW102" s="108">
        <f t="shared" si="90"/>
        <v>0</v>
      </c>
      <c r="QY102" s="260">
        <f t="shared" si="91"/>
        <v>0</v>
      </c>
      <c r="RA102" s="141">
        <f t="shared" si="92"/>
        <v>0</v>
      </c>
      <c r="RB102" s="106">
        <f t="shared" si="93"/>
        <v>0</v>
      </c>
      <c r="RC102" s="106">
        <f t="shared" si="94"/>
        <v>0</v>
      </c>
      <c r="RD102" s="106">
        <f t="shared" si="95"/>
        <v>0</v>
      </c>
      <c r="RE102" s="106">
        <f t="shared" si="96"/>
        <v>0</v>
      </c>
      <c r="RF102" s="142">
        <f t="shared" si="97"/>
        <v>0</v>
      </c>
      <c r="RG102" s="106"/>
      <c r="RH102" s="139">
        <f t="shared" si="98"/>
        <v>0</v>
      </c>
      <c r="RI102" s="140">
        <f t="shared" si="99"/>
        <v>0</v>
      </c>
      <c r="RJ102" s="106"/>
      <c r="RK102" s="136">
        <f t="shared" si="100"/>
        <v>0</v>
      </c>
      <c r="RL102" s="106"/>
      <c r="RM102" s="137">
        <f t="shared" si="101"/>
        <v>0</v>
      </c>
      <c r="RN102" s="138">
        <f t="shared" si="102"/>
        <v>0</v>
      </c>
      <c r="RO102" s="106"/>
      <c r="RP102" s="259">
        <f t="shared" si="103"/>
        <v>0</v>
      </c>
    </row>
    <row r="103" spans="1:484" x14ac:dyDescent="0.2">
      <c r="A103" s="89">
        <f>'Name List'!B103</f>
        <v>29</v>
      </c>
      <c r="C103" s="296"/>
      <c r="D103" s="297"/>
      <c r="E103" s="329" t="str">
        <f t="shared" si="67"/>
        <v/>
      </c>
      <c r="F103" s="293"/>
      <c r="G103" s="294"/>
      <c r="H103" s="294"/>
      <c r="I103" s="295"/>
      <c r="J103" s="333" t="str">
        <f>IF(E103="","",'Name List'!$I$4)</f>
        <v/>
      </c>
      <c r="L103" s="296"/>
      <c r="M103" s="297"/>
      <c r="N103" s="298"/>
      <c r="O103" s="293"/>
      <c r="P103" s="294"/>
      <c r="Q103" s="294"/>
      <c r="R103" s="295"/>
      <c r="S103" s="67"/>
      <c r="U103" s="290"/>
      <c r="V103" s="291"/>
      <c r="W103" s="396" t="str">
        <f t="shared" si="68"/>
        <v/>
      </c>
      <c r="X103" s="293"/>
      <c r="Y103" s="294"/>
      <c r="Z103" s="294"/>
      <c r="AA103" s="295"/>
      <c r="AB103" s="333" t="str">
        <f>IF(W103="","",'Name List'!$I$4)</f>
        <v/>
      </c>
      <c r="AD103" s="296"/>
      <c r="AE103" s="297"/>
      <c r="AF103" s="329" t="str">
        <f t="shared" si="69"/>
        <v/>
      </c>
      <c r="AG103" s="293"/>
      <c r="AH103" s="294"/>
      <c r="AI103" s="294"/>
      <c r="AJ103" s="295"/>
      <c r="AK103" s="333" t="str">
        <f>IF(AF103="","",'Name List'!$I$4)</f>
        <v/>
      </c>
      <c r="AM103" s="296"/>
      <c r="AN103" s="297"/>
      <c r="AO103" s="329" t="str">
        <f t="shared" si="70"/>
        <v/>
      </c>
      <c r="AP103" s="293"/>
      <c r="AQ103" s="294"/>
      <c r="AR103" s="294"/>
      <c r="AS103" s="295"/>
      <c r="AT103" s="333" t="str">
        <f>IF(AO103="","",'Name List'!$I$4)</f>
        <v/>
      </c>
      <c r="AV103" s="459"/>
      <c r="AW103" s="402"/>
      <c r="AX103" s="400" t="str">
        <f t="shared" si="71"/>
        <v/>
      </c>
      <c r="AY103" s="293"/>
      <c r="AZ103" s="294"/>
      <c r="BA103" s="294"/>
      <c r="BB103" s="295"/>
      <c r="BC103" s="457" t="str">
        <f>IF(AX103="","",'Name List'!$I$4)</f>
        <v/>
      </c>
      <c r="BE103" s="290"/>
      <c r="BF103" s="291"/>
      <c r="BG103" s="292"/>
      <c r="BH103" s="293"/>
      <c r="BI103" s="294"/>
      <c r="BJ103" s="294"/>
      <c r="BK103" s="295"/>
      <c r="BL103" s="67"/>
      <c r="BN103" s="296"/>
      <c r="BO103" s="297"/>
      <c r="BP103" s="298"/>
      <c r="BQ103" s="293"/>
      <c r="BR103" s="294"/>
      <c r="BS103" s="294"/>
      <c r="BT103" s="295"/>
      <c r="BU103" s="67"/>
      <c r="BW103" s="296"/>
      <c r="BX103" s="297"/>
      <c r="BY103" s="329" t="str">
        <f t="shared" si="73"/>
        <v/>
      </c>
      <c r="BZ103" s="293"/>
      <c r="CA103" s="294"/>
      <c r="CB103" s="294"/>
      <c r="CC103" s="295"/>
      <c r="CD103" s="333" t="str">
        <f>IF(BY103="","",'Name List'!$I$4)</f>
        <v/>
      </c>
      <c r="CF103" s="68"/>
      <c r="CG103" s="69"/>
      <c r="CH103" s="70"/>
      <c r="CI103" s="293"/>
      <c r="CJ103" s="294"/>
      <c r="CK103" s="294"/>
      <c r="CL103" s="295"/>
      <c r="CM103" s="67"/>
      <c r="CO103" s="290"/>
      <c r="CP103" s="291"/>
      <c r="CQ103" s="383" t="str">
        <f t="shared" si="74"/>
        <v/>
      </c>
      <c r="CR103" s="293"/>
      <c r="CS103" s="294"/>
      <c r="CT103" s="294"/>
      <c r="CU103" s="295"/>
      <c r="CV103" s="333" t="str">
        <f>IF(CQ103="","",'Name List'!$I$4)</f>
        <v/>
      </c>
      <c r="CX103" s="296"/>
      <c r="CY103" s="297"/>
      <c r="CZ103" s="100"/>
      <c r="DA103" s="293"/>
      <c r="DB103" s="294"/>
      <c r="DC103" s="294"/>
      <c r="DD103" s="295"/>
      <c r="DE103" s="67"/>
      <c r="DG103" s="296"/>
      <c r="DH103" s="297"/>
      <c r="DI103" s="298"/>
      <c r="DJ103" s="293"/>
      <c r="DK103" s="294"/>
      <c r="DL103" s="294"/>
      <c r="DM103" s="295"/>
      <c r="DN103" s="67"/>
      <c r="DP103" s="296"/>
      <c r="DQ103" s="297"/>
      <c r="DR103" s="329" t="str">
        <f t="shared" si="77"/>
        <v/>
      </c>
      <c r="DS103" s="293"/>
      <c r="DT103" s="294"/>
      <c r="DU103" s="294"/>
      <c r="DV103" s="295"/>
      <c r="DW103" s="67"/>
      <c r="DY103" s="296"/>
      <c r="DZ103" s="297"/>
      <c r="EA103" s="329"/>
      <c r="EB103" s="293"/>
      <c r="EC103" s="294"/>
      <c r="ED103" s="294"/>
      <c r="EE103" s="295"/>
      <c r="EF103" s="67"/>
      <c r="EH103" s="296"/>
      <c r="EI103" s="297"/>
      <c r="EJ103" s="298"/>
      <c r="EK103" s="293"/>
      <c r="EL103" s="294"/>
      <c r="EM103" s="294"/>
      <c r="EN103" s="295"/>
      <c r="EO103" s="67"/>
      <c r="EQ103" s="300"/>
      <c r="ER103" s="301"/>
      <c r="ES103" s="390"/>
      <c r="ET103" s="293"/>
      <c r="EU103" s="294"/>
      <c r="EV103" s="294"/>
      <c r="EW103" s="295"/>
      <c r="EX103" s="67"/>
      <c r="EZ103" s="303"/>
      <c r="FA103" s="304"/>
      <c r="FB103" s="305"/>
      <c r="FC103" s="293"/>
      <c r="FD103" s="294"/>
      <c r="FE103" s="294"/>
      <c r="FF103" s="295"/>
      <c r="FG103" s="67"/>
      <c r="FI103" s="296"/>
      <c r="FJ103" s="297"/>
      <c r="FK103" s="298"/>
      <c r="FL103" s="293"/>
      <c r="FM103" s="294"/>
      <c r="FN103" s="294"/>
      <c r="FO103" s="295"/>
      <c r="FP103" s="67"/>
      <c r="FR103" s="296"/>
      <c r="FS103" s="297"/>
      <c r="FT103" s="298"/>
      <c r="FU103" s="293"/>
      <c r="FV103" s="294"/>
      <c r="FW103" s="294"/>
      <c r="FX103" s="295"/>
      <c r="FY103" s="67"/>
      <c r="GA103" s="296"/>
      <c r="GB103" s="297"/>
      <c r="GC103" s="298"/>
      <c r="GD103" s="293"/>
      <c r="GE103" s="294"/>
      <c r="GF103" s="294"/>
      <c r="GG103" s="295"/>
      <c r="GH103" s="67"/>
      <c r="GJ103" s="296"/>
      <c r="GK103" s="297"/>
      <c r="GL103" s="298"/>
      <c r="GM103" s="293"/>
      <c r="GN103" s="294"/>
      <c r="GO103" s="294"/>
      <c r="GP103" s="295"/>
      <c r="GQ103" s="67"/>
      <c r="GS103" s="303"/>
      <c r="GT103" s="304"/>
      <c r="GU103" s="305"/>
      <c r="GV103" s="293"/>
      <c r="GW103" s="294"/>
      <c r="GX103" s="294"/>
      <c r="GY103" s="295"/>
      <c r="GZ103" s="67"/>
      <c r="HB103" s="296"/>
      <c r="HC103" s="297"/>
      <c r="HD103" s="298"/>
      <c r="HE103" s="293"/>
      <c r="HF103" s="294"/>
      <c r="HG103" s="294"/>
      <c r="HH103" s="295"/>
      <c r="HI103" s="67"/>
      <c r="HK103" s="290"/>
      <c r="HL103" s="291"/>
      <c r="HM103" s="292"/>
      <c r="HN103" s="293"/>
      <c r="HO103" s="294"/>
      <c r="HP103" s="294"/>
      <c r="HQ103" s="295"/>
      <c r="HR103" s="67"/>
      <c r="HT103" s="303"/>
      <c r="HU103" s="304"/>
      <c r="HV103" s="305"/>
      <c r="HW103" s="293"/>
      <c r="HX103" s="294"/>
      <c r="HY103" s="294"/>
      <c r="HZ103" s="295"/>
      <c r="IA103" s="67"/>
      <c r="IC103" s="300"/>
      <c r="ID103" s="301"/>
      <c r="IE103" s="302"/>
      <c r="IF103" s="293"/>
      <c r="IG103" s="294"/>
      <c r="IH103" s="294"/>
      <c r="II103" s="295"/>
      <c r="IJ103" s="67"/>
      <c r="IL103" s="296"/>
      <c r="IM103" s="297"/>
      <c r="IN103" s="298"/>
      <c r="IO103" s="293"/>
      <c r="IP103" s="294"/>
      <c r="IQ103" s="294"/>
      <c r="IR103" s="295"/>
      <c r="IS103" s="67"/>
      <c r="IU103" s="296"/>
      <c r="IV103" s="297"/>
      <c r="IW103" s="298"/>
      <c r="IX103" s="293"/>
      <c r="IY103" s="294"/>
      <c r="IZ103" s="294"/>
      <c r="JA103" s="295"/>
      <c r="JB103" s="67"/>
      <c r="JD103" s="296"/>
      <c r="JE103" s="297"/>
      <c r="JF103" s="298"/>
      <c r="JG103" s="293"/>
      <c r="JH103" s="294"/>
      <c r="JI103" s="294"/>
      <c r="JJ103" s="295"/>
      <c r="JK103" s="67"/>
      <c r="JM103" s="296"/>
      <c r="JN103" s="297"/>
      <c r="JO103" s="299"/>
      <c r="JP103" s="293"/>
      <c r="JQ103" s="294"/>
      <c r="JR103" s="294"/>
      <c r="JS103" s="295"/>
      <c r="JT103" s="67"/>
      <c r="JV103" s="296"/>
      <c r="JW103" s="297"/>
      <c r="JX103" s="298"/>
      <c r="JY103" s="293"/>
      <c r="JZ103" s="294"/>
      <c r="KA103" s="294"/>
      <c r="KB103" s="295"/>
      <c r="KC103" s="67"/>
      <c r="KE103" s="296"/>
      <c r="KF103" s="297"/>
      <c r="KG103" s="298"/>
      <c r="KH103" s="293"/>
      <c r="KI103" s="294"/>
      <c r="KJ103" s="294"/>
      <c r="KK103" s="295"/>
      <c r="KL103" s="67"/>
      <c r="KN103" s="303"/>
      <c r="KO103" s="304"/>
      <c r="KP103" s="305"/>
      <c r="KQ103" s="293"/>
      <c r="KR103" s="294"/>
      <c r="KS103" s="294"/>
      <c r="KT103" s="295"/>
      <c r="KU103" s="67"/>
      <c r="KW103" s="296"/>
      <c r="KX103" s="297"/>
      <c r="KY103" s="298"/>
      <c r="KZ103" s="293"/>
      <c r="LA103" s="294"/>
      <c r="LB103" s="294"/>
      <c r="LC103" s="295"/>
      <c r="LD103" s="67"/>
      <c r="LF103" s="290"/>
      <c r="LG103" s="291"/>
      <c r="LH103" s="292"/>
      <c r="LI103" s="293"/>
      <c r="LJ103" s="294"/>
      <c r="LK103" s="294"/>
      <c r="LL103" s="295"/>
      <c r="LM103" s="67"/>
      <c r="LO103" s="296"/>
      <c r="LP103" s="297"/>
      <c r="LQ103" s="298"/>
      <c r="LR103" s="293"/>
      <c r="LS103" s="294"/>
      <c r="LT103" s="294"/>
      <c r="LU103" s="295"/>
      <c r="LV103" s="67"/>
      <c r="LX103" s="296"/>
      <c r="LY103" s="297"/>
      <c r="LZ103" s="298"/>
      <c r="MA103" s="293"/>
      <c r="MB103" s="294"/>
      <c r="MC103" s="294"/>
      <c r="MD103" s="295"/>
      <c r="ME103" s="67"/>
      <c r="MG103" s="296"/>
      <c r="MH103" s="297"/>
      <c r="MI103" s="298"/>
      <c r="MJ103" s="293"/>
      <c r="MK103" s="294"/>
      <c r="ML103" s="294"/>
      <c r="MM103" s="295"/>
      <c r="MN103" s="67"/>
      <c r="MP103" s="296"/>
      <c r="MQ103" s="297"/>
      <c r="MR103" s="298"/>
      <c r="MS103" s="293"/>
      <c r="MT103" s="294"/>
      <c r="MU103" s="294"/>
      <c r="MV103" s="295"/>
      <c r="MW103" s="67"/>
      <c r="MY103" s="296"/>
      <c r="MZ103" s="297"/>
      <c r="NA103" s="298"/>
      <c r="NB103" s="293"/>
      <c r="NC103" s="294"/>
      <c r="ND103" s="294"/>
      <c r="NE103" s="295"/>
      <c r="NF103" s="67"/>
      <c r="NH103" s="296"/>
      <c r="NI103" s="297"/>
      <c r="NJ103" s="298"/>
      <c r="NK103" s="293"/>
      <c r="NL103" s="294"/>
      <c r="NM103" s="294"/>
      <c r="NN103" s="295"/>
      <c r="NO103" s="67"/>
      <c r="NQ103" s="296"/>
      <c r="NR103" s="297"/>
      <c r="NS103" s="298"/>
      <c r="NT103" s="293"/>
      <c r="NU103" s="294"/>
      <c r="NV103" s="294"/>
      <c r="NW103" s="295"/>
      <c r="NX103" s="67"/>
      <c r="NZ103" s="290"/>
      <c r="OA103" s="291"/>
      <c r="OB103" s="292"/>
      <c r="OC103" s="293"/>
      <c r="OD103" s="294"/>
      <c r="OE103" s="294"/>
      <c r="OF103" s="295"/>
      <c r="OG103" s="67"/>
      <c r="OI103" s="296"/>
      <c r="OJ103" s="297"/>
      <c r="OK103" s="329"/>
      <c r="OL103" s="293"/>
      <c r="OM103" s="294"/>
      <c r="ON103" s="294"/>
      <c r="OO103" s="295"/>
      <c r="OP103" s="67"/>
      <c r="OR103" s="290"/>
      <c r="OS103" s="291"/>
      <c r="OT103" s="292"/>
      <c r="OU103" s="293"/>
      <c r="OV103" s="294"/>
      <c r="OW103" s="294"/>
      <c r="OX103" s="295"/>
      <c r="OY103" s="67"/>
      <c r="PA103" s="296"/>
      <c r="PB103" s="297"/>
      <c r="PC103" s="298"/>
      <c r="PD103" s="293"/>
      <c r="PE103" s="294"/>
      <c r="PF103" s="294"/>
      <c r="PG103" s="295"/>
      <c r="PH103" s="67"/>
      <c r="PJ103" s="303"/>
      <c r="PK103" s="304"/>
      <c r="PL103" s="305"/>
      <c r="PM103" s="293"/>
      <c r="PN103" s="294"/>
      <c r="PO103" s="294"/>
      <c r="PP103" s="295"/>
      <c r="PQ103" s="67"/>
      <c r="PS103" s="406"/>
      <c r="PT103" s="407"/>
      <c r="PU103" s="408"/>
      <c r="PV103" s="334"/>
      <c r="PW103" s="335"/>
      <c r="PX103" s="335"/>
      <c r="PY103" s="336"/>
      <c r="PZ103" s="333"/>
      <c r="QB103" s="290"/>
      <c r="QC103" s="291"/>
      <c r="QD103" s="292"/>
      <c r="QE103" s="293"/>
      <c r="QF103" s="294"/>
      <c r="QG103" s="294"/>
      <c r="QH103" s="295"/>
      <c r="QI103" s="67"/>
      <c r="QK103" s="306"/>
      <c r="QL103" s="307"/>
      <c r="QM103" s="308"/>
      <c r="QN103" s="293"/>
      <c r="QO103" s="294"/>
      <c r="QP103" s="294"/>
      <c r="QQ103" s="295"/>
      <c r="QR103" s="67"/>
      <c r="QS103" s="91"/>
      <c r="QT103" s="107">
        <f t="shared" si="87"/>
        <v>0</v>
      </c>
      <c r="QU103" s="130">
        <f t="shared" si="88"/>
        <v>0</v>
      </c>
      <c r="QV103" s="130">
        <f t="shared" si="89"/>
        <v>0</v>
      </c>
      <c r="QW103" s="108">
        <f t="shared" si="90"/>
        <v>0</v>
      </c>
      <c r="QY103" s="260">
        <f t="shared" si="91"/>
        <v>0</v>
      </c>
      <c r="RA103" s="141">
        <f t="shared" si="92"/>
        <v>0</v>
      </c>
      <c r="RB103" s="106">
        <f t="shared" si="93"/>
        <v>0</v>
      </c>
      <c r="RC103" s="106">
        <f t="shared" si="94"/>
        <v>0</v>
      </c>
      <c r="RD103" s="106">
        <f t="shared" si="95"/>
        <v>0</v>
      </c>
      <c r="RE103" s="106">
        <f t="shared" si="96"/>
        <v>0</v>
      </c>
      <c r="RF103" s="142">
        <f t="shared" si="97"/>
        <v>0</v>
      </c>
      <c r="RG103" s="106"/>
      <c r="RH103" s="139">
        <f t="shared" si="98"/>
        <v>0</v>
      </c>
      <c r="RI103" s="140">
        <f t="shared" si="99"/>
        <v>0</v>
      </c>
      <c r="RJ103" s="106"/>
      <c r="RK103" s="136">
        <f t="shared" si="100"/>
        <v>0</v>
      </c>
      <c r="RL103" s="106"/>
      <c r="RM103" s="137">
        <f t="shared" si="101"/>
        <v>0</v>
      </c>
      <c r="RN103" s="138">
        <f t="shared" si="102"/>
        <v>0</v>
      </c>
      <c r="RO103" s="106"/>
      <c r="RP103" s="259">
        <f t="shared" si="103"/>
        <v>0</v>
      </c>
    </row>
    <row r="104" spans="1:484" x14ac:dyDescent="0.2">
      <c r="A104" s="89">
        <f>'Name List'!B104</f>
        <v>30</v>
      </c>
      <c r="C104" s="296"/>
      <c r="D104" s="297"/>
      <c r="E104" s="329" t="str">
        <f t="shared" si="67"/>
        <v/>
      </c>
      <c r="F104" s="293"/>
      <c r="G104" s="294"/>
      <c r="H104" s="294"/>
      <c r="I104" s="295"/>
      <c r="J104" s="333" t="str">
        <f>IF(E104="","",'Name List'!$I$4)</f>
        <v/>
      </c>
      <c r="L104" s="296"/>
      <c r="M104" s="297"/>
      <c r="N104" s="298"/>
      <c r="O104" s="293"/>
      <c r="P104" s="294"/>
      <c r="Q104" s="294"/>
      <c r="R104" s="295"/>
      <c r="S104" s="67"/>
      <c r="U104" s="290"/>
      <c r="V104" s="291"/>
      <c r="W104" s="396" t="str">
        <f t="shared" si="68"/>
        <v/>
      </c>
      <c r="X104" s="293"/>
      <c r="Y104" s="294"/>
      <c r="Z104" s="294"/>
      <c r="AA104" s="295"/>
      <c r="AB104" s="333" t="str">
        <f>IF(W104="","",'Name List'!$I$4)</f>
        <v/>
      </c>
      <c r="AD104" s="296"/>
      <c r="AE104" s="297"/>
      <c r="AF104" s="329" t="str">
        <f t="shared" si="69"/>
        <v/>
      </c>
      <c r="AG104" s="293"/>
      <c r="AH104" s="294"/>
      <c r="AI104" s="294"/>
      <c r="AJ104" s="295"/>
      <c r="AK104" s="333" t="str">
        <f>IF(AF104="","",'Name List'!$I$4)</f>
        <v/>
      </c>
      <c r="AM104" s="296"/>
      <c r="AN104" s="297"/>
      <c r="AO104" s="329" t="str">
        <f t="shared" si="70"/>
        <v/>
      </c>
      <c r="AP104" s="293"/>
      <c r="AQ104" s="294"/>
      <c r="AR104" s="294"/>
      <c r="AS104" s="295"/>
      <c r="AT104" s="333" t="str">
        <f>IF(AO104="","",'Name List'!$I$4)</f>
        <v/>
      </c>
      <c r="AV104" s="459"/>
      <c r="AW104" s="402"/>
      <c r="AX104" s="400" t="str">
        <f t="shared" si="71"/>
        <v/>
      </c>
      <c r="AY104" s="293"/>
      <c r="AZ104" s="294"/>
      <c r="BA104" s="294"/>
      <c r="BB104" s="295"/>
      <c r="BC104" s="457" t="str">
        <f>IF(AX104="","",'Name List'!$I$4)</f>
        <v/>
      </c>
      <c r="BE104" s="290"/>
      <c r="BF104" s="291"/>
      <c r="BG104" s="292"/>
      <c r="BH104" s="293"/>
      <c r="BI104" s="294"/>
      <c r="BJ104" s="294"/>
      <c r="BK104" s="295"/>
      <c r="BL104" s="67"/>
      <c r="BN104" s="296"/>
      <c r="BO104" s="297"/>
      <c r="BP104" s="298"/>
      <c r="BQ104" s="293"/>
      <c r="BR104" s="294"/>
      <c r="BS104" s="294"/>
      <c r="BT104" s="295"/>
      <c r="BU104" s="67"/>
      <c r="BW104" s="296"/>
      <c r="BX104" s="297"/>
      <c r="BY104" s="329" t="str">
        <f t="shared" si="73"/>
        <v/>
      </c>
      <c r="BZ104" s="293"/>
      <c r="CA104" s="294"/>
      <c r="CB104" s="294"/>
      <c r="CC104" s="295"/>
      <c r="CD104" s="333" t="str">
        <f>IF(BY104="","",'Name List'!$I$4)</f>
        <v/>
      </c>
      <c r="CF104" s="68"/>
      <c r="CG104" s="69"/>
      <c r="CH104" s="70"/>
      <c r="CI104" s="293"/>
      <c r="CJ104" s="294"/>
      <c r="CK104" s="294"/>
      <c r="CL104" s="295"/>
      <c r="CM104" s="67"/>
      <c r="CO104" s="290"/>
      <c r="CP104" s="291"/>
      <c r="CQ104" s="383" t="str">
        <f t="shared" si="74"/>
        <v/>
      </c>
      <c r="CR104" s="293"/>
      <c r="CS104" s="294"/>
      <c r="CT104" s="294"/>
      <c r="CU104" s="295"/>
      <c r="CV104" s="67"/>
      <c r="CX104" s="296"/>
      <c r="CY104" s="297"/>
      <c r="CZ104" s="100"/>
      <c r="DA104" s="293"/>
      <c r="DB104" s="294"/>
      <c r="DC104" s="294"/>
      <c r="DD104" s="295"/>
      <c r="DE104" s="67"/>
      <c r="DG104" s="296"/>
      <c r="DH104" s="297"/>
      <c r="DI104" s="298"/>
      <c r="DJ104" s="293"/>
      <c r="DK104" s="294"/>
      <c r="DL104" s="294"/>
      <c r="DM104" s="295"/>
      <c r="DN104" s="67"/>
      <c r="DP104" s="296"/>
      <c r="DQ104" s="297"/>
      <c r="DR104" s="298"/>
      <c r="DS104" s="293"/>
      <c r="DT104" s="294"/>
      <c r="DU104" s="294"/>
      <c r="DV104" s="295"/>
      <c r="DW104" s="67"/>
      <c r="DY104" s="296"/>
      <c r="DZ104" s="297"/>
      <c r="EA104" s="298"/>
      <c r="EB104" s="293"/>
      <c r="EC104" s="294"/>
      <c r="ED104" s="294"/>
      <c r="EE104" s="295"/>
      <c r="EF104" s="67"/>
      <c r="EH104" s="296"/>
      <c r="EI104" s="297"/>
      <c r="EJ104" s="298"/>
      <c r="EK104" s="293"/>
      <c r="EL104" s="294"/>
      <c r="EM104" s="294"/>
      <c r="EN104" s="295"/>
      <c r="EO104" s="67"/>
      <c r="EQ104" s="300"/>
      <c r="ER104" s="301"/>
      <c r="ES104" s="390"/>
      <c r="ET104" s="293"/>
      <c r="EU104" s="294"/>
      <c r="EV104" s="294"/>
      <c r="EW104" s="295"/>
      <c r="EX104" s="67"/>
      <c r="EZ104" s="303"/>
      <c r="FA104" s="304"/>
      <c r="FB104" s="305"/>
      <c r="FC104" s="293"/>
      <c r="FD104" s="294"/>
      <c r="FE104" s="294"/>
      <c r="FF104" s="295"/>
      <c r="FG104" s="67"/>
      <c r="FI104" s="296"/>
      <c r="FJ104" s="297"/>
      <c r="FK104" s="298"/>
      <c r="FL104" s="293"/>
      <c r="FM104" s="294"/>
      <c r="FN104" s="294"/>
      <c r="FO104" s="295"/>
      <c r="FP104" s="67"/>
      <c r="FR104" s="296"/>
      <c r="FS104" s="297"/>
      <c r="FT104" s="298"/>
      <c r="FU104" s="293"/>
      <c r="FV104" s="294"/>
      <c r="FW104" s="294"/>
      <c r="FX104" s="295"/>
      <c r="FY104" s="67"/>
      <c r="GA104" s="296"/>
      <c r="GB104" s="297"/>
      <c r="GC104" s="298"/>
      <c r="GD104" s="293"/>
      <c r="GE104" s="294"/>
      <c r="GF104" s="294"/>
      <c r="GG104" s="295"/>
      <c r="GH104" s="67"/>
      <c r="GJ104" s="296"/>
      <c r="GK104" s="297"/>
      <c r="GL104" s="298"/>
      <c r="GM104" s="293"/>
      <c r="GN104" s="294"/>
      <c r="GO104" s="294"/>
      <c r="GP104" s="295"/>
      <c r="GQ104" s="67"/>
      <c r="GS104" s="303"/>
      <c r="GT104" s="304"/>
      <c r="GU104" s="305"/>
      <c r="GV104" s="293"/>
      <c r="GW104" s="294"/>
      <c r="GX104" s="294"/>
      <c r="GY104" s="295"/>
      <c r="GZ104" s="67"/>
      <c r="HB104" s="296"/>
      <c r="HC104" s="297"/>
      <c r="HD104" s="298"/>
      <c r="HE104" s="293"/>
      <c r="HF104" s="294"/>
      <c r="HG104" s="294"/>
      <c r="HH104" s="295"/>
      <c r="HI104" s="67"/>
      <c r="HK104" s="290"/>
      <c r="HL104" s="291"/>
      <c r="HM104" s="292"/>
      <c r="HN104" s="293"/>
      <c r="HO104" s="294"/>
      <c r="HP104" s="294"/>
      <c r="HQ104" s="295"/>
      <c r="HR104" s="67"/>
      <c r="HT104" s="303"/>
      <c r="HU104" s="304"/>
      <c r="HV104" s="305"/>
      <c r="HW104" s="293"/>
      <c r="HX104" s="294"/>
      <c r="HY104" s="294"/>
      <c r="HZ104" s="295"/>
      <c r="IA104" s="67"/>
      <c r="IC104" s="300"/>
      <c r="ID104" s="301"/>
      <c r="IE104" s="302"/>
      <c r="IF104" s="293"/>
      <c r="IG104" s="294"/>
      <c r="IH104" s="294"/>
      <c r="II104" s="295"/>
      <c r="IJ104" s="67"/>
      <c r="IL104" s="296"/>
      <c r="IM104" s="297"/>
      <c r="IN104" s="298"/>
      <c r="IO104" s="293"/>
      <c r="IP104" s="294"/>
      <c r="IQ104" s="294"/>
      <c r="IR104" s="295"/>
      <c r="IS104" s="67"/>
      <c r="IU104" s="296"/>
      <c r="IV104" s="297"/>
      <c r="IW104" s="298"/>
      <c r="IX104" s="293"/>
      <c r="IY104" s="294"/>
      <c r="IZ104" s="294"/>
      <c r="JA104" s="295"/>
      <c r="JB104" s="67"/>
      <c r="JD104" s="296"/>
      <c r="JE104" s="297"/>
      <c r="JF104" s="298"/>
      <c r="JG104" s="293"/>
      <c r="JH104" s="294"/>
      <c r="JI104" s="294"/>
      <c r="JJ104" s="295"/>
      <c r="JK104" s="67"/>
      <c r="JM104" s="296"/>
      <c r="JN104" s="297"/>
      <c r="JO104" s="299"/>
      <c r="JP104" s="293"/>
      <c r="JQ104" s="294"/>
      <c r="JR104" s="294"/>
      <c r="JS104" s="295"/>
      <c r="JT104" s="67"/>
      <c r="JV104" s="296"/>
      <c r="JW104" s="297"/>
      <c r="JX104" s="298"/>
      <c r="JY104" s="293"/>
      <c r="JZ104" s="294"/>
      <c r="KA104" s="294"/>
      <c r="KB104" s="295"/>
      <c r="KC104" s="67"/>
      <c r="KE104" s="296"/>
      <c r="KF104" s="297"/>
      <c r="KG104" s="298"/>
      <c r="KH104" s="293"/>
      <c r="KI104" s="294"/>
      <c r="KJ104" s="294"/>
      <c r="KK104" s="295"/>
      <c r="KL104" s="67"/>
      <c r="KN104" s="303"/>
      <c r="KO104" s="304"/>
      <c r="KP104" s="305"/>
      <c r="KQ104" s="293"/>
      <c r="KR104" s="294"/>
      <c r="KS104" s="294"/>
      <c r="KT104" s="295"/>
      <c r="KU104" s="67"/>
      <c r="KW104" s="296"/>
      <c r="KX104" s="297"/>
      <c r="KY104" s="298"/>
      <c r="KZ104" s="293"/>
      <c r="LA104" s="294"/>
      <c r="LB104" s="294"/>
      <c r="LC104" s="295"/>
      <c r="LD104" s="67"/>
      <c r="LF104" s="290"/>
      <c r="LG104" s="291"/>
      <c r="LH104" s="292"/>
      <c r="LI104" s="293"/>
      <c r="LJ104" s="294"/>
      <c r="LK104" s="294"/>
      <c r="LL104" s="295"/>
      <c r="LM104" s="67"/>
      <c r="LO104" s="296"/>
      <c r="LP104" s="297"/>
      <c r="LQ104" s="298"/>
      <c r="LR104" s="293"/>
      <c r="LS104" s="294"/>
      <c r="LT104" s="294"/>
      <c r="LU104" s="295"/>
      <c r="LV104" s="67"/>
      <c r="LX104" s="296"/>
      <c r="LY104" s="297"/>
      <c r="LZ104" s="298"/>
      <c r="MA104" s="293"/>
      <c r="MB104" s="294"/>
      <c r="MC104" s="294"/>
      <c r="MD104" s="295"/>
      <c r="ME104" s="67"/>
      <c r="MG104" s="296"/>
      <c r="MH104" s="297"/>
      <c r="MI104" s="298"/>
      <c r="MJ104" s="293"/>
      <c r="MK104" s="294"/>
      <c r="ML104" s="294"/>
      <c r="MM104" s="295"/>
      <c r="MN104" s="67"/>
      <c r="MP104" s="296"/>
      <c r="MQ104" s="297"/>
      <c r="MR104" s="298"/>
      <c r="MS104" s="293"/>
      <c r="MT104" s="294"/>
      <c r="MU104" s="294"/>
      <c r="MV104" s="295"/>
      <c r="MW104" s="67"/>
      <c r="MY104" s="296"/>
      <c r="MZ104" s="297"/>
      <c r="NA104" s="298"/>
      <c r="NB104" s="293"/>
      <c r="NC104" s="294"/>
      <c r="ND104" s="294"/>
      <c r="NE104" s="295"/>
      <c r="NF104" s="67"/>
      <c r="NH104" s="296"/>
      <c r="NI104" s="297"/>
      <c r="NJ104" s="298"/>
      <c r="NK104" s="293"/>
      <c r="NL104" s="294"/>
      <c r="NM104" s="294"/>
      <c r="NN104" s="295"/>
      <c r="NO104" s="67"/>
      <c r="NQ104" s="296"/>
      <c r="NR104" s="297"/>
      <c r="NS104" s="298"/>
      <c r="NT104" s="293"/>
      <c r="NU104" s="294"/>
      <c r="NV104" s="294"/>
      <c r="NW104" s="295"/>
      <c r="NX104" s="67"/>
      <c r="NZ104" s="290"/>
      <c r="OA104" s="291"/>
      <c r="OB104" s="292"/>
      <c r="OC104" s="293"/>
      <c r="OD104" s="294"/>
      <c r="OE104" s="294"/>
      <c r="OF104" s="295"/>
      <c r="OG104" s="67"/>
      <c r="OI104" s="296"/>
      <c r="OJ104" s="297"/>
      <c r="OK104" s="329"/>
      <c r="OL104" s="293"/>
      <c r="OM104" s="294"/>
      <c r="ON104" s="294"/>
      <c r="OO104" s="295"/>
      <c r="OP104" s="67"/>
      <c r="OR104" s="290"/>
      <c r="OS104" s="291"/>
      <c r="OT104" s="292"/>
      <c r="OU104" s="293"/>
      <c r="OV104" s="294"/>
      <c r="OW104" s="294"/>
      <c r="OX104" s="295"/>
      <c r="OY104" s="67"/>
      <c r="PA104" s="296"/>
      <c r="PB104" s="297"/>
      <c r="PC104" s="298"/>
      <c r="PD104" s="293"/>
      <c r="PE104" s="294"/>
      <c r="PF104" s="294"/>
      <c r="PG104" s="295"/>
      <c r="PH104" s="67"/>
      <c r="PJ104" s="303"/>
      <c r="PK104" s="304"/>
      <c r="PL104" s="305"/>
      <c r="PM104" s="293"/>
      <c r="PN104" s="294"/>
      <c r="PO104" s="294"/>
      <c r="PP104" s="295"/>
      <c r="PQ104" s="67"/>
      <c r="PS104" s="406"/>
      <c r="PT104" s="407"/>
      <c r="PU104" s="408"/>
      <c r="PV104" s="334"/>
      <c r="PW104" s="335"/>
      <c r="PX104" s="335"/>
      <c r="PY104" s="336"/>
      <c r="PZ104" s="333"/>
      <c r="QB104" s="290"/>
      <c r="QC104" s="291"/>
      <c r="QD104" s="292"/>
      <c r="QE104" s="293"/>
      <c r="QF104" s="294"/>
      <c r="QG104" s="294"/>
      <c r="QH104" s="295"/>
      <c r="QI104" s="67"/>
      <c r="QK104" s="306"/>
      <c r="QL104" s="307"/>
      <c r="QM104" s="308"/>
      <c r="QN104" s="293"/>
      <c r="QO104" s="294"/>
      <c r="QP104" s="294"/>
      <c r="QQ104" s="295"/>
      <c r="QR104" s="67"/>
      <c r="QS104" s="91"/>
      <c r="QT104" s="107">
        <f t="shared" si="87"/>
        <v>0</v>
      </c>
      <c r="QU104" s="130">
        <f t="shared" si="88"/>
        <v>0</v>
      </c>
      <c r="QV104" s="130">
        <f t="shared" si="89"/>
        <v>0</v>
      </c>
      <c r="QW104" s="108">
        <f t="shared" si="90"/>
        <v>0</v>
      </c>
      <c r="QY104" s="260">
        <f t="shared" si="91"/>
        <v>0</v>
      </c>
      <c r="RA104" s="141">
        <f t="shared" si="92"/>
        <v>0</v>
      </c>
      <c r="RB104" s="106">
        <f t="shared" si="93"/>
        <v>0</v>
      </c>
      <c r="RC104" s="106">
        <f t="shared" si="94"/>
        <v>0</v>
      </c>
      <c r="RD104" s="106">
        <f t="shared" si="95"/>
        <v>0</v>
      </c>
      <c r="RE104" s="106">
        <f t="shared" si="96"/>
        <v>0</v>
      </c>
      <c r="RF104" s="142">
        <f t="shared" si="97"/>
        <v>0</v>
      </c>
      <c r="RG104" s="106"/>
      <c r="RH104" s="139">
        <f t="shared" si="98"/>
        <v>0</v>
      </c>
      <c r="RI104" s="140">
        <f t="shared" si="99"/>
        <v>0</v>
      </c>
      <c r="RJ104" s="106"/>
      <c r="RK104" s="136">
        <f t="shared" si="100"/>
        <v>0</v>
      </c>
      <c r="RL104" s="106"/>
      <c r="RM104" s="137">
        <f t="shared" si="101"/>
        <v>0</v>
      </c>
      <c r="RN104" s="138">
        <f t="shared" si="102"/>
        <v>0</v>
      </c>
      <c r="RO104" s="106"/>
      <c r="RP104" s="259">
        <f t="shared" si="103"/>
        <v>0</v>
      </c>
    </row>
    <row r="105" spans="1:484" ht="12" thickBot="1" x14ac:dyDescent="0.25">
      <c r="A105" s="89">
        <f>'Name List'!B105</f>
        <v>31</v>
      </c>
      <c r="C105" s="101"/>
      <c r="D105" s="102"/>
      <c r="E105" s="395" t="str">
        <f t="shared" si="67"/>
        <v/>
      </c>
      <c r="F105" s="83"/>
      <c r="G105" s="84"/>
      <c r="H105" s="84"/>
      <c r="I105" s="85"/>
      <c r="J105" s="340" t="str">
        <f>IF(E105="","",'Name List'!$I$4)</f>
        <v/>
      </c>
      <c r="L105" s="101"/>
      <c r="M105" s="102"/>
      <c r="N105" s="103"/>
      <c r="O105" s="83"/>
      <c r="P105" s="84"/>
      <c r="Q105" s="84"/>
      <c r="R105" s="85"/>
      <c r="S105" s="204"/>
      <c r="U105" s="80"/>
      <c r="V105" s="81"/>
      <c r="W105" s="432" t="str">
        <f t="shared" si="68"/>
        <v/>
      </c>
      <c r="X105" s="83"/>
      <c r="Y105" s="84"/>
      <c r="Z105" s="84"/>
      <c r="AA105" s="85"/>
      <c r="AB105" s="340" t="str">
        <f>IF(W105="","",'Name List'!$I$4)</f>
        <v/>
      </c>
      <c r="AD105" s="101"/>
      <c r="AE105" s="102"/>
      <c r="AF105" s="395" t="str">
        <f t="shared" si="69"/>
        <v/>
      </c>
      <c r="AG105" s="83"/>
      <c r="AH105" s="84"/>
      <c r="AI105" s="84"/>
      <c r="AJ105" s="85"/>
      <c r="AK105" s="340" t="str">
        <f>IF(AF105="","",'Name List'!$I$4)</f>
        <v/>
      </c>
      <c r="AM105" s="101"/>
      <c r="AN105" s="102"/>
      <c r="AO105" s="395" t="str">
        <f t="shared" si="70"/>
        <v/>
      </c>
      <c r="AP105" s="83"/>
      <c r="AQ105" s="84"/>
      <c r="AR105" s="84"/>
      <c r="AS105" s="85"/>
      <c r="AT105" s="340" t="str">
        <f>IF(AO105="","",'Name List'!$I$4)</f>
        <v/>
      </c>
      <c r="AV105" s="460"/>
      <c r="AW105" s="461"/>
      <c r="AX105" s="462" t="str">
        <f t="shared" si="71"/>
        <v/>
      </c>
      <c r="AY105" s="463"/>
      <c r="AZ105" s="464"/>
      <c r="BA105" s="464"/>
      <c r="BB105" s="465"/>
      <c r="BC105" s="466" t="str">
        <f>IF(AX105="","",'Name List'!$I$4)</f>
        <v/>
      </c>
      <c r="BE105" s="80"/>
      <c r="BF105" s="81"/>
      <c r="BG105" s="82"/>
      <c r="BH105" s="83"/>
      <c r="BI105" s="84"/>
      <c r="BJ105" s="84"/>
      <c r="BK105" s="85"/>
      <c r="BL105" s="204"/>
      <c r="BN105" s="101"/>
      <c r="BO105" s="102"/>
      <c r="BP105" s="103"/>
      <c r="BQ105" s="83"/>
      <c r="BR105" s="84"/>
      <c r="BS105" s="84"/>
      <c r="BT105" s="85"/>
      <c r="BU105" s="204"/>
      <c r="BW105" s="101"/>
      <c r="BX105" s="102"/>
      <c r="BY105" s="395" t="str">
        <f t="shared" si="73"/>
        <v/>
      </c>
      <c r="BZ105" s="83"/>
      <c r="CA105" s="84"/>
      <c r="CB105" s="84"/>
      <c r="CC105" s="85"/>
      <c r="CD105" s="340" t="str">
        <f>IF(BY105="","",'Name List'!$I$4)</f>
        <v/>
      </c>
      <c r="CF105" s="86"/>
      <c r="CG105" s="87"/>
      <c r="CH105" s="88"/>
      <c r="CI105" s="83"/>
      <c r="CJ105" s="84"/>
      <c r="CK105" s="84"/>
      <c r="CL105" s="85"/>
      <c r="CM105" s="204"/>
      <c r="CO105" s="80"/>
      <c r="CP105" s="81"/>
      <c r="CQ105" s="82"/>
      <c r="CR105" s="83"/>
      <c r="CS105" s="84"/>
      <c r="CT105" s="84"/>
      <c r="CU105" s="85"/>
      <c r="CV105" s="204"/>
      <c r="CX105" s="101"/>
      <c r="CY105" s="102"/>
      <c r="CZ105" s="103"/>
      <c r="DA105" s="83"/>
      <c r="DB105" s="84"/>
      <c r="DC105" s="84"/>
      <c r="DD105" s="85"/>
      <c r="DE105" s="204"/>
      <c r="DG105" s="101"/>
      <c r="DH105" s="102"/>
      <c r="DI105" s="103"/>
      <c r="DJ105" s="83"/>
      <c r="DK105" s="84"/>
      <c r="DL105" s="84"/>
      <c r="DM105" s="85"/>
      <c r="DN105" s="204"/>
      <c r="DP105" s="101"/>
      <c r="DQ105" s="102"/>
      <c r="DR105" s="103"/>
      <c r="DS105" s="83"/>
      <c r="DT105" s="84"/>
      <c r="DU105" s="84"/>
      <c r="DV105" s="85"/>
      <c r="DW105" s="204"/>
      <c r="DY105" s="101"/>
      <c r="DZ105" s="102"/>
      <c r="EA105" s="103"/>
      <c r="EB105" s="83"/>
      <c r="EC105" s="84"/>
      <c r="ED105" s="84"/>
      <c r="EE105" s="85"/>
      <c r="EF105" s="204"/>
      <c r="EH105" s="101"/>
      <c r="EI105" s="102"/>
      <c r="EJ105" s="103"/>
      <c r="EK105" s="83"/>
      <c r="EL105" s="84"/>
      <c r="EM105" s="84"/>
      <c r="EN105" s="85"/>
      <c r="EO105" s="204"/>
      <c r="EQ105" s="118"/>
      <c r="ER105" s="119"/>
      <c r="ES105" s="390"/>
      <c r="ET105" s="83"/>
      <c r="EU105" s="84"/>
      <c r="EV105" s="84"/>
      <c r="EW105" s="85"/>
      <c r="EX105" s="204"/>
      <c r="EZ105" s="86"/>
      <c r="FA105" s="87"/>
      <c r="FB105" s="88"/>
      <c r="FC105" s="83"/>
      <c r="FD105" s="84"/>
      <c r="FE105" s="84"/>
      <c r="FF105" s="85"/>
      <c r="FG105" s="204"/>
      <c r="FI105" s="101"/>
      <c r="FJ105" s="102"/>
      <c r="FK105" s="103"/>
      <c r="FL105" s="83"/>
      <c r="FM105" s="84"/>
      <c r="FN105" s="84"/>
      <c r="FO105" s="85"/>
      <c r="FP105" s="204"/>
      <c r="FR105" s="101"/>
      <c r="FS105" s="102"/>
      <c r="FT105" s="103"/>
      <c r="FU105" s="83"/>
      <c r="FV105" s="84"/>
      <c r="FW105" s="84"/>
      <c r="FX105" s="85"/>
      <c r="FY105" s="204"/>
      <c r="GA105" s="101"/>
      <c r="GB105" s="102"/>
      <c r="GC105" s="103"/>
      <c r="GD105" s="83"/>
      <c r="GE105" s="84"/>
      <c r="GF105" s="84"/>
      <c r="GG105" s="85"/>
      <c r="GH105" s="204"/>
      <c r="GJ105" s="101"/>
      <c r="GK105" s="102"/>
      <c r="GL105" s="103"/>
      <c r="GM105" s="83"/>
      <c r="GN105" s="84"/>
      <c r="GO105" s="84"/>
      <c r="GP105" s="85"/>
      <c r="GQ105" s="204"/>
      <c r="GS105" s="86"/>
      <c r="GT105" s="87"/>
      <c r="GU105" s="88"/>
      <c r="GV105" s="83"/>
      <c r="GW105" s="84"/>
      <c r="GX105" s="84"/>
      <c r="GY105" s="85"/>
      <c r="GZ105" s="204"/>
      <c r="HB105" s="101"/>
      <c r="HC105" s="102"/>
      <c r="HD105" s="103"/>
      <c r="HE105" s="83"/>
      <c r="HF105" s="84"/>
      <c r="HG105" s="84"/>
      <c r="HH105" s="85"/>
      <c r="HI105" s="204"/>
      <c r="HK105" s="80"/>
      <c r="HL105" s="81"/>
      <c r="HM105" s="82"/>
      <c r="HN105" s="83"/>
      <c r="HO105" s="84"/>
      <c r="HP105" s="84"/>
      <c r="HQ105" s="85"/>
      <c r="HR105" s="204"/>
      <c r="HT105" s="86"/>
      <c r="HU105" s="87"/>
      <c r="HV105" s="88"/>
      <c r="HW105" s="83"/>
      <c r="HX105" s="84"/>
      <c r="HY105" s="84"/>
      <c r="HZ105" s="85"/>
      <c r="IA105" s="204"/>
      <c r="IC105" s="118"/>
      <c r="ID105" s="119"/>
      <c r="IE105" s="120"/>
      <c r="IF105" s="83"/>
      <c r="IG105" s="84"/>
      <c r="IH105" s="84"/>
      <c r="II105" s="85"/>
      <c r="IJ105" s="204"/>
      <c r="IL105" s="101"/>
      <c r="IM105" s="102"/>
      <c r="IN105" s="103"/>
      <c r="IO105" s="83"/>
      <c r="IP105" s="84"/>
      <c r="IQ105" s="84"/>
      <c r="IR105" s="85"/>
      <c r="IS105" s="204"/>
      <c r="IU105" s="101"/>
      <c r="IV105" s="102"/>
      <c r="IW105" s="103"/>
      <c r="IX105" s="83"/>
      <c r="IY105" s="84"/>
      <c r="IZ105" s="84"/>
      <c r="JA105" s="85"/>
      <c r="JB105" s="204"/>
      <c r="JD105" s="101"/>
      <c r="JE105" s="102"/>
      <c r="JF105" s="103"/>
      <c r="JG105" s="83"/>
      <c r="JH105" s="84"/>
      <c r="JI105" s="84"/>
      <c r="JJ105" s="85"/>
      <c r="JK105" s="204"/>
      <c r="JM105" s="101"/>
      <c r="JN105" s="102"/>
      <c r="JO105" s="276"/>
      <c r="JP105" s="83"/>
      <c r="JQ105" s="84"/>
      <c r="JR105" s="84"/>
      <c r="JS105" s="85"/>
      <c r="JT105" s="204"/>
      <c r="JV105" s="101"/>
      <c r="JW105" s="102"/>
      <c r="JX105" s="103"/>
      <c r="JY105" s="83"/>
      <c r="JZ105" s="84"/>
      <c r="KA105" s="84"/>
      <c r="KB105" s="85"/>
      <c r="KC105" s="204"/>
      <c r="KE105" s="101"/>
      <c r="KF105" s="102"/>
      <c r="KG105" s="103"/>
      <c r="KH105" s="83"/>
      <c r="KI105" s="84"/>
      <c r="KJ105" s="84"/>
      <c r="KK105" s="85"/>
      <c r="KL105" s="204"/>
      <c r="KN105" s="86"/>
      <c r="KO105" s="87"/>
      <c r="KP105" s="88"/>
      <c r="KQ105" s="83"/>
      <c r="KR105" s="84"/>
      <c r="KS105" s="84"/>
      <c r="KT105" s="85"/>
      <c r="KU105" s="204"/>
      <c r="KW105" s="101"/>
      <c r="KX105" s="102"/>
      <c r="KY105" s="103"/>
      <c r="KZ105" s="83"/>
      <c r="LA105" s="84"/>
      <c r="LB105" s="84"/>
      <c r="LC105" s="85"/>
      <c r="LD105" s="204"/>
      <c r="LF105" s="80"/>
      <c r="LG105" s="81"/>
      <c r="LH105" s="82"/>
      <c r="LI105" s="83"/>
      <c r="LJ105" s="84"/>
      <c r="LK105" s="84"/>
      <c r="LL105" s="85"/>
      <c r="LM105" s="204"/>
      <c r="LO105" s="101"/>
      <c r="LP105" s="102"/>
      <c r="LQ105" s="103"/>
      <c r="LR105" s="83"/>
      <c r="LS105" s="84"/>
      <c r="LT105" s="84"/>
      <c r="LU105" s="85"/>
      <c r="LV105" s="204"/>
      <c r="LX105" s="101"/>
      <c r="LY105" s="102"/>
      <c r="LZ105" s="103"/>
      <c r="MA105" s="83"/>
      <c r="MB105" s="84"/>
      <c r="MC105" s="84"/>
      <c r="MD105" s="85"/>
      <c r="ME105" s="204"/>
      <c r="MG105" s="101"/>
      <c r="MH105" s="102"/>
      <c r="MI105" s="103"/>
      <c r="MJ105" s="83"/>
      <c r="MK105" s="84"/>
      <c r="ML105" s="84"/>
      <c r="MM105" s="85"/>
      <c r="MN105" s="204"/>
      <c r="MP105" s="101"/>
      <c r="MQ105" s="102"/>
      <c r="MR105" s="103"/>
      <c r="MS105" s="83"/>
      <c r="MT105" s="84"/>
      <c r="MU105" s="84"/>
      <c r="MV105" s="85"/>
      <c r="MW105" s="204"/>
      <c r="MY105" s="101"/>
      <c r="MZ105" s="102"/>
      <c r="NA105" s="103"/>
      <c r="NB105" s="83"/>
      <c r="NC105" s="84"/>
      <c r="ND105" s="84"/>
      <c r="NE105" s="85"/>
      <c r="NF105" s="204"/>
      <c r="NH105" s="101"/>
      <c r="NI105" s="102"/>
      <c r="NJ105" s="103"/>
      <c r="NK105" s="83"/>
      <c r="NL105" s="84"/>
      <c r="NM105" s="84"/>
      <c r="NN105" s="85"/>
      <c r="NO105" s="204"/>
      <c r="NQ105" s="101"/>
      <c r="NR105" s="102"/>
      <c r="NS105" s="103"/>
      <c r="NT105" s="83"/>
      <c r="NU105" s="84"/>
      <c r="NV105" s="84"/>
      <c r="NW105" s="85"/>
      <c r="NX105" s="204"/>
      <c r="NZ105" s="80"/>
      <c r="OA105" s="81"/>
      <c r="OB105" s="82"/>
      <c r="OC105" s="83"/>
      <c r="OD105" s="84"/>
      <c r="OE105" s="84"/>
      <c r="OF105" s="85"/>
      <c r="OG105" s="204"/>
      <c r="OI105" s="101"/>
      <c r="OJ105" s="102"/>
      <c r="OK105" s="103"/>
      <c r="OL105" s="83"/>
      <c r="OM105" s="84"/>
      <c r="ON105" s="84"/>
      <c r="OO105" s="85"/>
      <c r="OP105" s="204"/>
      <c r="OR105" s="80"/>
      <c r="OS105" s="81"/>
      <c r="OT105" s="82"/>
      <c r="OU105" s="83"/>
      <c r="OV105" s="84"/>
      <c r="OW105" s="84"/>
      <c r="OX105" s="85"/>
      <c r="OY105" s="204"/>
      <c r="PA105" s="101"/>
      <c r="PB105" s="102"/>
      <c r="PC105" s="103"/>
      <c r="PD105" s="83"/>
      <c r="PE105" s="84"/>
      <c r="PF105" s="84"/>
      <c r="PG105" s="85"/>
      <c r="PH105" s="204"/>
      <c r="PJ105" s="86"/>
      <c r="PK105" s="87"/>
      <c r="PL105" s="88"/>
      <c r="PM105" s="83"/>
      <c r="PN105" s="84"/>
      <c r="PO105" s="84"/>
      <c r="PP105" s="85"/>
      <c r="PQ105" s="204"/>
      <c r="PS105" s="409"/>
      <c r="PT105" s="410"/>
      <c r="PU105" s="411"/>
      <c r="PV105" s="337"/>
      <c r="PW105" s="338"/>
      <c r="PX105" s="338"/>
      <c r="PY105" s="339"/>
      <c r="PZ105" s="340"/>
      <c r="QB105" s="80"/>
      <c r="QC105" s="81"/>
      <c r="QD105" s="82"/>
      <c r="QE105" s="83"/>
      <c r="QF105" s="84"/>
      <c r="QG105" s="84"/>
      <c r="QH105" s="85"/>
      <c r="QI105" s="204"/>
      <c r="QK105" s="286"/>
      <c r="QL105" s="287"/>
      <c r="QM105" s="288"/>
      <c r="QN105" s="83"/>
      <c r="QO105" s="84"/>
      <c r="QP105" s="84"/>
      <c r="QQ105" s="85"/>
      <c r="QR105" s="204"/>
      <c r="QS105" s="91"/>
      <c r="QT105" s="366">
        <f t="shared" si="87"/>
        <v>0</v>
      </c>
      <c r="QU105" s="367">
        <f t="shared" si="88"/>
        <v>0</v>
      </c>
      <c r="QV105" s="367">
        <f t="shared" si="89"/>
        <v>0</v>
      </c>
      <c r="QW105" s="368">
        <f t="shared" si="90"/>
        <v>0</v>
      </c>
      <c r="QY105" s="369">
        <f t="shared" si="91"/>
        <v>0</v>
      </c>
      <c r="RA105" s="370">
        <f t="shared" si="92"/>
        <v>0</v>
      </c>
      <c r="RB105" s="371">
        <f t="shared" si="93"/>
        <v>0</v>
      </c>
      <c r="RC105" s="371">
        <f t="shared" si="94"/>
        <v>0</v>
      </c>
      <c r="RD105" s="371">
        <f t="shared" si="95"/>
        <v>0</v>
      </c>
      <c r="RE105" s="371">
        <f t="shared" si="96"/>
        <v>0</v>
      </c>
      <c r="RF105" s="372">
        <f t="shared" si="97"/>
        <v>0</v>
      </c>
      <c r="RG105" s="106"/>
      <c r="RH105" s="423">
        <f t="shared" si="98"/>
        <v>0</v>
      </c>
      <c r="RI105" s="424">
        <f t="shared" si="99"/>
        <v>0</v>
      </c>
      <c r="RJ105" s="106"/>
      <c r="RK105" s="373">
        <f t="shared" si="100"/>
        <v>0</v>
      </c>
      <c r="RL105" s="106"/>
      <c r="RM105" s="427">
        <f t="shared" si="101"/>
        <v>0</v>
      </c>
      <c r="RN105" s="428">
        <f t="shared" si="102"/>
        <v>0</v>
      </c>
      <c r="RO105" s="106"/>
      <c r="RP105" s="430">
        <f t="shared" si="103"/>
        <v>0</v>
      </c>
    </row>
    <row r="106" spans="1:484" x14ac:dyDescent="0.2">
      <c r="J106" s="91"/>
      <c r="S106" s="91"/>
      <c r="AB106" s="91"/>
      <c r="AK106" s="91"/>
      <c r="AT106" s="91"/>
      <c r="BC106" s="91"/>
      <c r="BL106" s="91"/>
      <c r="BU106" s="91"/>
      <c r="CD106" s="91"/>
      <c r="CM106" s="91"/>
      <c r="CV106" s="91"/>
      <c r="DE106" s="91"/>
      <c r="DN106" s="91"/>
      <c r="DW106" s="91"/>
      <c r="EF106" s="91"/>
      <c r="EO106" s="91"/>
      <c r="EX106" s="91"/>
      <c r="FG106" s="91"/>
      <c r="FP106" s="91"/>
      <c r="FY106" s="91"/>
      <c r="GH106" s="91"/>
      <c r="GQ106" s="91"/>
      <c r="GZ106" s="91"/>
      <c r="HI106" s="91"/>
      <c r="HR106" s="91"/>
      <c r="IA106" s="91"/>
      <c r="IJ106" s="91"/>
      <c r="IS106" s="91"/>
      <c r="JB106" s="91"/>
      <c r="JK106" s="91"/>
      <c r="JT106" s="91"/>
      <c r="KC106" s="91"/>
      <c r="KL106" s="91"/>
      <c r="KU106" s="91"/>
      <c r="LD106" s="91"/>
      <c r="LM106" s="91"/>
      <c r="LV106" s="91"/>
      <c r="ME106" s="91"/>
      <c r="MN106" s="91"/>
      <c r="MW106" s="91"/>
      <c r="NF106" s="91"/>
      <c r="NO106" s="91"/>
      <c r="NX106" s="91"/>
      <c r="OG106" s="91"/>
      <c r="OP106" s="91"/>
      <c r="OY106" s="91"/>
      <c r="PH106" s="91"/>
      <c r="PQ106" s="129"/>
      <c r="PZ106" s="129"/>
      <c r="QI106" s="129"/>
      <c r="QR106" s="129"/>
      <c r="QS106" s="91"/>
      <c r="QT106" s="309"/>
      <c r="QU106" s="309"/>
      <c r="QV106" s="309"/>
      <c r="QW106" s="309"/>
      <c r="QY106" s="310"/>
    </row>
    <row r="107" spans="1:484" x14ac:dyDescent="0.2">
      <c r="QT107" s="309"/>
      <c r="QU107" s="309"/>
      <c r="QV107" s="309"/>
      <c r="QW107" s="309"/>
      <c r="QY107" s="310"/>
    </row>
    <row r="108" spans="1:484" x14ac:dyDescent="0.2">
      <c r="A108" s="89" t="s">
        <v>53</v>
      </c>
      <c r="E108" s="92">
        <f>COUNT(E6:E105)</f>
        <v>0</v>
      </c>
      <c r="F108" s="92">
        <f>SUM(F6:F105)</f>
        <v>0</v>
      </c>
      <c r="G108" s="92">
        <f>SUM(G6:G105)</f>
        <v>0</v>
      </c>
      <c r="H108" s="92">
        <f>SUM(H6:H105)</f>
        <v>0</v>
      </c>
      <c r="I108" s="92">
        <f>SUM(I6:I105)</f>
        <v>0</v>
      </c>
      <c r="J108" s="93">
        <f>SUM(J6:J105)</f>
        <v>0</v>
      </c>
      <c r="N108" s="92">
        <f>COUNT(N6:N105)</f>
        <v>0</v>
      </c>
      <c r="O108" s="92">
        <f>SUM(O6:O105)</f>
        <v>0</v>
      </c>
      <c r="P108" s="92">
        <f>SUM(P6:P105)</f>
        <v>0</v>
      </c>
      <c r="Q108" s="92">
        <f>SUM(Q6:Q105)</f>
        <v>0</v>
      </c>
      <c r="R108" s="92">
        <f>SUM(R6:R105)</f>
        <v>0</v>
      </c>
      <c r="S108" s="93">
        <f>SUM(S6:S105)</f>
        <v>0</v>
      </c>
      <c r="W108" s="92">
        <f>COUNT(W6:W105)</f>
        <v>17</v>
      </c>
      <c r="X108" s="92">
        <f>SUM(X6:X105)</f>
        <v>0</v>
      </c>
      <c r="Y108" s="92">
        <f>SUM(Y6:Y105)</f>
        <v>12</v>
      </c>
      <c r="Z108" s="92">
        <f>SUM(Z6:Z105)</f>
        <v>99</v>
      </c>
      <c r="AA108" s="92">
        <f>SUM(AA6:AA105)</f>
        <v>31</v>
      </c>
      <c r="AB108" s="93">
        <f>SUM(AB6:AB105)</f>
        <v>85</v>
      </c>
      <c r="AF108" s="92">
        <f>COUNT(AF6:AF105)</f>
        <v>18</v>
      </c>
      <c r="AG108" s="92">
        <f>SUM(AG6:AG105)</f>
        <v>0</v>
      </c>
      <c r="AH108" s="92">
        <f>SUM(AH6:AH105)</f>
        <v>29</v>
      </c>
      <c r="AI108" s="92">
        <f>SUM(AI6:AI105)</f>
        <v>111</v>
      </c>
      <c r="AJ108" s="92">
        <f>SUM(AJ6:AJ105)</f>
        <v>33</v>
      </c>
      <c r="AK108" s="93">
        <f>SUM(AK6:AK105)</f>
        <v>90</v>
      </c>
      <c r="AO108" s="92">
        <f>COUNT(AO6:AO105)</f>
        <v>21</v>
      </c>
      <c r="AP108" s="92">
        <f>SUM(AP6:AP105)</f>
        <v>0</v>
      </c>
      <c r="AQ108" s="92">
        <f>SUM(AQ6:AQ105)</f>
        <v>24</v>
      </c>
      <c r="AR108" s="92">
        <f>SUM(AR6:AR105)</f>
        <v>130</v>
      </c>
      <c r="AS108" s="92">
        <f>SUM(AS6:AS105)</f>
        <v>43</v>
      </c>
      <c r="AT108" s="93">
        <f>SUM(AT6:AT105)</f>
        <v>105</v>
      </c>
      <c r="AX108" s="92">
        <f>COUNT(AX6:AX105)</f>
        <v>12</v>
      </c>
      <c r="AY108" s="92">
        <f>SUM(AY6:AY105)</f>
        <v>0</v>
      </c>
      <c r="AZ108" s="92">
        <f>SUM(AZ6:AZ105)</f>
        <v>26</v>
      </c>
      <c r="BA108" s="92">
        <f>SUM(BA6:BA105)</f>
        <v>107</v>
      </c>
      <c r="BB108" s="92">
        <f>SUM(BB6:BB105)</f>
        <v>15</v>
      </c>
      <c r="BC108" s="93">
        <f>SUM(BC6:BC105)</f>
        <v>60</v>
      </c>
      <c r="BG108" s="92">
        <f>COUNT(BG6:BG105)</f>
        <v>16</v>
      </c>
      <c r="BH108" s="92">
        <f>SUM(BH6:BH105)</f>
        <v>0</v>
      </c>
      <c r="BI108" s="92">
        <f>SUM(BI6:BI105)</f>
        <v>10</v>
      </c>
      <c r="BJ108" s="92">
        <f>SUM(BJ6:BJ105)</f>
        <v>123</v>
      </c>
      <c r="BK108" s="92">
        <f>SUM(BK6:BK105)</f>
        <v>23</v>
      </c>
      <c r="BL108" s="93">
        <f>SUM(BL6:BL105)</f>
        <v>80</v>
      </c>
      <c r="BP108" s="92">
        <f>COUNT(BP6:BP105)</f>
        <v>0</v>
      </c>
      <c r="BQ108" s="92">
        <f>SUM(BQ6:BQ105)</f>
        <v>0</v>
      </c>
      <c r="BR108" s="92">
        <f>SUM(BR6:BR105)</f>
        <v>0</v>
      </c>
      <c r="BS108" s="92">
        <f>SUM(BS6:BS105)</f>
        <v>0</v>
      </c>
      <c r="BT108" s="92">
        <f>SUM(BT6:BT105)</f>
        <v>0</v>
      </c>
      <c r="BU108" s="93">
        <f>SUM(BU6:BU105)</f>
        <v>0</v>
      </c>
      <c r="BY108" s="92">
        <f>COUNT(BY6:BY105)</f>
        <v>12</v>
      </c>
      <c r="BZ108" s="92">
        <f>SUM(BZ6:BZ105)</f>
        <v>0</v>
      </c>
      <c r="CA108" s="92">
        <f>SUM(CA6:CA105)</f>
        <v>17</v>
      </c>
      <c r="CB108" s="92">
        <f>SUM(CB6:CB105)</f>
        <v>87</v>
      </c>
      <c r="CC108" s="92">
        <f>SUM(CC6:CC105)</f>
        <v>20</v>
      </c>
      <c r="CD108" s="93">
        <f>SUM(CD6:CD105)</f>
        <v>60</v>
      </c>
      <c r="CH108" s="92">
        <f>COUNT(CH6:CH105)</f>
        <v>17</v>
      </c>
      <c r="CI108" s="92">
        <f>SUM(CI6:CI105)</f>
        <v>2</v>
      </c>
      <c r="CJ108" s="92">
        <f>SUM(CJ6:CJ105)</f>
        <v>20</v>
      </c>
      <c r="CK108" s="92">
        <f>SUM(CK6:CK105)</f>
        <v>138</v>
      </c>
      <c r="CL108" s="92">
        <f>SUM(CL6:CL105)</f>
        <v>38</v>
      </c>
      <c r="CM108" s="93">
        <f>SUM(CM6:CM105)</f>
        <v>85</v>
      </c>
      <c r="CQ108" s="92">
        <f>COUNT(CQ6:CQ105)</f>
        <v>19</v>
      </c>
      <c r="CR108" s="92">
        <f>SUM(CR6:CR105)</f>
        <v>1</v>
      </c>
      <c r="CS108" s="92">
        <f>SUM(CS6:CS105)</f>
        <v>25</v>
      </c>
      <c r="CT108" s="92">
        <f>SUM(CT6:CT105)</f>
        <v>134</v>
      </c>
      <c r="CU108" s="92">
        <f>SUM(CU6:CU105)</f>
        <v>31</v>
      </c>
      <c r="CV108" s="93">
        <f>SUM(CV6:CV105)</f>
        <v>95</v>
      </c>
      <c r="CZ108" s="92">
        <f>COUNT(CZ6:CZ105)</f>
        <v>14</v>
      </c>
      <c r="DA108" s="92">
        <f>SUM(DA6:DA105)</f>
        <v>0</v>
      </c>
      <c r="DB108" s="92">
        <f>SUM(DB6:DB105)</f>
        <v>6</v>
      </c>
      <c r="DC108" s="92">
        <f>SUM(DC6:DC105)</f>
        <v>105</v>
      </c>
      <c r="DD108" s="92">
        <f>SUM(DD6:DD105)</f>
        <v>34</v>
      </c>
      <c r="DE108" s="93">
        <f>SUM(DE6:DE105)</f>
        <v>70</v>
      </c>
      <c r="DI108" s="92">
        <f>COUNT(DI6:DI105)</f>
        <v>16</v>
      </c>
      <c r="DJ108" s="92">
        <f>SUM(DJ6:DJ105)</f>
        <v>0</v>
      </c>
      <c r="DK108" s="92">
        <f>SUM(DK6:DK105)</f>
        <v>21</v>
      </c>
      <c r="DL108" s="92">
        <f>SUM(DL6:DL105)</f>
        <v>89</v>
      </c>
      <c r="DM108" s="92">
        <f>SUM(DM6:DM105)</f>
        <v>37</v>
      </c>
      <c r="DN108" s="93">
        <f>SUM(DN6:DN105)</f>
        <v>80</v>
      </c>
      <c r="DR108" s="92">
        <f>COUNT(DR6:DR105)</f>
        <v>18</v>
      </c>
      <c r="DS108" s="92">
        <f>SUM(DS6:DS105)</f>
        <v>1</v>
      </c>
      <c r="DT108" s="92">
        <f>SUM(DT6:DT105)</f>
        <v>22</v>
      </c>
      <c r="DU108" s="92">
        <f>SUM(DU6:DU105)</f>
        <v>121</v>
      </c>
      <c r="DV108" s="92">
        <f>SUM(DV6:DV105)</f>
        <v>35</v>
      </c>
      <c r="DW108" s="93">
        <f>SUM(DW6:DW105)</f>
        <v>90</v>
      </c>
      <c r="EA108" s="92">
        <f>COUNT(EA6:EA105)</f>
        <v>12</v>
      </c>
      <c r="EB108" s="92">
        <f>SUM(EB6:EB105)</f>
        <v>0</v>
      </c>
      <c r="EC108" s="92">
        <f>SUM(EC6:EC105)</f>
        <v>12</v>
      </c>
      <c r="ED108" s="92">
        <f>SUM(ED6:ED105)</f>
        <v>80</v>
      </c>
      <c r="EE108" s="92">
        <f>SUM(EE6:EE105)</f>
        <v>27</v>
      </c>
      <c r="EF108" s="93">
        <f>SUM(EF6:EF105)</f>
        <v>60</v>
      </c>
      <c r="EJ108" s="92">
        <f>COUNT(EJ6:EJ105)</f>
        <v>12</v>
      </c>
      <c r="EK108" s="92">
        <f>SUM(EK6:EK105)</f>
        <v>0</v>
      </c>
      <c r="EL108" s="92">
        <f>SUM(EL6:EL105)</f>
        <v>11</v>
      </c>
      <c r="EM108" s="92">
        <f>SUM(EM6:EM105)</f>
        <v>67</v>
      </c>
      <c r="EN108" s="92">
        <f>SUM(EN6:EN105)</f>
        <v>31</v>
      </c>
      <c r="EO108" s="93">
        <f>SUM(EO6:EO105)</f>
        <v>60</v>
      </c>
      <c r="ES108" s="92">
        <f>COUNT(ES6:ES105)</f>
        <v>14</v>
      </c>
      <c r="ET108" s="92">
        <f>SUM(ET6:ET105)</f>
        <v>0</v>
      </c>
      <c r="EU108" s="92">
        <f>SUM(EU6:EU105)</f>
        <v>12</v>
      </c>
      <c r="EV108" s="92">
        <f>SUM(EV6:EV105)</f>
        <v>97</v>
      </c>
      <c r="EW108" s="92">
        <f>SUM(EW6:EW105)</f>
        <v>0</v>
      </c>
      <c r="EX108" s="93">
        <f>SUM(EX6:EX105)</f>
        <v>70</v>
      </c>
      <c r="FB108" s="92">
        <f>COUNT(FB6:FB105)</f>
        <v>0</v>
      </c>
      <c r="FC108" s="92">
        <f>SUM(FC6:FC105)</f>
        <v>0</v>
      </c>
      <c r="FD108" s="92">
        <f>SUM(FD6:FD105)</f>
        <v>0</v>
      </c>
      <c r="FE108" s="92">
        <f>SUM(FE6:FE105)</f>
        <v>0</v>
      </c>
      <c r="FF108" s="92">
        <f>SUM(FF6:FF105)</f>
        <v>0</v>
      </c>
      <c r="FG108" s="93">
        <f>SUM(FG6:FG105)</f>
        <v>0</v>
      </c>
      <c r="FK108" s="92">
        <f>COUNT(FK6:FK105)</f>
        <v>10</v>
      </c>
      <c r="FL108" s="92">
        <f>SUM(FL6:FL105)</f>
        <v>0</v>
      </c>
      <c r="FM108" s="92">
        <f>SUM(FM6:FM105)</f>
        <v>14</v>
      </c>
      <c r="FN108" s="92">
        <f>SUM(FN6:FN105)</f>
        <v>60</v>
      </c>
      <c r="FO108" s="92">
        <f>SUM(FO6:FO105)</f>
        <v>13</v>
      </c>
      <c r="FP108" s="93">
        <f>SUM(FP6:FP105)</f>
        <v>50</v>
      </c>
      <c r="FT108" s="92">
        <f>COUNT(FT6:FT105)</f>
        <v>7</v>
      </c>
      <c r="FU108" s="92">
        <f>SUM(FU6:FU105)</f>
        <v>0</v>
      </c>
      <c r="FV108" s="92">
        <f>SUM(FV6:FV105)</f>
        <v>9</v>
      </c>
      <c r="FW108" s="92">
        <f>SUM(FW6:FW105)</f>
        <v>41</v>
      </c>
      <c r="FX108" s="92">
        <f>SUM(FX6:FX105)</f>
        <v>15</v>
      </c>
      <c r="FY108" s="93">
        <f>SUM(FY6:FY105)</f>
        <v>35</v>
      </c>
      <c r="GC108" s="92">
        <f>COUNT(GC6:GC105)</f>
        <v>7</v>
      </c>
      <c r="GD108" s="92">
        <f>SUM(GD6:GD105)</f>
        <v>0</v>
      </c>
      <c r="GE108" s="92">
        <f>SUM(GE6:GE105)</f>
        <v>6</v>
      </c>
      <c r="GF108" s="92">
        <f>SUM(GF6:GF105)</f>
        <v>48</v>
      </c>
      <c r="GG108" s="92">
        <f>SUM(GG6:GG105)</f>
        <v>14</v>
      </c>
      <c r="GH108" s="93">
        <f>SUM(GH6:GH105)</f>
        <v>35</v>
      </c>
      <c r="GL108" s="92">
        <f>COUNT(GL6:GL105)</f>
        <v>21</v>
      </c>
      <c r="GM108" s="92">
        <f>SUM(GM6:GM105)</f>
        <v>1</v>
      </c>
      <c r="GN108" s="92">
        <f>SUM(GN6:GN105)</f>
        <v>29</v>
      </c>
      <c r="GO108" s="92">
        <f>SUM(GO6:GO105)</f>
        <v>165</v>
      </c>
      <c r="GP108" s="92">
        <f>SUM(GP6:GP105)</f>
        <v>35</v>
      </c>
      <c r="GQ108" s="93">
        <f>SUM(GQ6:GQ105)</f>
        <v>105</v>
      </c>
      <c r="GU108" s="92">
        <f>COUNT(GU6:GU105)</f>
        <v>0</v>
      </c>
      <c r="GV108" s="92">
        <f>SUM(GV6:GV105)</f>
        <v>0</v>
      </c>
      <c r="GW108" s="92">
        <f>SUM(GW6:GW105)</f>
        <v>0</v>
      </c>
      <c r="GX108" s="92">
        <f>SUM(GX6:GX105)</f>
        <v>0</v>
      </c>
      <c r="GY108" s="92">
        <f>SUM(GY6:GY105)</f>
        <v>0</v>
      </c>
      <c r="GZ108" s="93">
        <f>SUM(GZ6:GZ105)</f>
        <v>0</v>
      </c>
      <c r="HD108" s="92">
        <f>COUNT(HD6:HD105)</f>
        <v>17</v>
      </c>
      <c r="HE108" s="92">
        <f>SUM(HE6:HE105)</f>
        <v>0</v>
      </c>
      <c r="HF108" s="92">
        <f>SUM(HF6:HF105)</f>
        <v>28</v>
      </c>
      <c r="HG108" s="92">
        <f>SUM(HG6:HG105)</f>
        <v>129</v>
      </c>
      <c r="HH108" s="92">
        <f>SUM(HH6:HH105)</f>
        <v>30</v>
      </c>
      <c r="HI108" s="93">
        <f>SUM(HI6:HI105)</f>
        <v>85</v>
      </c>
      <c r="HM108" s="92">
        <f>COUNT(HM6:HM105)</f>
        <v>9</v>
      </c>
      <c r="HN108" s="92">
        <f>SUM(HN6:HN105)</f>
        <v>0</v>
      </c>
      <c r="HO108" s="92">
        <f>SUM(HO6:HO105)</f>
        <v>6</v>
      </c>
      <c r="HP108" s="92">
        <f>SUM(HP6:HP105)</f>
        <v>63</v>
      </c>
      <c r="HQ108" s="92">
        <f>SUM(HQ6:HQ105)</f>
        <v>14</v>
      </c>
      <c r="HR108" s="93">
        <f>SUM(HR6:HR105)</f>
        <v>45</v>
      </c>
      <c r="HV108" s="92">
        <f>COUNT(HV6:HV105)</f>
        <v>0</v>
      </c>
      <c r="HW108" s="92">
        <f>SUM(HW6:HW105)</f>
        <v>0</v>
      </c>
      <c r="HX108" s="92">
        <f>SUM(HX6:HX105)</f>
        <v>0</v>
      </c>
      <c r="HY108" s="92">
        <f>SUM(HY6:HY105)</f>
        <v>0</v>
      </c>
      <c r="HZ108" s="92">
        <f>SUM(HZ6:HZ105)</f>
        <v>0</v>
      </c>
      <c r="IA108" s="93">
        <f>SUM(IA6:IA105)</f>
        <v>0</v>
      </c>
      <c r="IE108" s="92">
        <f>COUNT(IE6:IE105)</f>
        <v>0</v>
      </c>
      <c r="IF108" s="92">
        <f>SUM(IF6:IF105)</f>
        <v>0</v>
      </c>
      <c r="IG108" s="92">
        <f>SUM(IG6:IG105)</f>
        <v>0</v>
      </c>
      <c r="IH108" s="92">
        <f>SUM(IH6:IH105)</f>
        <v>0</v>
      </c>
      <c r="II108" s="92">
        <f>SUM(II6:II105)</f>
        <v>0</v>
      </c>
      <c r="IJ108" s="93">
        <f>SUM(IJ6:IJ105)</f>
        <v>0</v>
      </c>
      <c r="IN108" s="92">
        <f>COUNT(IN6:IN105)</f>
        <v>0</v>
      </c>
      <c r="IO108" s="92">
        <f>SUM(IO6:IO105)</f>
        <v>0</v>
      </c>
      <c r="IP108" s="92">
        <f>SUM(IP6:IP105)</f>
        <v>0</v>
      </c>
      <c r="IQ108" s="92">
        <f>SUM(IQ6:IQ105)</f>
        <v>0</v>
      </c>
      <c r="IR108" s="92">
        <f>SUM(IR6:IR105)</f>
        <v>0</v>
      </c>
      <c r="IS108" s="93">
        <f>SUM(IS6:IS105)</f>
        <v>0</v>
      </c>
      <c r="IW108" s="92">
        <f>COUNT(IW6:IW105)</f>
        <v>0</v>
      </c>
      <c r="IX108" s="92">
        <f>SUM(IX6:IX105)</f>
        <v>0</v>
      </c>
      <c r="IY108" s="92">
        <f>SUM(IY6:IY105)</f>
        <v>0</v>
      </c>
      <c r="IZ108" s="92">
        <f>SUM(IZ6:IZ105)</f>
        <v>0</v>
      </c>
      <c r="JA108" s="92">
        <f>SUM(JA6:JA105)</f>
        <v>0</v>
      </c>
      <c r="JB108" s="93">
        <f>SUM(JB6:JB105)</f>
        <v>0</v>
      </c>
      <c r="JF108" s="92">
        <f>COUNT(JF6:JF105)</f>
        <v>0</v>
      </c>
      <c r="JG108" s="92">
        <f>SUM(JG6:JG105)</f>
        <v>0</v>
      </c>
      <c r="JH108" s="92">
        <f>SUM(JH6:JH105)</f>
        <v>0</v>
      </c>
      <c r="JI108" s="92">
        <f>SUM(JI6:JI105)</f>
        <v>0</v>
      </c>
      <c r="JJ108" s="92">
        <f>SUM(JJ6:JJ105)</f>
        <v>0</v>
      </c>
      <c r="JK108" s="93">
        <f>SUM(JK6:JK105)</f>
        <v>0</v>
      </c>
      <c r="JO108" s="92">
        <f>COUNT(JO6:JO105)</f>
        <v>0</v>
      </c>
      <c r="JP108" s="92">
        <f>SUM(JP6:JP105)</f>
        <v>0</v>
      </c>
      <c r="JQ108" s="92">
        <f>SUM(JQ6:JQ105)</f>
        <v>0</v>
      </c>
      <c r="JR108" s="92">
        <f>SUM(JR6:JR105)</f>
        <v>0</v>
      </c>
      <c r="JS108" s="92">
        <f>SUM(JS6:JS105)</f>
        <v>0</v>
      </c>
      <c r="JT108" s="93">
        <f>SUM(JT6:JT105)</f>
        <v>0</v>
      </c>
      <c r="JX108" s="92">
        <f>COUNT(JX6:JX105)</f>
        <v>0</v>
      </c>
      <c r="JY108" s="92">
        <f>SUM(JY6:JY105)</f>
        <v>0</v>
      </c>
      <c r="JZ108" s="92">
        <f>SUM(JZ6:JZ105)</f>
        <v>0</v>
      </c>
      <c r="KA108" s="92">
        <f>SUM(KA6:KA105)</f>
        <v>0</v>
      </c>
      <c r="KB108" s="92">
        <f>SUM(KB6:KB105)</f>
        <v>0</v>
      </c>
      <c r="KC108" s="93">
        <f>SUM(KC6:KC105)</f>
        <v>0</v>
      </c>
      <c r="KG108" s="92">
        <f>COUNT(KG6:KG105)</f>
        <v>0</v>
      </c>
      <c r="KH108" s="92">
        <f>SUM(KH6:KH105)</f>
        <v>0</v>
      </c>
      <c r="KI108" s="92">
        <f>SUM(KI6:KI105)</f>
        <v>0</v>
      </c>
      <c r="KJ108" s="92">
        <f>SUM(KJ6:KJ105)</f>
        <v>0</v>
      </c>
      <c r="KK108" s="92">
        <f>SUM(KK6:KK105)</f>
        <v>0</v>
      </c>
      <c r="KL108" s="93">
        <f>SUM(KL6:KL105)</f>
        <v>0</v>
      </c>
      <c r="KP108" s="92">
        <f>COUNT(KP6:KP105)</f>
        <v>0</v>
      </c>
      <c r="KQ108" s="92">
        <f>SUM(KQ6:KQ105)</f>
        <v>0</v>
      </c>
      <c r="KR108" s="92">
        <f>SUM(KR6:KR105)</f>
        <v>0</v>
      </c>
      <c r="KS108" s="92">
        <f>SUM(KS6:KS105)</f>
        <v>0</v>
      </c>
      <c r="KT108" s="92">
        <f>SUM(KT6:KT105)</f>
        <v>0</v>
      </c>
      <c r="KU108" s="93">
        <f>SUM(KU6:KU105)</f>
        <v>0</v>
      </c>
      <c r="KY108" s="92">
        <f>COUNT(KY6:KY105)</f>
        <v>0</v>
      </c>
      <c r="KZ108" s="92">
        <f>SUM(KZ6:KZ105)</f>
        <v>0</v>
      </c>
      <c r="LA108" s="92">
        <f>SUM(LA6:LA105)</f>
        <v>0</v>
      </c>
      <c r="LB108" s="92">
        <f>SUM(LB6:LB105)</f>
        <v>0</v>
      </c>
      <c r="LC108" s="92">
        <f>SUM(LC6:LC105)</f>
        <v>0</v>
      </c>
      <c r="LD108" s="93">
        <f>SUM(LD6:LD105)</f>
        <v>0</v>
      </c>
      <c r="LH108" s="92">
        <f>COUNT(LH6:LH105)</f>
        <v>0</v>
      </c>
      <c r="LI108" s="92">
        <f>SUM(LI6:LI105)</f>
        <v>0</v>
      </c>
      <c r="LJ108" s="92">
        <f>SUM(LJ6:LJ105)</f>
        <v>0</v>
      </c>
      <c r="LK108" s="92">
        <f>SUM(LK6:LK105)</f>
        <v>0</v>
      </c>
      <c r="LL108" s="92">
        <f>SUM(LL6:LL105)</f>
        <v>0</v>
      </c>
      <c r="LM108" s="93">
        <f>SUM(LM6:LM105)</f>
        <v>0</v>
      </c>
      <c r="LQ108" s="92">
        <f>COUNT(LQ6:LQ105)</f>
        <v>0</v>
      </c>
      <c r="LR108" s="92">
        <f>SUM(LR6:LR105)</f>
        <v>0</v>
      </c>
      <c r="LS108" s="92">
        <f>SUM(LS6:LS105)</f>
        <v>0</v>
      </c>
      <c r="LT108" s="92">
        <f>SUM(LT6:LT105)</f>
        <v>0</v>
      </c>
      <c r="LU108" s="92">
        <f>SUM(LU6:LU105)</f>
        <v>0</v>
      </c>
      <c r="LV108" s="93">
        <f>SUM(LV6:LV105)</f>
        <v>0</v>
      </c>
      <c r="LZ108" s="92">
        <f>COUNT(LZ6:LZ105)</f>
        <v>0</v>
      </c>
      <c r="MA108" s="92">
        <f>SUM(MA6:MA105)</f>
        <v>0</v>
      </c>
      <c r="MB108" s="92">
        <f>SUM(MB6:MB105)</f>
        <v>0</v>
      </c>
      <c r="MC108" s="92">
        <f>SUM(MC6:MC105)</f>
        <v>0</v>
      </c>
      <c r="MD108" s="92">
        <f>SUM(MD6:MD105)</f>
        <v>0</v>
      </c>
      <c r="ME108" s="93">
        <f>SUM(ME6:ME105)</f>
        <v>0</v>
      </c>
      <c r="MI108" s="92">
        <f>COUNT(MI6:MI105)</f>
        <v>0</v>
      </c>
      <c r="MJ108" s="92">
        <f>SUM(MJ6:MJ105)</f>
        <v>0</v>
      </c>
      <c r="MK108" s="92">
        <f>SUM(MK6:MK105)</f>
        <v>0</v>
      </c>
      <c r="ML108" s="92">
        <f>SUM(ML6:ML105)</f>
        <v>0</v>
      </c>
      <c r="MM108" s="92">
        <f>SUM(MM6:MM105)</f>
        <v>0</v>
      </c>
      <c r="MN108" s="93">
        <f>SUM(MN6:MN105)</f>
        <v>0</v>
      </c>
      <c r="MR108" s="92">
        <f>COUNT(MR6:MR105)</f>
        <v>0</v>
      </c>
      <c r="MS108" s="92">
        <f>SUM(MS6:MS105)</f>
        <v>0</v>
      </c>
      <c r="MT108" s="92">
        <f>SUM(MT6:MT105)</f>
        <v>0</v>
      </c>
      <c r="MU108" s="92">
        <f>SUM(MU6:MU105)</f>
        <v>0</v>
      </c>
      <c r="MV108" s="92">
        <f>SUM(MV6:MV105)</f>
        <v>0</v>
      </c>
      <c r="MW108" s="93">
        <f>SUM(MW6:MW105)</f>
        <v>0</v>
      </c>
      <c r="NA108" s="92">
        <f>COUNT(NA6:NA105)</f>
        <v>0</v>
      </c>
      <c r="NB108" s="92">
        <f>SUM(NB6:NB105)</f>
        <v>0</v>
      </c>
      <c r="NC108" s="92">
        <f>SUM(NC6:NC105)</f>
        <v>0</v>
      </c>
      <c r="ND108" s="92">
        <f>SUM(ND6:ND105)</f>
        <v>0</v>
      </c>
      <c r="NE108" s="92">
        <f>SUM(NE6:NE105)</f>
        <v>0</v>
      </c>
      <c r="NF108" s="93">
        <f>SUM(NF6:NF105)</f>
        <v>0</v>
      </c>
      <c r="NJ108" s="92">
        <f>COUNT(NJ6:NJ105)</f>
        <v>0</v>
      </c>
      <c r="NK108" s="92">
        <f>SUM(NK6:NK105)</f>
        <v>0</v>
      </c>
      <c r="NL108" s="92">
        <f>SUM(NL6:NL105)</f>
        <v>0</v>
      </c>
      <c r="NM108" s="92">
        <f>SUM(NM6:NM105)</f>
        <v>0</v>
      </c>
      <c r="NN108" s="92">
        <f>SUM(NN6:NN105)</f>
        <v>0</v>
      </c>
      <c r="NO108" s="93">
        <f>SUM(NO6:NO105)</f>
        <v>0</v>
      </c>
      <c r="NS108" s="92">
        <f>COUNT(NS6:NS105)</f>
        <v>0</v>
      </c>
      <c r="NT108" s="92">
        <f>SUM(NT6:NT105)</f>
        <v>0</v>
      </c>
      <c r="NU108" s="92">
        <f>SUM(NU6:NU105)</f>
        <v>0</v>
      </c>
      <c r="NV108" s="92">
        <f>SUM(NV6:NV105)</f>
        <v>0</v>
      </c>
      <c r="NW108" s="92">
        <f>SUM(NW6:NW105)</f>
        <v>0</v>
      </c>
      <c r="NX108" s="93">
        <f>SUM(NX6:NX105)</f>
        <v>0</v>
      </c>
      <c r="OB108" s="92">
        <f>COUNT(OB6:OB105)</f>
        <v>0</v>
      </c>
      <c r="OC108" s="92">
        <f>SUM(OC6:OC105)</f>
        <v>0</v>
      </c>
      <c r="OD108" s="92">
        <f>SUM(OD6:OD105)</f>
        <v>0</v>
      </c>
      <c r="OE108" s="92">
        <f>SUM(OE6:OE105)</f>
        <v>0</v>
      </c>
      <c r="OF108" s="92">
        <f>SUM(OF6:OF105)</f>
        <v>0</v>
      </c>
      <c r="OG108" s="93">
        <f>SUM(OG6:OG105)</f>
        <v>0</v>
      </c>
      <c r="OK108" s="92">
        <f>COUNT(OK6:OK105)</f>
        <v>0</v>
      </c>
      <c r="OL108" s="92">
        <f>SUM(OL6:OL105)</f>
        <v>0</v>
      </c>
      <c r="OM108" s="92">
        <f>SUM(OM6:OM105)</f>
        <v>0</v>
      </c>
      <c r="ON108" s="92">
        <f>SUM(ON6:ON105)</f>
        <v>0</v>
      </c>
      <c r="OO108" s="92">
        <f>SUM(OO6:OO105)</f>
        <v>0</v>
      </c>
      <c r="OP108" s="93">
        <f>SUM(OP6:OP105)</f>
        <v>0</v>
      </c>
      <c r="OT108" s="92">
        <f>COUNT(OT6:OT105)</f>
        <v>0</v>
      </c>
      <c r="OU108" s="92">
        <f>SUM(OU6:OU105)</f>
        <v>0</v>
      </c>
      <c r="OV108" s="92">
        <f>SUM(OV6:OV105)</f>
        <v>0</v>
      </c>
      <c r="OW108" s="92">
        <f>SUM(OW6:OW105)</f>
        <v>0</v>
      </c>
      <c r="OX108" s="92">
        <f>SUM(OX6:OX105)</f>
        <v>0</v>
      </c>
      <c r="OY108" s="93">
        <f>SUM(OY6:OY105)</f>
        <v>0</v>
      </c>
      <c r="PC108" s="92">
        <f>COUNT(PC6:PC105)</f>
        <v>0</v>
      </c>
      <c r="PD108" s="92">
        <f>SUM(PD6:PD105)</f>
        <v>0</v>
      </c>
      <c r="PE108" s="92">
        <f>SUM(PE6:PE105)</f>
        <v>0</v>
      </c>
      <c r="PF108" s="92">
        <f>SUM(PF6:PF105)</f>
        <v>0</v>
      </c>
      <c r="PG108" s="92">
        <f>SUM(PG6:PG105)</f>
        <v>0</v>
      </c>
      <c r="PH108" s="93">
        <f>SUM(PH6:PH105)</f>
        <v>0</v>
      </c>
      <c r="PJ108" s="132"/>
      <c r="PK108" s="132"/>
      <c r="PL108" s="135">
        <f>COUNT(PL6:PL105)</f>
        <v>0</v>
      </c>
      <c r="PM108" s="135">
        <f>SUM(PM6:PM105)</f>
        <v>0</v>
      </c>
      <c r="PN108" s="135">
        <f>SUM(PN6:PN105)</f>
        <v>0</v>
      </c>
      <c r="PO108" s="135">
        <f>SUM(PO6:PO105)</f>
        <v>0</v>
      </c>
      <c r="PP108" s="135">
        <f>SUM(PP6:PP105)</f>
        <v>0</v>
      </c>
      <c r="PQ108" s="289">
        <f>SUM(PQ6:PQ105)</f>
        <v>0</v>
      </c>
      <c r="PR108" s="132"/>
      <c r="PS108" s="132"/>
      <c r="PT108" s="132"/>
      <c r="PU108" s="135">
        <f>COUNT(PU6:PU105)</f>
        <v>0</v>
      </c>
      <c r="PV108" s="135">
        <f>SUM(PV6:PV105)</f>
        <v>0</v>
      </c>
      <c r="PW108" s="135">
        <f>SUM(PW6:PW105)</f>
        <v>0</v>
      </c>
      <c r="PX108" s="135">
        <f>SUM(PX6:PX105)</f>
        <v>0</v>
      </c>
      <c r="PY108" s="135">
        <f>SUM(PY6:PY105)</f>
        <v>0</v>
      </c>
      <c r="PZ108" s="289">
        <f>SUM(PZ6:PZ105)</f>
        <v>0</v>
      </c>
      <c r="QA108" s="132"/>
      <c r="QB108" s="132"/>
      <c r="QC108" s="132"/>
      <c r="QD108" s="135">
        <f>COUNT(QD6:QD105)</f>
        <v>0</v>
      </c>
      <c r="QE108" s="135">
        <f>SUM(QE6:QE105)</f>
        <v>0</v>
      </c>
      <c r="QF108" s="135">
        <f>SUM(QF6:QF105)</f>
        <v>0</v>
      </c>
      <c r="QG108" s="135">
        <f>SUM(QG6:QG105)</f>
        <v>0</v>
      </c>
      <c r="QH108" s="135">
        <f>SUM(QH6:QH105)</f>
        <v>0</v>
      </c>
      <c r="QI108" s="289">
        <f>SUM(QI6:QI105)</f>
        <v>0</v>
      </c>
      <c r="QJ108" s="132"/>
      <c r="QK108" s="132"/>
      <c r="QL108" s="132"/>
      <c r="QM108" s="135">
        <f>COUNT(QM6:QM105)</f>
        <v>0</v>
      </c>
      <c r="QN108" s="135">
        <f>SUM(QN6:QN105)</f>
        <v>0</v>
      </c>
      <c r="QO108" s="135">
        <f>SUM(QO6:QO105)</f>
        <v>0</v>
      </c>
      <c r="QP108" s="135">
        <f>SUM(QP6:QP105)</f>
        <v>0</v>
      </c>
      <c r="QQ108" s="135">
        <f>SUM(QQ6:QQ105)</f>
        <v>0</v>
      </c>
      <c r="QR108" s="289">
        <f>SUM(QR6:QR105)</f>
        <v>0</v>
      </c>
      <c r="QS108" s="93"/>
      <c r="QT108" s="106">
        <f>SUM(QT6:QT105)</f>
        <v>5</v>
      </c>
      <c r="QU108" s="106">
        <f>SUM(QU6:QU105)</f>
        <v>339</v>
      </c>
      <c r="QV108" s="106">
        <f>SUM(QV6:QV105)</f>
        <v>1994</v>
      </c>
      <c r="QW108" s="106">
        <f>SUM(QW6:QW105)</f>
        <v>519</v>
      </c>
      <c r="QY108" s="311">
        <f>SUM(QY6:QY105)</f>
        <v>275</v>
      </c>
      <c r="QZ108" s="311"/>
      <c r="RA108" s="311"/>
      <c r="RB108" s="311"/>
      <c r="RC108" s="311"/>
      <c r="RD108" s="311"/>
      <c r="RE108" s="311"/>
      <c r="RF108" s="311"/>
      <c r="RG108" s="311"/>
      <c r="RH108" s="311"/>
      <c r="RI108" s="311"/>
      <c r="RJ108" s="311"/>
      <c r="RK108" s="311"/>
      <c r="RL108" s="311"/>
      <c r="RM108" s="311"/>
      <c r="RN108" s="311"/>
      <c r="RO108" s="311"/>
      <c r="RP108" s="311">
        <f t="shared" ref="RP108" si="104">SUM(RP6:RP105)</f>
        <v>14</v>
      </c>
    </row>
    <row r="109" spans="1:484" x14ac:dyDescent="0.2">
      <c r="QT109" s="309"/>
      <c r="QU109" s="309"/>
      <c r="QV109" s="309"/>
      <c r="QW109" s="309"/>
    </row>
    <row r="110" spans="1:484" x14ac:dyDescent="0.2">
      <c r="QT110" s="309"/>
      <c r="QU110" s="309"/>
      <c r="QV110" s="309"/>
      <c r="QW110" s="309"/>
    </row>
    <row r="111" spans="1:484" x14ac:dyDescent="0.2">
      <c r="QT111" s="309"/>
      <c r="QU111" s="309"/>
      <c r="QV111" s="309"/>
      <c r="QW111" s="309"/>
    </row>
    <row r="112" spans="1:484" x14ac:dyDescent="0.2">
      <c r="IO112" s="56">
        <v>28</v>
      </c>
      <c r="QT112" s="309"/>
      <c r="QU112" s="309"/>
      <c r="QV112" s="309"/>
      <c r="QW112" s="309"/>
      <c r="RA112" s="106"/>
      <c r="RB112" s="106"/>
    </row>
    <row r="113" spans="149:470" x14ac:dyDescent="0.2">
      <c r="IO113" s="56">
        <v>72</v>
      </c>
      <c r="QT113" s="309"/>
      <c r="QU113" s="309"/>
      <c r="QV113" s="309"/>
      <c r="QW113" s="309"/>
      <c r="RA113" s="106"/>
      <c r="RB113" s="106"/>
    </row>
    <row r="114" spans="149:470" x14ac:dyDescent="0.2">
      <c r="QT114" s="309"/>
      <c r="QU114" s="309"/>
      <c r="QV114" s="309"/>
      <c r="QW114" s="309"/>
      <c r="RA114" s="106"/>
      <c r="RB114" s="106"/>
    </row>
    <row r="115" spans="149:470" x14ac:dyDescent="0.2">
      <c r="QT115" s="309"/>
      <c r="QU115" s="309"/>
      <c r="QV115" s="309"/>
      <c r="QW115" s="309"/>
      <c r="RA115" s="106"/>
      <c r="RB115" s="106"/>
    </row>
    <row r="116" spans="149:470" x14ac:dyDescent="0.2">
      <c r="ES116" s="394"/>
      <c r="QT116" s="309"/>
      <c r="QU116" s="309"/>
      <c r="QV116" s="309"/>
      <c r="QW116" s="309"/>
      <c r="RA116" s="106"/>
      <c r="RB116" s="106"/>
    </row>
  </sheetData>
  <mergeCells count="477">
    <mergeCell ref="QT1:QW1"/>
    <mergeCell ref="RI2:RI5"/>
    <mergeCell ref="QB2:QD2"/>
    <mergeCell ref="QE2:QE5"/>
    <mergeCell ref="QF2:QF5"/>
    <mergeCell ref="QG2:QG5"/>
    <mergeCell ref="QH2:QH5"/>
    <mergeCell ref="QI2:QI5"/>
    <mergeCell ref="QB3:QD3"/>
    <mergeCell ref="QB4:QD4"/>
    <mergeCell ref="QW2:QW5"/>
    <mergeCell ref="QY2:QY5"/>
    <mergeCell ref="RA2:RA5"/>
    <mergeCell ref="RB2:RB5"/>
    <mergeCell ref="RC2:RC5"/>
    <mergeCell ref="RD2:RD5"/>
    <mergeCell ref="RE2:RE5"/>
    <mergeCell ref="RF2:RF5"/>
    <mergeCell ref="RH2:RH5"/>
    <mergeCell ref="PY2:PY5"/>
    <mergeCell ref="PZ2:PZ5"/>
    <mergeCell ref="PS3:PU3"/>
    <mergeCell ref="PS4:PU4"/>
    <mergeCell ref="QN1:QR1"/>
    <mergeCell ref="QK2:QM2"/>
    <mergeCell ref="QN2:QN5"/>
    <mergeCell ref="QO2:QO5"/>
    <mergeCell ref="QP2:QP5"/>
    <mergeCell ref="QQ2:QQ5"/>
    <mergeCell ref="QR2:QR5"/>
    <mergeCell ref="QK3:QM3"/>
    <mergeCell ref="QK4:QM4"/>
    <mergeCell ref="PV1:PZ1"/>
    <mergeCell ref="PS2:PU2"/>
    <mergeCell ref="PD1:PH1"/>
    <mergeCell ref="PA2:PC2"/>
    <mergeCell ref="PD2:PD5"/>
    <mergeCell ref="PE2:PE5"/>
    <mergeCell ref="PF2:PF5"/>
    <mergeCell ref="PG2:PG5"/>
    <mergeCell ref="PH2:PH5"/>
    <mergeCell ref="PA3:PC3"/>
    <mergeCell ref="PA4:PC4"/>
    <mergeCell ref="OL1:OP1"/>
    <mergeCell ref="OI2:OK2"/>
    <mergeCell ref="OL2:OL5"/>
    <mergeCell ref="OM2:OM5"/>
    <mergeCell ref="ON2:ON5"/>
    <mergeCell ref="OO2:OO5"/>
    <mergeCell ref="OP2:OP5"/>
    <mergeCell ref="OI3:OK3"/>
    <mergeCell ref="OI4:OK4"/>
    <mergeCell ref="NK1:NO1"/>
    <mergeCell ref="NH2:NJ2"/>
    <mergeCell ref="NK2:NK5"/>
    <mergeCell ref="NL2:NL5"/>
    <mergeCell ref="NM2:NM5"/>
    <mergeCell ref="NN2:NN5"/>
    <mergeCell ref="NO2:NO5"/>
    <mergeCell ref="NH3:NJ3"/>
    <mergeCell ref="NH4:NJ4"/>
    <mergeCell ref="MS1:MW1"/>
    <mergeCell ref="MP2:MR2"/>
    <mergeCell ref="MS2:MS5"/>
    <mergeCell ref="MT2:MT5"/>
    <mergeCell ref="MU2:MU5"/>
    <mergeCell ref="MV2:MV5"/>
    <mergeCell ref="MW2:MW5"/>
    <mergeCell ref="MP3:MR3"/>
    <mergeCell ref="MP4:MR4"/>
    <mergeCell ref="LR1:LV1"/>
    <mergeCell ref="LO2:LQ2"/>
    <mergeCell ref="LR2:LR5"/>
    <mergeCell ref="LS2:LS5"/>
    <mergeCell ref="LT2:LT5"/>
    <mergeCell ref="LU2:LU5"/>
    <mergeCell ref="LV2:LV5"/>
    <mergeCell ref="LO3:LQ3"/>
    <mergeCell ref="LO4:LQ4"/>
    <mergeCell ref="LI1:LM1"/>
    <mergeCell ref="LF2:LH2"/>
    <mergeCell ref="LI2:LI5"/>
    <mergeCell ref="LJ2:LJ5"/>
    <mergeCell ref="LK2:LK5"/>
    <mergeCell ref="LL2:LL5"/>
    <mergeCell ref="LM2:LM5"/>
    <mergeCell ref="LF3:LH3"/>
    <mergeCell ref="LF4:LH4"/>
    <mergeCell ref="KZ1:LD1"/>
    <mergeCell ref="KW2:KY2"/>
    <mergeCell ref="KZ2:KZ5"/>
    <mergeCell ref="LA2:LA5"/>
    <mergeCell ref="LB2:LB5"/>
    <mergeCell ref="LC2:LC5"/>
    <mergeCell ref="LD2:LD5"/>
    <mergeCell ref="KW3:KY3"/>
    <mergeCell ref="KW4:KY4"/>
    <mergeCell ref="KQ1:KU1"/>
    <mergeCell ref="KN2:KP2"/>
    <mergeCell ref="KQ2:KQ5"/>
    <mergeCell ref="KR2:KR5"/>
    <mergeCell ref="KS2:KS5"/>
    <mergeCell ref="KT2:KT5"/>
    <mergeCell ref="KU2:KU5"/>
    <mergeCell ref="KN3:KP3"/>
    <mergeCell ref="KN4:KP4"/>
    <mergeCell ref="KH1:KL1"/>
    <mergeCell ref="KE2:KG2"/>
    <mergeCell ref="KH2:KH5"/>
    <mergeCell ref="KI2:KI5"/>
    <mergeCell ref="KJ2:KJ5"/>
    <mergeCell ref="KK2:KK5"/>
    <mergeCell ref="KL2:KL5"/>
    <mergeCell ref="KE3:KG3"/>
    <mergeCell ref="KE4:KG4"/>
    <mergeCell ref="JY1:KC1"/>
    <mergeCell ref="JV2:JX2"/>
    <mergeCell ref="JY2:JY5"/>
    <mergeCell ref="JZ2:JZ5"/>
    <mergeCell ref="KA2:KA5"/>
    <mergeCell ref="KB2:KB5"/>
    <mergeCell ref="KC2:KC5"/>
    <mergeCell ref="JV3:JX3"/>
    <mergeCell ref="JV4:JX4"/>
    <mergeCell ref="JP1:JT1"/>
    <mergeCell ref="JM2:JO2"/>
    <mergeCell ref="JP2:JP5"/>
    <mergeCell ref="JQ2:JQ5"/>
    <mergeCell ref="JR2:JR5"/>
    <mergeCell ref="JS2:JS5"/>
    <mergeCell ref="JT2:JT5"/>
    <mergeCell ref="JM3:JO3"/>
    <mergeCell ref="JM4:JO4"/>
    <mergeCell ref="JG1:JK1"/>
    <mergeCell ref="JD2:JF2"/>
    <mergeCell ref="JG2:JG5"/>
    <mergeCell ref="JH2:JH5"/>
    <mergeCell ref="JI2:JI5"/>
    <mergeCell ref="JJ2:JJ5"/>
    <mergeCell ref="JK2:JK5"/>
    <mergeCell ref="JD3:JF3"/>
    <mergeCell ref="JD4:JF4"/>
    <mergeCell ref="IX1:JB1"/>
    <mergeCell ref="IU2:IW2"/>
    <mergeCell ref="IX2:IX5"/>
    <mergeCell ref="IY2:IY5"/>
    <mergeCell ref="IZ2:IZ5"/>
    <mergeCell ref="JA2:JA5"/>
    <mergeCell ref="JB2:JB5"/>
    <mergeCell ref="IU3:IW3"/>
    <mergeCell ref="IU4:IW4"/>
    <mergeCell ref="IO1:IS1"/>
    <mergeCell ref="IL2:IN2"/>
    <mergeCell ref="IO2:IO5"/>
    <mergeCell ref="IP2:IP5"/>
    <mergeCell ref="IQ2:IQ5"/>
    <mergeCell ref="IR2:IR5"/>
    <mergeCell ref="IS2:IS5"/>
    <mergeCell ref="IL3:IN3"/>
    <mergeCell ref="IL4:IN4"/>
    <mergeCell ref="IF1:IJ1"/>
    <mergeCell ref="IC2:IE2"/>
    <mergeCell ref="IF2:IF5"/>
    <mergeCell ref="IG2:IG5"/>
    <mergeCell ref="IH2:IH5"/>
    <mergeCell ref="II2:II5"/>
    <mergeCell ref="IJ2:IJ5"/>
    <mergeCell ref="IC3:IE3"/>
    <mergeCell ref="IC4:IE4"/>
    <mergeCell ref="HW1:IA1"/>
    <mergeCell ref="HT2:HV2"/>
    <mergeCell ref="HW2:HW5"/>
    <mergeCell ref="HX2:HX5"/>
    <mergeCell ref="HY2:HY5"/>
    <mergeCell ref="HZ2:HZ5"/>
    <mergeCell ref="IA2:IA5"/>
    <mergeCell ref="HT3:HV3"/>
    <mergeCell ref="HT4:HV4"/>
    <mergeCell ref="HN1:HR1"/>
    <mergeCell ref="HK2:HM2"/>
    <mergeCell ref="HN2:HN5"/>
    <mergeCell ref="HO2:HO5"/>
    <mergeCell ref="HP2:HP5"/>
    <mergeCell ref="HQ2:HQ5"/>
    <mergeCell ref="HR2:HR5"/>
    <mergeCell ref="HK3:HM3"/>
    <mergeCell ref="HK4:HM4"/>
    <mergeCell ref="HE1:HI1"/>
    <mergeCell ref="HB2:HD2"/>
    <mergeCell ref="HE2:HE5"/>
    <mergeCell ref="HF2:HF5"/>
    <mergeCell ref="HG2:HG5"/>
    <mergeCell ref="HH2:HH5"/>
    <mergeCell ref="HI2:HI5"/>
    <mergeCell ref="HB3:HD3"/>
    <mergeCell ref="HB4:HD4"/>
    <mergeCell ref="GV1:GZ1"/>
    <mergeCell ref="GS2:GU2"/>
    <mergeCell ref="GV2:GV5"/>
    <mergeCell ref="GW2:GW5"/>
    <mergeCell ref="GX2:GX5"/>
    <mergeCell ref="GY2:GY5"/>
    <mergeCell ref="GZ2:GZ5"/>
    <mergeCell ref="GS3:GU3"/>
    <mergeCell ref="GS4:GU4"/>
    <mergeCell ref="GM1:GQ1"/>
    <mergeCell ref="GJ2:GL2"/>
    <mergeCell ref="GM2:GM5"/>
    <mergeCell ref="GN2:GN5"/>
    <mergeCell ref="GO2:GO5"/>
    <mergeCell ref="GP2:GP5"/>
    <mergeCell ref="GQ2:GQ5"/>
    <mergeCell ref="GJ3:GL3"/>
    <mergeCell ref="GJ4:GL4"/>
    <mergeCell ref="GD1:GH1"/>
    <mergeCell ref="GA2:GC2"/>
    <mergeCell ref="GD2:GD5"/>
    <mergeCell ref="GE2:GE5"/>
    <mergeCell ref="GF2:GF5"/>
    <mergeCell ref="GG2:GG5"/>
    <mergeCell ref="GH2:GH5"/>
    <mergeCell ref="GA3:GC3"/>
    <mergeCell ref="GA4:GC4"/>
    <mergeCell ref="FU1:FY1"/>
    <mergeCell ref="FR2:FT2"/>
    <mergeCell ref="FU2:FU5"/>
    <mergeCell ref="FV2:FV5"/>
    <mergeCell ref="FW2:FW5"/>
    <mergeCell ref="FX2:FX5"/>
    <mergeCell ref="FY2:FY5"/>
    <mergeCell ref="FR3:FT3"/>
    <mergeCell ref="FR4:FT4"/>
    <mergeCell ref="FC1:FG1"/>
    <mergeCell ref="FC2:FC5"/>
    <mergeCell ref="FD2:FD5"/>
    <mergeCell ref="FE2:FE5"/>
    <mergeCell ref="FF2:FF5"/>
    <mergeCell ref="FG2:FG5"/>
    <mergeCell ref="EZ3:FB3"/>
    <mergeCell ref="EZ4:FB4"/>
    <mergeCell ref="FL1:FP1"/>
    <mergeCell ref="FI2:FK2"/>
    <mergeCell ref="FL2:FL5"/>
    <mergeCell ref="FM2:FM5"/>
    <mergeCell ref="FN2:FN5"/>
    <mergeCell ref="FO2:FO5"/>
    <mergeCell ref="FP2:FP5"/>
    <mergeCell ref="FI3:FK3"/>
    <mergeCell ref="FI4:FK4"/>
    <mergeCell ref="ET1:EX1"/>
    <mergeCell ref="EQ2:ES2"/>
    <mergeCell ref="ET2:ET5"/>
    <mergeCell ref="EU2:EU5"/>
    <mergeCell ref="EV2:EV5"/>
    <mergeCell ref="EW2:EW5"/>
    <mergeCell ref="EX2:EX5"/>
    <mergeCell ref="EQ3:ES3"/>
    <mergeCell ref="EQ4:ES4"/>
    <mergeCell ref="EK1:EO1"/>
    <mergeCell ref="EH2:EJ2"/>
    <mergeCell ref="EK2:EK5"/>
    <mergeCell ref="EL2:EL5"/>
    <mergeCell ref="EM2:EM5"/>
    <mergeCell ref="EN2:EN5"/>
    <mergeCell ref="EO2:EO5"/>
    <mergeCell ref="EH3:EJ3"/>
    <mergeCell ref="EH4:EJ4"/>
    <mergeCell ref="DS1:DW1"/>
    <mergeCell ref="DS2:DS5"/>
    <mergeCell ref="DT2:DT5"/>
    <mergeCell ref="DU2:DU5"/>
    <mergeCell ref="DV2:DV5"/>
    <mergeCell ref="DW2:DW5"/>
    <mergeCell ref="EB1:EF1"/>
    <mergeCell ref="DY2:EA2"/>
    <mergeCell ref="EB2:EB5"/>
    <mergeCell ref="EC2:EC5"/>
    <mergeCell ref="ED2:ED5"/>
    <mergeCell ref="EE2:EE5"/>
    <mergeCell ref="EF2:EF5"/>
    <mergeCell ref="DY3:EA3"/>
    <mergeCell ref="DY4:EA4"/>
    <mergeCell ref="DJ1:DN1"/>
    <mergeCell ref="DG2:DI2"/>
    <mergeCell ref="DJ2:DJ5"/>
    <mergeCell ref="DK2:DK5"/>
    <mergeCell ref="DL2:DL5"/>
    <mergeCell ref="DM2:DM5"/>
    <mergeCell ref="DN2:DN5"/>
    <mergeCell ref="DG3:DI3"/>
    <mergeCell ref="DG4:DI4"/>
    <mergeCell ref="DA1:DE1"/>
    <mergeCell ref="CX2:CZ2"/>
    <mergeCell ref="DA2:DA5"/>
    <mergeCell ref="DB2:DB5"/>
    <mergeCell ref="DC2:DC5"/>
    <mergeCell ref="DD2:DD5"/>
    <mergeCell ref="DE2:DE5"/>
    <mergeCell ref="CX3:CZ3"/>
    <mergeCell ref="CX4:CZ4"/>
    <mergeCell ref="CI1:CM1"/>
    <mergeCell ref="CI2:CI5"/>
    <mergeCell ref="CJ2:CJ5"/>
    <mergeCell ref="CK2:CK5"/>
    <mergeCell ref="CL2:CL5"/>
    <mergeCell ref="CM2:CM5"/>
    <mergeCell ref="CR1:CV1"/>
    <mergeCell ref="CO2:CQ2"/>
    <mergeCell ref="CR2:CR5"/>
    <mergeCell ref="CS2:CS5"/>
    <mergeCell ref="CT2:CT5"/>
    <mergeCell ref="CU2:CU5"/>
    <mergeCell ref="CV2:CV5"/>
    <mergeCell ref="CO3:CQ3"/>
    <mergeCell ref="CO4:CQ4"/>
    <mergeCell ref="BZ1:CD1"/>
    <mergeCell ref="BW2:BY2"/>
    <mergeCell ref="BZ2:BZ5"/>
    <mergeCell ref="CA2:CA5"/>
    <mergeCell ref="CB2:CB5"/>
    <mergeCell ref="CC2:CC5"/>
    <mergeCell ref="CD2:CD5"/>
    <mergeCell ref="BW3:BY3"/>
    <mergeCell ref="BW4:BY4"/>
    <mergeCell ref="BQ1:BU1"/>
    <mergeCell ref="BN2:BP2"/>
    <mergeCell ref="BQ2:BQ5"/>
    <mergeCell ref="BR2:BR5"/>
    <mergeCell ref="BS2:BS5"/>
    <mergeCell ref="BT2:BT5"/>
    <mergeCell ref="BU2:BU5"/>
    <mergeCell ref="BN3:BP3"/>
    <mergeCell ref="BN4:BP4"/>
    <mergeCell ref="F1:J1"/>
    <mergeCell ref="AP1:AT1"/>
    <mergeCell ref="AM2:AO2"/>
    <mergeCell ref="AP2:AP5"/>
    <mergeCell ref="AQ2:AQ5"/>
    <mergeCell ref="AR2:AR5"/>
    <mergeCell ref="AS2:AS5"/>
    <mergeCell ref="AT2:AT5"/>
    <mergeCell ref="AM3:AO3"/>
    <mergeCell ref="AM4:AO4"/>
    <mergeCell ref="AG1:AK1"/>
    <mergeCell ref="AD2:AF2"/>
    <mergeCell ref="AG2:AG5"/>
    <mergeCell ref="AH2:AH5"/>
    <mergeCell ref="AI2:AI5"/>
    <mergeCell ref="AJ2:AJ5"/>
    <mergeCell ref="AK2:AK5"/>
    <mergeCell ref="AD3:AF3"/>
    <mergeCell ref="O1:S1"/>
    <mergeCell ref="O2:O5"/>
    <mergeCell ref="P2:P5"/>
    <mergeCell ref="Q2:Q5"/>
    <mergeCell ref="R2:R5"/>
    <mergeCell ref="S2:S5"/>
    <mergeCell ref="X1:AB1"/>
    <mergeCell ref="U2:W2"/>
    <mergeCell ref="X2:X5"/>
    <mergeCell ref="Y2:Y5"/>
    <mergeCell ref="Z2:Z5"/>
    <mergeCell ref="AA2:AA5"/>
    <mergeCell ref="AB2:AB5"/>
    <mergeCell ref="U3:W3"/>
    <mergeCell ref="U4:W4"/>
    <mergeCell ref="AY1:BC1"/>
    <mergeCell ref="AY2:AY5"/>
    <mergeCell ref="AZ2:AZ5"/>
    <mergeCell ref="BA2:BA5"/>
    <mergeCell ref="BB2:BB5"/>
    <mergeCell ref="BC2:BC5"/>
    <mergeCell ref="BH1:BL1"/>
    <mergeCell ref="BE2:BG2"/>
    <mergeCell ref="BH2:BH5"/>
    <mergeCell ref="BI2:BI5"/>
    <mergeCell ref="BJ2:BJ5"/>
    <mergeCell ref="BK2:BK5"/>
    <mergeCell ref="BL2:BL5"/>
    <mergeCell ref="BE3:BG3"/>
    <mergeCell ref="BE4:BG4"/>
    <mergeCell ref="MJ2:MJ5"/>
    <mergeCell ref="MK2:MK5"/>
    <mergeCell ref="RK2:RK5"/>
    <mergeCell ref="RM2:RM5"/>
    <mergeCell ref="RN2:RN5"/>
    <mergeCell ref="QT2:QT5"/>
    <mergeCell ref="QU2:QU5"/>
    <mergeCell ref="QV2:QV5"/>
    <mergeCell ref="OU1:OY1"/>
    <mergeCell ref="PM1:PQ1"/>
    <mergeCell ref="QE1:QI1"/>
    <mergeCell ref="OU2:OU5"/>
    <mergeCell ref="OV2:OV5"/>
    <mergeCell ref="OW2:OW5"/>
    <mergeCell ref="OX2:OX5"/>
    <mergeCell ref="OY2:OY5"/>
    <mergeCell ref="PJ2:PL2"/>
    <mergeCell ref="PM2:PM5"/>
    <mergeCell ref="PN2:PN5"/>
    <mergeCell ref="PO2:PO5"/>
    <mergeCell ref="PP2:PP5"/>
    <mergeCell ref="PQ2:PQ5"/>
    <mergeCell ref="PJ3:PL3"/>
    <mergeCell ref="PJ4:PL4"/>
    <mergeCell ref="I2:I5"/>
    <mergeCell ref="J2:J5"/>
    <mergeCell ref="MA1:ME1"/>
    <mergeCell ref="MJ1:MN1"/>
    <mergeCell ref="NB1:NF1"/>
    <mergeCell ref="NT1:NX1"/>
    <mergeCell ref="OC1:OG1"/>
    <mergeCell ref="CF2:CH2"/>
    <mergeCell ref="DP2:DR2"/>
    <mergeCell ref="EZ2:FB2"/>
    <mergeCell ref="L4:N4"/>
    <mergeCell ref="L3:N3"/>
    <mergeCell ref="AV3:AX3"/>
    <mergeCell ref="AV2:AX2"/>
    <mergeCell ref="L2:N2"/>
    <mergeCell ref="AV4:AX4"/>
    <mergeCell ref="AD4:AF4"/>
    <mergeCell ref="CF3:CH3"/>
    <mergeCell ref="CF4:CH4"/>
    <mergeCell ref="DP4:DR4"/>
    <mergeCell ref="DP3:DR3"/>
    <mergeCell ref="MD2:MD5"/>
    <mergeCell ref="ME2:ME5"/>
    <mergeCell ref="MG2:MI2"/>
    <mergeCell ref="C3:E3"/>
    <mergeCell ref="C4:E4"/>
    <mergeCell ref="C2:E2"/>
    <mergeCell ref="NQ2:NS2"/>
    <mergeCell ref="NT2:NT5"/>
    <mergeCell ref="NU2:NU5"/>
    <mergeCell ref="MN2:MN5"/>
    <mergeCell ref="MG3:MI3"/>
    <mergeCell ref="MG4:MI4"/>
    <mergeCell ref="ML2:ML5"/>
    <mergeCell ref="MM2:MM5"/>
    <mergeCell ref="NB2:NB5"/>
    <mergeCell ref="NC2:NC5"/>
    <mergeCell ref="ND2:ND5"/>
    <mergeCell ref="NE2:NE5"/>
    <mergeCell ref="F2:F5"/>
    <mergeCell ref="G2:G5"/>
    <mergeCell ref="H2:H5"/>
    <mergeCell ref="LX2:LZ2"/>
    <mergeCell ref="LX3:LZ3"/>
    <mergeCell ref="LX4:LZ4"/>
    <mergeCell ref="MA2:MA5"/>
    <mergeCell ref="MB2:MB5"/>
    <mergeCell ref="MC2:MC5"/>
    <mergeCell ref="NV2:NV5"/>
    <mergeCell ref="NW2:NW5"/>
    <mergeCell ref="NX2:NX5"/>
    <mergeCell ref="NQ3:NS3"/>
    <mergeCell ref="NQ4:NS4"/>
    <mergeCell ref="MY2:NA2"/>
    <mergeCell ref="RP2:RP5"/>
    <mergeCell ref="NF2:NF5"/>
    <mergeCell ref="MY3:NA3"/>
    <mergeCell ref="MY4:NA4"/>
    <mergeCell ref="OD2:OD5"/>
    <mergeCell ref="OE2:OE5"/>
    <mergeCell ref="OF2:OF5"/>
    <mergeCell ref="OG2:OG5"/>
    <mergeCell ref="NZ3:OB3"/>
    <mergeCell ref="NZ4:OB4"/>
    <mergeCell ref="OC2:OC5"/>
    <mergeCell ref="NZ2:OB2"/>
    <mergeCell ref="OR4:OT4"/>
    <mergeCell ref="OR2:OT2"/>
    <mergeCell ref="OR3:OT3"/>
    <mergeCell ref="PV2:PV5"/>
    <mergeCell ref="PW2:PW5"/>
    <mergeCell ref="PX2:PX5"/>
  </mergeCells>
  <phoneticPr fontId="4" type="noConversion"/>
  <conditionalFormatting sqref="RA6:RG105 RJ6:RL105">
    <cfRule type="expression" dxfId="29" priority="10">
      <formula>"iftf8=""#NUM!"""</formula>
    </cfRule>
  </conditionalFormatting>
  <conditionalFormatting sqref="RO6:RP105">
    <cfRule type="expression" dxfId="28" priority="1">
      <formula>"iftf8=""#NUM!"""</formula>
    </cfRule>
  </conditionalFormatting>
  <pageMargins left="0.25" right="0.25" top="0.75" bottom="0.75" header="0.3" footer="0.3"/>
  <pageSetup paperSize="9" orientation="portrait" r:id="rId1"/>
  <headerFooter>
    <oddFooter>&amp;C&amp;1#&amp;"Calibri"&amp;10&amp;K000000PUBLIC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156E4E3-56AA-4C7A-B20C-6A6EF505EF1A}">
          <x14:formula1>
            <xm:f>'Name List'!$F$3:$F$54</xm:f>
          </x14:formula1>
          <xm:sqref>C3 L3 U3 AD3 AM3 AV3 BE3 BN3 BW3 CF3 CO3 CX3 DG3 DP3 DY3 EH3 EQ3 EZ3 FI3 FR3 GA3 GJ3 GS3 HB3 HK3 HT3 IC3 IL3 IU3 JD3 JM3 JV3 KE3 KN3 KW3 LF3 LO3 LX3 MG3 MP3 MY3 NH3 NQ3 NZ3 OI3 OR3 PA3 PJ3 PS3 QB3 QK3</xm:sqref>
        </x14:dataValidation>
        <x14:dataValidation type="list" allowBlank="1" showInputMessage="1" showErrorMessage="1" xr:uid="{B3ADA7E1-3B1E-4298-AFAE-E6557045D8DF}">
          <x14:formula1>
            <xm:f>'Name List'!$D$14:$D$22</xm:f>
          </x14:formula1>
          <xm:sqref>C4 QK4 QB4 PS4 PJ4 PA4 OR4 OI4 NZ4 NQ4 NH4 MY4 MP4 MG4 LX4 LO4 LF4 KW4 KN4 KE4 JV4 JM4 JD4 IU4 IL4 IC4 HT4 HK4 HB4 GS4 GJ4 GA4 FR4 FI4 EZ4 EQ4 EH4 DY4 DP4 DG4 CX4 CO4 CF4 BW4 BN4 BE4 AV4 AM4 AD4 U4 L4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93A1-53EC-4705-8AF9-60C99720D0BE}">
  <dimension ref="B1:Z93"/>
  <sheetViews>
    <sheetView zoomScaleNormal="100" workbookViewId="0">
      <pane ySplit="2" topLeftCell="A3" activePane="bottomLeft" state="frozen"/>
      <selection pane="bottomLeft" activeCell="J28" sqref="J28"/>
    </sheetView>
  </sheetViews>
  <sheetFormatPr defaultRowHeight="11.25" x14ac:dyDescent="0.2"/>
  <cols>
    <col min="2" max="2" width="21.1640625" bestFit="1" customWidth="1"/>
    <col min="3" max="3" width="20.33203125" style="1" bestFit="1" customWidth="1"/>
    <col min="4" max="4" width="10.5" customWidth="1"/>
    <col min="9" max="9" width="10" bestFit="1" customWidth="1"/>
    <col min="10" max="10" width="9.5" customWidth="1"/>
    <col min="11" max="11" width="9.6640625" bestFit="1" customWidth="1"/>
    <col min="12" max="12" width="3" customWidth="1"/>
    <col min="13" max="13" width="10.6640625" style="1" bestFit="1" customWidth="1"/>
    <col min="14" max="14" width="9.33203125" style="1"/>
    <col min="22" max="22" width="16.6640625" bestFit="1" customWidth="1"/>
  </cols>
  <sheetData>
    <row r="1" spans="2:26" ht="12" thickBot="1" x14ac:dyDescent="0.25">
      <c r="P1" s="709" t="s">
        <v>182</v>
      </c>
      <c r="Q1" s="710"/>
      <c r="R1" s="710"/>
      <c r="S1" s="711"/>
    </row>
    <row r="2" spans="2:26" s="1" customFormat="1" ht="12" thickBot="1" x14ac:dyDescent="0.25">
      <c r="B2" s="247" t="s">
        <v>30</v>
      </c>
      <c r="C2" s="248" t="s">
        <v>185</v>
      </c>
      <c r="D2" s="248" t="s">
        <v>179</v>
      </c>
      <c r="E2" s="248" t="s">
        <v>33</v>
      </c>
      <c r="F2" s="248" t="s">
        <v>34</v>
      </c>
      <c r="G2" s="248" t="s">
        <v>31</v>
      </c>
      <c r="H2" s="248" t="s">
        <v>35</v>
      </c>
      <c r="I2" s="248" t="s">
        <v>180</v>
      </c>
      <c r="J2" s="248" t="s">
        <v>181</v>
      </c>
      <c r="K2" s="249" t="s">
        <v>184</v>
      </c>
      <c r="M2" s="250" t="s">
        <v>183</v>
      </c>
      <c r="N2" s="250" t="s">
        <v>263</v>
      </c>
      <c r="P2" s="251" t="s">
        <v>33</v>
      </c>
      <c r="Q2" s="252" t="s">
        <v>34</v>
      </c>
      <c r="R2" s="252" t="s">
        <v>31</v>
      </c>
      <c r="S2" s="253" t="s">
        <v>35</v>
      </c>
      <c r="T2"/>
      <c r="V2" s="247" t="s">
        <v>30</v>
      </c>
      <c r="W2" s="248" t="s">
        <v>230</v>
      </c>
      <c r="X2" s="248" t="s">
        <v>34</v>
      </c>
      <c r="Y2" s="248" t="s">
        <v>31</v>
      </c>
      <c r="Z2" s="249" t="s">
        <v>35</v>
      </c>
    </row>
    <row r="3" spans="2:26" x14ac:dyDescent="0.2">
      <c r="B3" s="2">
        <v>46025</v>
      </c>
      <c r="C3" s="1" t="s">
        <v>270</v>
      </c>
      <c r="D3" s="240">
        <f>'Scores and stats'!E108</f>
        <v>0</v>
      </c>
      <c r="E3" s="240">
        <f>'Scores and stats'!F108</f>
        <v>0</v>
      </c>
      <c r="F3" s="240">
        <f>'Scores and stats'!G108</f>
        <v>0</v>
      </c>
      <c r="G3" s="240">
        <f>'Scores and stats'!H108</f>
        <v>0</v>
      </c>
      <c r="H3" s="240">
        <f>'Scores and stats'!I108</f>
        <v>0</v>
      </c>
      <c r="I3" s="341">
        <f>'Scores and stats'!J108</f>
        <v>0</v>
      </c>
      <c r="J3" s="243"/>
      <c r="K3" s="243">
        <f t="shared" ref="K3:K53" si="0">SUM(I3-J3)</f>
        <v>0</v>
      </c>
      <c r="P3" s="242">
        <f>IF(D3&lt;1,0,(E3/D3))</f>
        <v>0</v>
      </c>
      <c r="Q3" s="241">
        <f>IF(D3&lt;1,0,(F3/D3))</f>
        <v>0</v>
      </c>
      <c r="R3" s="241">
        <f>IF(D3&lt;1,0,(G3/D3))</f>
        <v>0</v>
      </c>
      <c r="S3" s="241">
        <f>IF(D3&lt;1,0,(H3/D3))</f>
        <v>0</v>
      </c>
      <c r="V3" s="263">
        <v>46025</v>
      </c>
      <c r="W3" s="262">
        <f>D3</f>
        <v>0</v>
      </c>
      <c r="X3" s="262">
        <f>F3</f>
        <v>0</v>
      </c>
      <c r="Y3" s="262">
        <f t="shared" ref="Y3:Z3" si="1">G3</f>
        <v>0</v>
      </c>
      <c r="Z3" s="262">
        <f t="shared" si="1"/>
        <v>0</v>
      </c>
    </row>
    <row r="4" spans="2:26" x14ac:dyDescent="0.2">
      <c r="B4" s="2">
        <f>WORKDAY.INTL(B3,1,"1111101")</f>
        <v>46032</v>
      </c>
      <c r="C4" s="1" t="s">
        <v>270</v>
      </c>
      <c r="D4" s="240">
        <f>'Scores and stats'!N108</f>
        <v>0</v>
      </c>
      <c r="E4" s="240">
        <f>'Scores and stats'!O108</f>
        <v>0</v>
      </c>
      <c r="F4" s="240">
        <f>'Scores and stats'!P108</f>
        <v>0</v>
      </c>
      <c r="G4" s="240">
        <f>'Scores and stats'!Q108</f>
        <v>0</v>
      </c>
      <c r="H4" s="240">
        <f>'Scores and stats'!R108</f>
        <v>0</v>
      </c>
      <c r="I4" s="341">
        <f>'Scores and stats'!S108</f>
        <v>0</v>
      </c>
      <c r="J4" s="243"/>
      <c r="K4" s="243">
        <f t="shared" si="0"/>
        <v>0</v>
      </c>
      <c r="P4" s="242">
        <f t="shared" ref="P4:P52" si="2">IF(D4&lt;1,0,(E4/D4))</f>
        <v>0</v>
      </c>
      <c r="Q4" s="241">
        <f t="shared" ref="Q4:Q52" si="3">IF(D4&lt;1,0,(F4/D4))</f>
        <v>0</v>
      </c>
      <c r="R4" s="241">
        <f t="shared" ref="R4:R52" si="4">IF(D4&lt;1,0,(G4/D4))</f>
        <v>0</v>
      </c>
      <c r="S4" s="241">
        <f t="shared" ref="S4:S52" si="5">IF(D4&lt;1,0,(H4/D4))</f>
        <v>0</v>
      </c>
      <c r="V4" s="263">
        <f>WORKDAY.INTL(V3,1,"1111101")</f>
        <v>46032</v>
      </c>
      <c r="W4" s="262">
        <f t="shared" ref="W4:W5" si="6">D4</f>
        <v>0</v>
      </c>
      <c r="X4" s="262">
        <f t="shared" ref="X4:X5" si="7">F4</f>
        <v>0</v>
      </c>
      <c r="Y4" s="262">
        <f t="shared" ref="Y4:Y5" si="8">G4</f>
        <v>0</v>
      </c>
      <c r="Z4" s="262">
        <f t="shared" ref="Z4:Z5" si="9">H4</f>
        <v>0</v>
      </c>
    </row>
    <row r="5" spans="2:26" x14ac:dyDescent="0.2">
      <c r="B5" s="2">
        <f t="shared" ref="B5:B54" si="10">WORKDAY.INTL(B4,1,"1111101")</f>
        <v>46039</v>
      </c>
      <c r="D5" s="240">
        <f>'Scores and stats'!W108</f>
        <v>17</v>
      </c>
      <c r="E5" s="240">
        <f>'Scores and stats'!X108</f>
        <v>0</v>
      </c>
      <c r="F5" s="240">
        <f>'Scores and stats'!Y108</f>
        <v>12</v>
      </c>
      <c r="G5" s="240">
        <f>'Scores and stats'!Z108</f>
        <v>99</v>
      </c>
      <c r="H5" s="240">
        <f>'Scores and stats'!AA108</f>
        <v>31</v>
      </c>
      <c r="I5" s="341">
        <f>'Scores and stats'!AB108</f>
        <v>85</v>
      </c>
      <c r="J5" s="243">
        <v>42</v>
      </c>
      <c r="K5" s="243">
        <f t="shared" si="0"/>
        <v>43</v>
      </c>
      <c r="P5" s="242">
        <f t="shared" si="2"/>
        <v>0</v>
      </c>
      <c r="Q5" s="241">
        <f t="shared" si="3"/>
        <v>0.70588235294117652</v>
      </c>
      <c r="R5" s="241">
        <f t="shared" si="4"/>
        <v>5.8235294117647056</v>
      </c>
      <c r="S5" s="241">
        <f t="shared" si="5"/>
        <v>1.8235294117647058</v>
      </c>
      <c r="V5" s="263">
        <f t="shared" ref="V5:V54" si="11">WORKDAY.INTL(V4,1,"1111101")</f>
        <v>46039</v>
      </c>
      <c r="W5" s="262">
        <f t="shared" si="6"/>
        <v>17</v>
      </c>
      <c r="X5" s="262">
        <f t="shared" si="7"/>
        <v>12</v>
      </c>
      <c r="Y5" s="262">
        <f t="shared" si="8"/>
        <v>99</v>
      </c>
      <c r="Z5" s="262">
        <f t="shared" si="9"/>
        <v>31</v>
      </c>
    </row>
    <row r="6" spans="2:26" x14ac:dyDescent="0.2">
      <c r="B6" s="2">
        <f t="shared" si="10"/>
        <v>46046</v>
      </c>
      <c r="D6" s="240">
        <f>'Scores and stats'!AF108</f>
        <v>18</v>
      </c>
      <c r="E6" s="240">
        <f>'Scores and stats'!AG108</f>
        <v>0</v>
      </c>
      <c r="F6" s="240">
        <f>'Scores and stats'!AH108</f>
        <v>29</v>
      </c>
      <c r="G6" s="240">
        <f>'Scores and stats'!AI108</f>
        <v>111</v>
      </c>
      <c r="H6" s="240">
        <f>'Scores and stats'!AJ108</f>
        <v>33</v>
      </c>
      <c r="I6" s="341">
        <f>'Scores and stats'!AK108</f>
        <v>90</v>
      </c>
      <c r="J6" s="243">
        <v>47</v>
      </c>
      <c r="K6" s="243">
        <f t="shared" si="0"/>
        <v>43</v>
      </c>
      <c r="P6" s="242">
        <f t="shared" si="2"/>
        <v>0</v>
      </c>
      <c r="Q6" s="241">
        <f t="shared" si="3"/>
        <v>1.6111111111111112</v>
      </c>
      <c r="R6" s="241">
        <f t="shared" si="4"/>
        <v>6.166666666666667</v>
      </c>
      <c r="S6" s="241">
        <f t="shared" si="5"/>
        <v>1.8333333333333333</v>
      </c>
      <c r="V6" s="263">
        <f t="shared" si="11"/>
        <v>46046</v>
      </c>
      <c r="W6" s="262">
        <f t="shared" ref="W6" si="12">D6</f>
        <v>18</v>
      </c>
      <c r="X6" s="262">
        <f t="shared" ref="X6" si="13">F6</f>
        <v>29</v>
      </c>
      <c r="Y6" s="262">
        <f t="shared" ref="Y6" si="14">G6</f>
        <v>111</v>
      </c>
      <c r="Z6" s="262">
        <f t="shared" ref="Z6" si="15">H6</f>
        <v>33</v>
      </c>
    </row>
    <row r="7" spans="2:26" x14ac:dyDescent="0.2">
      <c r="B7" s="2">
        <f t="shared" si="10"/>
        <v>46053</v>
      </c>
      <c r="D7" s="240">
        <f>'Scores and stats'!AO108</f>
        <v>21</v>
      </c>
      <c r="E7" s="240">
        <f>'Scores and stats'!AP108</f>
        <v>0</v>
      </c>
      <c r="F7" s="240">
        <f>'Scores and stats'!AQ108</f>
        <v>24</v>
      </c>
      <c r="G7" s="240">
        <f>'Scores and stats'!AR108</f>
        <v>130</v>
      </c>
      <c r="H7" s="240">
        <f>'Scores and stats'!AS108</f>
        <v>43</v>
      </c>
      <c r="I7" s="341">
        <f>'Scores and stats'!AT108-15</f>
        <v>90</v>
      </c>
      <c r="J7" s="243">
        <v>46</v>
      </c>
      <c r="K7" s="243">
        <f t="shared" si="0"/>
        <v>44</v>
      </c>
      <c r="N7" s="1">
        <v>3</v>
      </c>
      <c r="P7" s="242">
        <f t="shared" si="2"/>
        <v>0</v>
      </c>
      <c r="Q7" s="241">
        <f t="shared" si="3"/>
        <v>1.1428571428571428</v>
      </c>
      <c r="R7" s="241">
        <f t="shared" si="4"/>
        <v>6.1904761904761907</v>
      </c>
      <c r="S7" s="241">
        <f t="shared" si="5"/>
        <v>2.0476190476190474</v>
      </c>
      <c r="V7" s="263">
        <f t="shared" si="11"/>
        <v>46053</v>
      </c>
      <c r="W7" s="262">
        <f t="shared" ref="W7" si="16">D7</f>
        <v>21</v>
      </c>
      <c r="X7" s="262">
        <f t="shared" ref="X7" si="17">F7</f>
        <v>24</v>
      </c>
      <c r="Y7" s="262">
        <f t="shared" ref="Y7" si="18">G7</f>
        <v>130</v>
      </c>
      <c r="Z7" s="262">
        <f t="shared" ref="Z7" si="19">H7</f>
        <v>43</v>
      </c>
    </row>
    <row r="8" spans="2:26" x14ac:dyDescent="0.2">
      <c r="B8" s="2">
        <f t="shared" si="10"/>
        <v>46060</v>
      </c>
      <c r="D8" s="240">
        <f>'Scores and stats'!AX108</f>
        <v>12</v>
      </c>
      <c r="E8" s="240">
        <f>'Scores and stats'!AY108</f>
        <v>0</v>
      </c>
      <c r="F8" s="240">
        <f>'Scores and stats'!AZ108</f>
        <v>26</v>
      </c>
      <c r="G8" s="240">
        <f>'Scores and stats'!BA108</f>
        <v>107</v>
      </c>
      <c r="H8" s="240">
        <f>'Scores and stats'!BB108</f>
        <v>15</v>
      </c>
      <c r="I8" s="341">
        <f>'Scores and stats'!BC108</f>
        <v>60</v>
      </c>
      <c r="J8" s="243">
        <v>29</v>
      </c>
      <c r="K8" s="243">
        <f t="shared" si="0"/>
        <v>31</v>
      </c>
      <c r="P8" s="242">
        <f t="shared" si="2"/>
        <v>0</v>
      </c>
      <c r="Q8" s="241">
        <f t="shared" si="3"/>
        <v>2.1666666666666665</v>
      </c>
      <c r="R8" s="241">
        <f t="shared" si="4"/>
        <v>8.9166666666666661</v>
      </c>
      <c r="S8" s="241">
        <f t="shared" si="5"/>
        <v>1.25</v>
      </c>
      <c r="V8" s="263">
        <f t="shared" si="11"/>
        <v>46060</v>
      </c>
      <c r="W8" s="262">
        <f t="shared" ref="W8" si="20">D8</f>
        <v>12</v>
      </c>
      <c r="X8" s="262">
        <f t="shared" ref="X8" si="21">F8</f>
        <v>26</v>
      </c>
      <c r="Y8" s="262">
        <f t="shared" ref="Y8" si="22">G8</f>
        <v>107</v>
      </c>
      <c r="Z8" s="262">
        <f t="shared" ref="Z8" si="23">H8</f>
        <v>15</v>
      </c>
    </row>
    <row r="9" spans="2:26" x14ac:dyDescent="0.2">
      <c r="B9" s="2">
        <f t="shared" si="10"/>
        <v>46067</v>
      </c>
      <c r="D9" s="240">
        <f>'Scores and stats'!BG108</f>
        <v>16</v>
      </c>
      <c r="E9" s="240">
        <f>'Scores and stats'!BH108</f>
        <v>0</v>
      </c>
      <c r="F9" s="240">
        <f>'Scores and stats'!BI108</f>
        <v>10</v>
      </c>
      <c r="G9" s="240">
        <f>'Scores and stats'!BJ108</f>
        <v>123</v>
      </c>
      <c r="H9" s="240">
        <f>'Scores and stats'!BK108</f>
        <v>23</v>
      </c>
      <c r="I9" s="341">
        <f>'Scores and stats'!BL108</f>
        <v>80</v>
      </c>
      <c r="J9" s="243">
        <v>40</v>
      </c>
      <c r="K9" s="243">
        <f t="shared" si="0"/>
        <v>40</v>
      </c>
      <c r="P9" s="242">
        <f t="shared" si="2"/>
        <v>0</v>
      </c>
      <c r="Q9" s="241">
        <f t="shared" si="3"/>
        <v>0.625</v>
      </c>
      <c r="R9" s="241">
        <f t="shared" si="4"/>
        <v>7.6875</v>
      </c>
      <c r="S9" s="241">
        <f t="shared" si="5"/>
        <v>1.4375</v>
      </c>
      <c r="V9" s="263">
        <f t="shared" si="11"/>
        <v>46067</v>
      </c>
      <c r="W9" s="262">
        <f t="shared" ref="W9" si="24">D9</f>
        <v>16</v>
      </c>
      <c r="X9" s="262">
        <f t="shared" ref="X9" si="25">F9</f>
        <v>10</v>
      </c>
      <c r="Y9" s="262">
        <f t="shared" ref="Y9" si="26">G9</f>
        <v>123</v>
      </c>
      <c r="Z9" s="262">
        <f t="shared" ref="Z9" si="27">H9</f>
        <v>23</v>
      </c>
    </row>
    <row r="10" spans="2:26" x14ac:dyDescent="0.2">
      <c r="B10" s="2">
        <f t="shared" si="10"/>
        <v>46074</v>
      </c>
      <c r="D10" s="240">
        <v>20</v>
      </c>
      <c r="E10" s="240">
        <f>'Scores and stats'!BQ108</f>
        <v>0</v>
      </c>
      <c r="F10" s="240">
        <f>'Scores and stats'!BR108</f>
        <v>0</v>
      </c>
      <c r="G10" s="240">
        <f>'Scores and stats'!BS108</f>
        <v>0</v>
      </c>
      <c r="H10" s="240">
        <f>'Scores and stats'!BT108</f>
        <v>0</v>
      </c>
      <c r="I10" s="341">
        <v>100</v>
      </c>
      <c r="J10" s="243">
        <v>40</v>
      </c>
      <c r="K10" s="243">
        <f t="shared" si="0"/>
        <v>60</v>
      </c>
      <c r="P10" s="242">
        <f t="shared" si="2"/>
        <v>0</v>
      </c>
      <c r="Q10" s="241">
        <f t="shared" si="3"/>
        <v>0</v>
      </c>
      <c r="R10" s="241">
        <f t="shared" si="4"/>
        <v>0</v>
      </c>
      <c r="S10" s="241">
        <f t="shared" si="5"/>
        <v>0</v>
      </c>
      <c r="V10" s="263">
        <f t="shared" si="11"/>
        <v>46074</v>
      </c>
      <c r="W10" s="262">
        <f t="shared" ref="W10" si="28">D10</f>
        <v>20</v>
      </c>
      <c r="X10" s="262">
        <f t="shared" ref="X10" si="29">F10</f>
        <v>0</v>
      </c>
      <c r="Y10" s="262">
        <f t="shared" ref="Y10" si="30">G10</f>
        <v>0</v>
      </c>
      <c r="Z10" s="262">
        <f t="shared" ref="Z10" si="31">H10</f>
        <v>0</v>
      </c>
    </row>
    <row r="11" spans="2:26" x14ac:dyDescent="0.2">
      <c r="B11" s="2">
        <f t="shared" si="10"/>
        <v>46081</v>
      </c>
      <c r="D11" s="240">
        <f>'Scores and stats'!BY108</f>
        <v>12</v>
      </c>
      <c r="E11" s="240">
        <f>'Scores and stats'!BZ108</f>
        <v>0</v>
      </c>
      <c r="F11" s="240">
        <f>'Scores and stats'!CA108</f>
        <v>17</v>
      </c>
      <c r="G11" s="240">
        <f>'Scores and stats'!CB108</f>
        <v>87</v>
      </c>
      <c r="H11" s="240">
        <f>'Scores and stats'!CC108</f>
        <v>20</v>
      </c>
      <c r="I11" s="341">
        <f>'Scores and stats'!CD108-10</f>
        <v>50</v>
      </c>
      <c r="J11" s="243">
        <v>23</v>
      </c>
      <c r="K11" s="243">
        <f t="shared" si="0"/>
        <v>27</v>
      </c>
      <c r="N11" s="1">
        <v>2</v>
      </c>
      <c r="P11" s="242">
        <f t="shared" si="2"/>
        <v>0</v>
      </c>
      <c r="Q11" s="241">
        <f t="shared" si="3"/>
        <v>1.4166666666666667</v>
      </c>
      <c r="R11" s="241">
        <f t="shared" si="4"/>
        <v>7.25</v>
      </c>
      <c r="S11" s="241">
        <f t="shared" si="5"/>
        <v>1.6666666666666667</v>
      </c>
      <c r="V11" s="263">
        <f t="shared" si="11"/>
        <v>46081</v>
      </c>
      <c r="W11" s="262">
        <f t="shared" ref="W11" si="32">D11</f>
        <v>12</v>
      </c>
      <c r="X11" s="262">
        <f t="shared" ref="X11" si="33">F11</f>
        <v>17</v>
      </c>
      <c r="Y11" s="262">
        <f t="shared" ref="Y11" si="34">G11</f>
        <v>87</v>
      </c>
      <c r="Z11" s="262">
        <f t="shared" ref="Z11" si="35">H11</f>
        <v>20</v>
      </c>
    </row>
    <row r="12" spans="2:26" x14ac:dyDescent="0.2">
      <c r="B12" s="349">
        <f t="shared" si="10"/>
        <v>46088</v>
      </c>
      <c r="C12" s="350" t="s">
        <v>235</v>
      </c>
      <c r="D12" s="240">
        <f>'Scores and stats'!CH108</f>
        <v>17</v>
      </c>
      <c r="E12" s="240">
        <f>'Scores and stats'!CI108</f>
        <v>2</v>
      </c>
      <c r="F12" s="240">
        <f>'Scores and stats'!CJ108</f>
        <v>20</v>
      </c>
      <c r="G12" s="240">
        <f>'Scores and stats'!CK108</f>
        <v>138</v>
      </c>
      <c r="H12" s="240">
        <f>'Scores and stats'!CL108</f>
        <v>38</v>
      </c>
      <c r="I12" s="341">
        <f>'Scores and stats'!CM108+5</f>
        <v>90</v>
      </c>
      <c r="J12" s="359">
        <v>48</v>
      </c>
      <c r="K12" s="359">
        <f t="shared" si="0"/>
        <v>42</v>
      </c>
      <c r="P12" s="242">
        <f t="shared" si="2"/>
        <v>0.11764705882352941</v>
      </c>
      <c r="Q12" s="241">
        <f t="shared" si="3"/>
        <v>1.1764705882352942</v>
      </c>
      <c r="R12" s="241">
        <f t="shared" si="4"/>
        <v>8.117647058823529</v>
      </c>
      <c r="S12" s="241">
        <f t="shared" si="5"/>
        <v>2.2352941176470589</v>
      </c>
      <c r="V12" s="418">
        <f t="shared" si="11"/>
        <v>46088</v>
      </c>
      <c r="W12" s="262">
        <f t="shared" ref="W12:W16" si="36">D12</f>
        <v>17</v>
      </c>
      <c r="X12" s="262">
        <f t="shared" ref="X12" si="37">F12</f>
        <v>20</v>
      </c>
      <c r="Y12" s="262">
        <f t="shared" ref="Y12" si="38">G12</f>
        <v>138</v>
      </c>
      <c r="Z12" s="262">
        <f t="shared" ref="Z12" si="39">H12</f>
        <v>38</v>
      </c>
    </row>
    <row r="13" spans="2:26" x14ac:dyDescent="0.2">
      <c r="B13" s="349">
        <f t="shared" si="10"/>
        <v>46095</v>
      </c>
      <c r="C13" s="350"/>
      <c r="D13" s="240">
        <f>'Scores and stats'!CQ108</f>
        <v>19</v>
      </c>
      <c r="E13" s="240">
        <f>'Scores and stats'!CR108</f>
        <v>1</v>
      </c>
      <c r="F13" s="240">
        <f>'Scores and stats'!CS108</f>
        <v>25</v>
      </c>
      <c r="G13" s="240">
        <f>'Scores and stats'!CT108</f>
        <v>134</v>
      </c>
      <c r="H13" s="240">
        <f>'Scores and stats'!CU108</f>
        <v>31</v>
      </c>
      <c r="I13" s="341">
        <f>'Scores and stats'!CV108+0.2</f>
        <v>95.2</v>
      </c>
      <c r="J13" s="243">
        <v>47.2</v>
      </c>
      <c r="K13" s="243">
        <f t="shared" si="0"/>
        <v>48</v>
      </c>
      <c r="P13" s="242">
        <f t="shared" si="2"/>
        <v>5.2631578947368418E-2</v>
      </c>
      <c r="Q13" s="241">
        <f t="shared" si="3"/>
        <v>1.3157894736842106</v>
      </c>
      <c r="R13" s="241">
        <f t="shared" si="4"/>
        <v>7.0526315789473681</v>
      </c>
      <c r="S13" s="241">
        <f t="shared" si="5"/>
        <v>1.631578947368421</v>
      </c>
      <c r="V13" s="418">
        <f t="shared" si="11"/>
        <v>46095</v>
      </c>
      <c r="W13" s="262">
        <f t="shared" si="36"/>
        <v>19</v>
      </c>
      <c r="X13" s="262">
        <f t="shared" ref="X13" si="40">F13</f>
        <v>25</v>
      </c>
      <c r="Y13" s="262">
        <f t="shared" ref="Y13" si="41">G13</f>
        <v>134</v>
      </c>
      <c r="Z13" s="262">
        <f t="shared" ref="Z13" si="42">H13</f>
        <v>31</v>
      </c>
    </row>
    <row r="14" spans="2:26" x14ac:dyDescent="0.2">
      <c r="B14" s="349">
        <f t="shared" si="10"/>
        <v>46102</v>
      </c>
      <c r="C14" s="350"/>
      <c r="D14" s="240">
        <f>'Scores and stats'!CZ108</f>
        <v>14</v>
      </c>
      <c r="E14" s="240">
        <f>'Scores and stats'!DA108</f>
        <v>0</v>
      </c>
      <c r="F14" s="240">
        <f>'Scores and stats'!DB108</f>
        <v>6</v>
      </c>
      <c r="G14" s="240">
        <f>'Scores and stats'!DC108</f>
        <v>105</v>
      </c>
      <c r="H14" s="240">
        <f>'Scores and stats'!DD108</f>
        <v>34</v>
      </c>
      <c r="I14" s="341">
        <f>'Scores and stats'!DE108-5</f>
        <v>65</v>
      </c>
      <c r="J14" s="243">
        <v>30</v>
      </c>
      <c r="K14" s="243">
        <f t="shared" si="0"/>
        <v>35</v>
      </c>
      <c r="N14" s="1">
        <v>1</v>
      </c>
      <c r="P14" s="242">
        <f t="shared" si="2"/>
        <v>0</v>
      </c>
      <c r="Q14" s="241">
        <f t="shared" si="3"/>
        <v>0.42857142857142855</v>
      </c>
      <c r="R14" s="241">
        <f t="shared" si="4"/>
        <v>7.5</v>
      </c>
      <c r="S14" s="241">
        <f t="shared" si="5"/>
        <v>2.4285714285714284</v>
      </c>
      <c r="V14" s="418">
        <f t="shared" si="11"/>
        <v>46102</v>
      </c>
      <c r="W14" s="262">
        <f t="shared" si="36"/>
        <v>14</v>
      </c>
      <c r="X14" s="262">
        <f t="shared" ref="X14" si="43">F14</f>
        <v>6</v>
      </c>
      <c r="Y14" s="262">
        <f t="shared" ref="Y14" si="44">G14</f>
        <v>105</v>
      </c>
      <c r="Z14" s="262">
        <f t="shared" ref="Z14" si="45">H14</f>
        <v>34</v>
      </c>
    </row>
    <row r="15" spans="2:26" x14ac:dyDescent="0.2">
      <c r="B15" s="349">
        <f t="shared" si="10"/>
        <v>46109</v>
      </c>
      <c r="C15" s="350"/>
      <c r="D15" s="240">
        <f>'Scores and stats'!DI108</f>
        <v>16</v>
      </c>
      <c r="E15" s="240">
        <f>'Scores and stats'!DJ108</f>
        <v>0</v>
      </c>
      <c r="F15" s="240">
        <f>'Scores and stats'!DK108</f>
        <v>21</v>
      </c>
      <c r="G15" s="240">
        <f>'Scores and stats'!DL108</f>
        <v>89</v>
      </c>
      <c r="H15" s="240">
        <f>'Scores and stats'!DM108</f>
        <v>37</v>
      </c>
      <c r="I15" s="341">
        <f>'Scores and stats'!DN108</f>
        <v>80</v>
      </c>
      <c r="J15" s="243">
        <v>44</v>
      </c>
      <c r="K15" s="243">
        <f t="shared" si="0"/>
        <v>36</v>
      </c>
      <c r="P15" s="242">
        <f t="shared" si="2"/>
        <v>0</v>
      </c>
      <c r="Q15" s="241">
        <f t="shared" si="3"/>
        <v>1.3125</v>
      </c>
      <c r="R15" s="241">
        <f t="shared" si="4"/>
        <v>5.5625</v>
      </c>
      <c r="S15" s="241">
        <f t="shared" si="5"/>
        <v>2.3125</v>
      </c>
      <c r="V15" s="418">
        <f t="shared" si="11"/>
        <v>46109</v>
      </c>
      <c r="W15" s="262">
        <f t="shared" si="36"/>
        <v>16</v>
      </c>
      <c r="X15" s="262">
        <f t="shared" ref="X15" si="46">F15</f>
        <v>21</v>
      </c>
      <c r="Y15" s="262">
        <f t="shared" ref="Y15" si="47">G15</f>
        <v>89</v>
      </c>
      <c r="Z15" s="262">
        <f t="shared" ref="Z15" si="48">H15</f>
        <v>37</v>
      </c>
    </row>
    <row r="16" spans="2:26" x14ac:dyDescent="0.2">
      <c r="B16" s="349">
        <f t="shared" si="10"/>
        <v>46116</v>
      </c>
      <c r="C16" s="350"/>
      <c r="D16" s="240">
        <f>'Scores and stats'!DR108</f>
        <v>18</v>
      </c>
      <c r="E16" s="240">
        <f>'Scores and stats'!DS108</f>
        <v>1</v>
      </c>
      <c r="F16" s="240">
        <f>'Scores and stats'!DT108</f>
        <v>22</v>
      </c>
      <c r="G16" s="240">
        <f>'Scores and stats'!DU108</f>
        <v>121</v>
      </c>
      <c r="H16" s="240">
        <f>'Scores and stats'!DV108</f>
        <v>35</v>
      </c>
      <c r="I16" s="341">
        <f>'Scores and stats'!DW108-5</f>
        <v>85</v>
      </c>
      <c r="J16" s="243">
        <v>43</v>
      </c>
      <c r="K16" s="243">
        <f t="shared" si="0"/>
        <v>42</v>
      </c>
      <c r="N16" s="1">
        <v>1</v>
      </c>
      <c r="P16" s="242">
        <f t="shared" si="2"/>
        <v>5.5555555555555552E-2</v>
      </c>
      <c r="Q16" s="241">
        <f t="shared" si="3"/>
        <v>1.2222222222222223</v>
      </c>
      <c r="R16" s="241">
        <f t="shared" si="4"/>
        <v>6.7222222222222223</v>
      </c>
      <c r="S16" s="241">
        <f t="shared" si="5"/>
        <v>1.9444444444444444</v>
      </c>
      <c r="V16" s="418">
        <f t="shared" si="11"/>
        <v>46116</v>
      </c>
      <c r="W16" s="262">
        <f t="shared" si="36"/>
        <v>18</v>
      </c>
      <c r="X16" s="262">
        <f t="shared" ref="X16" si="49">F16</f>
        <v>22</v>
      </c>
      <c r="Y16" s="262">
        <f t="shared" ref="Y16" si="50">G16</f>
        <v>121</v>
      </c>
      <c r="Z16" s="262">
        <f t="shared" ref="Z16" si="51">H16</f>
        <v>35</v>
      </c>
    </row>
    <row r="17" spans="2:26" x14ac:dyDescent="0.2">
      <c r="B17" s="349">
        <f t="shared" si="10"/>
        <v>46123</v>
      </c>
      <c r="C17" s="350"/>
      <c r="D17" s="240">
        <f>'Scores and stats'!EA108</f>
        <v>12</v>
      </c>
      <c r="E17" s="240">
        <f>'Scores and stats'!EB108</f>
        <v>0</v>
      </c>
      <c r="F17" s="240">
        <f>'Scores and stats'!EC108</f>
        <v>12</v>
      </c>
      <c r="G17" s="240">
        <f>'Scores and stats'!ED108</f>
        <v>80</v>
      </c>
      <c r="H17" s="240">
        <f>'Scores and stats'!EE108</f>
        <v>27</v>
      </c>
      <c r="I17" s="341">
        <f>'Scores and stats'!EF108</f>
        <v>60</v>
      </c>
      <c r="J17" s="243">
        <v>30</v>
      </c>
      <c r="K17" s="243">
        <f t="shared" si="0"/>
        <v>30</v>
      </c>
      <c r="P17" s="242">
        <f t="shared" si="2"/>
        <v>0</v>
      </c>
      <c r="Q17" s="241">
        <f t="shared" si="3"/>
        <v>1</v>
      </c>
      <c r="R17" s="241">
        <f t="shared" si="4"/>
        <v>6.666666666666667</v>
      </c>
      <c r="S17" s="241">
        <f t="shared" si="5"/>
        <v>2.25</v>
      </c>
      <c r="V17" s="418">
        <f t="shared" si="11"/>
        <v>46123</v>
      </c>
      <c r="W17" s="262">
        <f t="shared" ref="W17:W18" si="52">D17</f>
        <v>12</v>
      </c>
      <c r="X17" s="262">
        <f t="shared" ref="X17:X18" si="53">F17</f>
        <v>12</v>
      </c>
      <c r="Y17" s="262">
        <f t="shared" ref="Y17:Y18" si="54">G17</f>
        <v>80</v>
      </c>
      <c r="Z17" s="262">
        <f t="shared" ref="Z17:Z18" si="55">H17</f>
        <v>27</v>
      </c>
    </row>
    <row r="18" spans="2:26" x14ac:dyDescent="0.2">
      <c r="B18" s="349">
        <f t="shared" si="10"/>
        <v>46130</v>
      </c>
      <c r="C18" s="350"/>
      <c r="D18" s="240">
        <f>'Scores and stats'!EJ108</f>
        <v>12</v>
      </c>
      <c r="E18" s="240">
        <f>'Scores and stats'!EK108</f>
        <v>0</v>
      </c>
      <c r="F18" s="240">
        <f>'Scores and stats'!EL108</f>
        <v>11</v>
      </c>
      <c r="G18" s="240">
        <f>'Scores and stats'!EM108</f>
        <v>67</v>
      </c>
      <c r="H18" s="240">
        <f>'Scores and stats'!EN108</f>
        <v>31</v>
      </c>
      <c r="I18" s="341">
        <f>'Scores and stats'!EO108</f>
        <v>60</v>
      </c>
      <c r="J18" s="243">
        <v>30</v>
      </c>
      <c r="K18" s="243">
        <f t="shared" si="0"/>
        <v>30</v>
      </c>
      <c r="P18" s="242">
        <f t="shared" si="2"/>
        <v>0</v>
      </c>
      <c r="Q18" s="241">
        <f t="shared" si="3"/>
        <v>0.91666666666666663</v>
      </c>
      <c r="R18" s="241">
        <f t="shared" si="4"/>
        <v>5.583333333333333</v>
      </c>
      <c r="S18" s="241">
        <f t="shared" si="5"/>
        <v>2.5833333333333335</v>
      </c>
      <c r="V18" s="418">
        <f t="shared" si="11"/>
        <v>46130</v>
      </c>
      <c r="W18" s="262">
        <f t="shared" si="52"/>
        <v>12</v>
      </c>
      <c r="X18" s="262">
        <f t="shared" si="53"/>
        <v>11</v>
      </c>
      <c r="Y18" s="262">
        <f t="shared" si="54"/>
        <v>67</v>
      </c>
      <c r="Z18" s="262">
        <f t="shared" si="55"/>
        <v>31</v>
      </c>
    </row>
    <row r="19" spans="2:26" x14ac:dyDescent="0.2">
      <c r="B19" s="349">
        <f t="shared" si="10"/>
        <v>46137</v>
      </c>
      <c r="C19" s="350"/>
      <c r="D19" s="240">
        <f>'Scores and stats'!ES108</f>
        <v>14</v>
      </c>
      <c r="E19" s="240">
        <f>'Scores and stats'!ET108</f>
        <v>0</v>
      </c>
      <c r="F19" s="240">
        <f>'Scores and stats'!EU108</f>
        <v>12</v>
      </c>
      <c r="G19" s="240">
        <f>'Scores and stats'!EV108</f>
        <v>97</v>
      </c>
      <c r="H19" s="240">
        <f>'Scores and stats'!EW108</f>
        <v>0</v>
      </c>
      <c r="I19" s="341">
        <f>'Scores and stats'!EX108</f>
        <v>70</v>
      </c>
      <c r="J19" s="243">
        <v>30</v>
      </c>
      <c r="K19" s="243">
        <f t="shared" si="0"/>
        <v>40</v>
      </c>
      <c r="P19" s="242">
        <f t="shared" si="2"/>
        <v>0</v>
      </c>
      <c r="Q19" s="241">
        <f t="shared" si="3"/>
        <v>0.8571428571428571</v>
      </c>
      <c r="R19" s="241">
        <f t="shared" si="4"/>
        <v>6.9285714285714288</v>
      </c>
      <c r="S19" s="241">
        <f t="shared" si="5"/>
        <v>0</v>
      </c>
      <c r="V19" s="418">
        <f t="shared" si="11"/>
        <v>46137</v>
      </c>
      <c r="W19" s="262">
        <f t="shared" ref="W19" si="56">D19</f>
        <v>14</v>
      </c>
      <c r="X19" s="262">
        <f t="shared" ref="X19" si="57">F19</f>
        <v>12</v>
      </c>
      <c r="Y19" s="262">
        <f t="shared" ref="Y19" si="58">G19</f>
        <v>97</v>
      </c>
      <c r="Z19" s="262">
        <f t="shared" ref="Z19" si="59">H19</f>
        <v>0</v>
      </c>
    </row>
    <row r="20" spans="2:26" x14ac:dyDescent="0.2">
      <c r="B20" s="347">
        <f t="shared" si="10"/>
        <v>46144</v>
      </c>
      <c r="C20" s="348" t="s">
        <v>190</v>
      </c>
      <c r="D20" s="342">
        <f>'Scores and stats'!FB108</f>
        <v>0</v>
      </c>
      <c r="E20" s="342">
        <f>'Scores and stats'!FC108</f>
        <v>0</v>
      </c>
      <c r="F20" s="342">
        <f>'Scores and stats'!FD108</f>
        <v>0</v>
      </c>
      <c r="G20" s="342">
        <f>'Scores and stats'!FE108</f>
        <v>0</v>
      </c>
      <c r="H20" s="342">
        <f>'Scores and stats'!FF108</f>
        <v>0</v>
      </c>
      <c r="I20" s="343">
        <f>'Scores and stats'!FG108</f>
        <v>0</v>
      </c>
      <c r="J20" s="344"/>
      <c r="K20" s="344">
        <f t="shared" si="0"/>
        <v>0</v>
      </c>
      <c r="P20" s="416"/>
      <c r="Q20" s="417"/>
      <c r="R20" s="417"/>
      <c r="S20" s="417"/>
      <c r="V20" s="419">
        <f t="shared" si="11"/>
        <v>46144</v>
      </c>
      <c r="W20" s="262">
        <f t="shared" ref="W20:W21" si="60">D20</f>
        <v>0</v>
      </c>
      <c r="X20" s="262">
        <f t="shared" ref="X20:X21" si="61">F20</f>
        <v>0</v>
      </c>
      <c r="Y20" s="262">
        <f t="shared" ref="Y20:Y21" si="62">G20</f>
        <v>0</v>
      </c>
      <c r="Z20" s="262">
        <f t="shared" ref="Z20:Z21" si="63">H20</f>
        <v>0</v>
      </c>
    </row>
    <row r="21" spans="2:26" x14ac:dyDescent="0.2">
      <c r="B21" s="349">
        <f t="shared" si="10"/>
        <v>46151</v>
      </c>
      <c r="C21" s="350"/>
      <c r="D21" s="240">
        <f>'Scores and stats'!FK108</f>
        <v>10</v>
      </c>
      <c r="E21" s="240">
        <f>'Scores and stats'!FL108</f>
        <v>0</v>
      </c>
      <c r="F21" s="240">
        <f>'Scores and stats'!FM108</f>
        <v>14</v>
      </c>
      <c r="G21" s="240">
        <f>'Scores and stats'!FN108</f>
        <v>60</v>
      </c>
      <c r="H21" s="240">
        <f>'Scores and stats'!FO108</f>
        <v>13</v>
      </c>
      <c r="I21" s="341">
        <f>'Scores and stats'!FP108</f>
        <v>50</v>
      </c>
      <c r="J21" s="243">
        <v>16</v>
      </c>
      <c r="K21" s="243">
        <f t="shared" si="0"/>
        <v>34</v>
      </c>
      <c r="P21" s="242">
        <f t="shared" si="2"/>
        <v>0</v>
      </c>
      <c r="Q21" s="241">
        <f t="shared" si="3"/>
        <v>1.4</v>
      </c>
      <c r="R21" s="241">
        <f t="shared" si="4"/>
        <v>6</v>
      </c>
      <c r="S21" s="241">
        <f t="shared" si="5"/>
        <v>1.3</v>
      </c>
      <c r="V21" s="418">
        <f t="shared" si="11"/>
        <v>46151</v>
      </c>
      <c r="W21" s="262">
        <f t="shared" si="60"/>
        <v>10</v>
      </c>
      <c r="X21" s="262">
        <f t="shared" si="61"/>
        <v>14</v>
      </c>
      <c r="Y21" s="262">
        <f t="shared" si="62"/>
        <v>60</v>
      </c>
      <c r="Z21" s="262">
        <f t="shared" si="63"/>
        <v>13</v>
      </c>
    </row>
    <row r="22" spans="2:26" x14ac:dyDescent="0.2">
      <c r="B22" s="349">
        <f t="shared" si="10"/>
        <v>46158</v>
      </c>
      <c r="C22" s="350"/>
      <c r="D22" s="240">
        <f>'Scores and stats'!FT108</f>
        <v>7</v>
      </c>
      <c r="E22" s="240">
        <f>'Scores and stats'!FU108</f>
        <v>0</v>
      </c>
      <c r="F22" s="240">
        <f>'Scores and stats'!FV108</f>
        <v>9</v>
      </c>
      <c r="G22" s="240">
        <f>'Scores and stats'!FW108</f>
        <v>41</v>
      </c>
      <c r="H22" s="240">
        <f>'Scores and stats'!FX108</f>
        <v>15</v>
      </c>
      <c r="I22" s="341">
        <f>'Scores and stats'!FY108</f>
        <v>35</v>
      </c>
      <c r="J22" s="243">
        <v>0</v>
      </c>
      <c r="K22" s="243">
        <f t="shared" si="0"/>
        <v>35</v>
      </c>
      <c r="P22" s="416"/>
      <c r="Q22" s="417"/>
      <c r="R22" s="417"/>
      <c r="S22" s="417"/>
      <c r="V22" s="418">
        <f t="shared" si="11"/>
        <v>46158</v>
      </c>
      <c r="W22" s="262">
        <f t="shared" ref="W22:W23" si="64">D22</f>
        <v>7</v>
      </c>
      <c r="X22" s="262">
        <f t="shared" ref="X22:X23" si="65">F22</f>
        <v>9</v>
      </c>
      <c r="Y22" s="262">
        <f t="shared" ref="Y22:Y23" si="66">G22</f>
        <v>41</v>
      </c>
      <c r="Z22" s="262">
        <f t="shared" ref="Z22:Z23" si="67">H22</f>
        <v>15</v>
      </c>
    </row>
    <row r="23" spans="2:26" x14ac:dyDescent="0.2">
      <c r="B23" s="349">
        <f t="shared" si="10"/>
        <v>46165</v>
      </c>
      <c r="C23" s="350"/>
      <c r="D23" s="240">
        <f>'Scores and stats'!GC108</f>
        <v>7</v>
      </c>
      <c r="E23" s="240">
        <f>'Scores and stats'!GD108</f>
        <v>0</v>
      </c>
      <c r="F23" s="240">
        <f>'Scores and stats'!GE108</f>
        <v>6</v>
      </c>
      <c r="G23" s="240">
        <f>'Scores and stats'!GF108</f>
        <v>48</v>
      </c>
      <c r="H23" s="240">
        <f>'Scores and stats'!GG108</f>
        <v>14</v>
      </c>
      <c r="I23" s="341">
        <f>'Scores and stats'!GH108</f>
        <v>35</v>
      </c>
      <c r="J23" s="243">
        <v>16</v>
      </c>
      <c r="K23" s="243">
        <f t="shared" si="0"/>
        <v>19</v>
      </c>
      <c r="P23" s="242">
        <f t="shared" si="2"/>
        <v>0</v>
      </c>
      <c r="Q23" s="241">
        <f t="shared" si="3"/>
        <v>0.8571428571428571</v>
      </c>
      <c r="R23" s="241">
        <f t="shared" si="4"/>
        <v>6.8571428571428568</v>
      </c>
      <c r="S23" s="241">
        <f t="shared" si="5"/>
        <v>2</v>
      </c>
      <c r="V23" s="418">
        <f t="shared" si="11"/>
        <v>46165</v>
      </c>
      <c r="W23" s="262">
        <f t="shared" si="64"/>
        <v>7</v>
      </c>
      <c r="X23" s="262">
        <f t="shared" si="65"/>
        <v>6</v>
      </c>
      <c r="Y23" s="262">
        <f t="shared" si="66"/>
        <v>48</v>
      </c>
      <c r="Z23" s="262">
        <f t="shared" si="67"/>
        <v>14</v>
      </c>
    </row>
    <row r="24" spans="2:26" x14ac:dyDescent="0.2">
      <c r="B24" s="349">
        <f t="shared" si="10"/>
        <v>46172</v>
      </c>
      <c r="C24" s="350"/>
      <c r="D24" s="240">
        <f>'Scores and stats'!GL108</f>
        <v>21</v>
      </c>
      <c r="E24" s="240">
        <f>'Scores and stats'!GM108</f>
        <v>1</v>
      </c>
      <c r="F24" s="240">
        <f>'Scores and stats'!GN108</f>
        <v>29</v>
      </c>
      <c r="G24" s="240">
        <f>'Scores and stats'!GO108</f>
        <v>165</v>
      </c>
      <c r="H24" s="240">
        <f>'Scores and stats'!GP108</f>
        <v>35</v>
      </c>
      <c r="I24" s="341">
        <f>'Scores and stats'!GQ108-5</f>
        <v>100</v>
      </c>
      <c r="J24" s="243">
        <v>50</v>
      </c>
      <c r="K24" s="243">
        <f t="shared" si="0"/>
        <v>50</v>
      </c>
      <c r="N24" s="1">
        <v>1</v>
      </c>
      <c r="P24" s="242">
        <f t="shared" si="2"/>
        <v>4.7619047619047616E-2</v>
      </c>
      <c r="Q24" s="241">
        <f t="shared" si="3"/>
        <v>1.3809523809523809</v>
      </c>
      <c r="R24" s="241">
        <f t="shared" si="4"/>
        <v>7.8571428571428568</v>
      </c>
      <c r="S24" s="241">
        <f t="shared" si="5"/>
        <v>1.6666666666666667</v>
      </c>
      <c r="V24" s="418">
        <f t="shared" si="11"/>
        <v>46172</v>
      </c>
      <c r="W24" s="262">
        <f t="shared" ref="W24" si="68">D24</f>
        <v>21</v>
      </c>
      <c r="X24" s="262">
        <f t="shared" ref="X24" si="69">F24</f>
        <v>29</v>
      </c>
      <c r="Y24" s="262">
        <f t="shared" ref="Y24" si="70">G24</f>
        <v>165</v>
      </c>
      <c r="Z24" s="262">
        <f t="shared" ref="Z24" si="71">H24</f>
        <v>35</v>
      </c>
    </row>
    <row r="25" spans="2:26" x14ac:dyDescent="0.2">
      <c r="B25" s="347">
        <f t="shared" si="10"/>
        <v>46179</v>
      </c>
      <c r="C25" s="348" t="s">
        <v>191</v>
      </c>
      <c r="D25" s="342">
        <f>'Scores and stats'!GU108</f>
        <v>0</v>
      </c>
      <c r="E25" s="342">
        <f>'Scores and stats'!GV108</f>
        <v>0</v>
      </c>
      <c r="F25" s="342">
        <f>'Scores and stats'!GW108</f>
        <v>0</v>
      </c>
      <c r="G25" s="342">
        <f>'Scores and stats'!GX108</f>
        <v>0</v>
      </c>
      <c r="H25" s="342">
        <f>'Scores and stats'!GY108</f>
        <v>0</v>
      </c>
      <c r="I25" s="343">
        <f>'Scores and stats'!GZ108</f>
        <v>0</v>
      </c>
      <c r="J25" s="344"/>
      <c r="K25" s="344">
        <f t="shared" si="0"/>
        <v>0</v>
      </c>
      <c r="P25" s="416"/>
      <c r="Q25" s="417"/>
      <c r="R25" s="417"/>
      <c r="S25" s="417"/>
      <c r="V25" s="419">
        <f t="shared" si="11"/>
        <v>46179</v>
      </c>
      <c r="W25" s="262">
        <f t="shared" ref="W25:W27" si="72">D25</f>
        <v>0</v>
      </c>
      <c r="X25" s="262">
        <f t="shared" ref="X25:X27" si="73">F25</f>
        <v>0</v>
      </c>
      <c r="Y25" s="262">
        <f t="shared" ref="Y25:Y27" si="74">G25</f>
        <v>0</v>
      </c>
      <c r="Z25" s="262">
        <f t="shared" ref="Z25:Z27" si="75">H25</f>
        <v>0</v>
      </c>
    </row>
    <row r="26" spans="2:26" x14ac:dyDescent="0.2">
      <c r="B26" s="349">
        <f t="shared" si="10"/>
        <v>46186</v>
      </c>
      <c r="C26" s="350"/>
      <c r="D26" s="240">
        <f>'Scores and stats'!HD108</f>
        <v>17</v>
      </c>
      <c r="E26" s="240">
        <f>'Scores and stats'!HE108</f>
        <v>0</v>
      </c>
      <c r="F26" s="240">
        <f>'Scores and stats'!HF108</f>
        <v>28</v>
      </c>
      <c r="G26" s="240">
        <f>'Scores and stats'!HG108</f>
        <v>129</v>
      </c>
      <c r="H26" s="240">
        <f>'Scores and stats'!HH108</f>
        <v>30</v>
      </c>
      <c r="I26" s="341">
        <f>'Scores and stats'!HI108</f>
        <v>85</v>
      </c>
      <c r="J26" s="243">
        <v>49</v>
      </c>
      <c r="K26" s="243">
        <f t="shared" si="0"/>
        <v>36</v>
      </c>
      <c r="P26" s="242">
        <f t="shared" si="2"/>
        <v>0</v>
      </c>
      <c r="Q26" s="241">
        <f t="shared" si="3"/>
        <v>1.6470588235294117</v>
      </c>
      <c r="R26" s="241">
        <f t="shared" si="4"/>
        <v>7.5882352941176467</v>
      </c>
      <c r="S26" s="241">
        <f t="shared" si="5"/>
        <v>1.7647058823529411</v>
      </c>
      <c r="V26" s="418">
        <f t="shared" si="11"/>
        <v>46186</v>
      </c>
      <c r="W26" s="262">
        <f t="shared" si="72"/>
        <v>17</v>
      </c>
      <c r="X26" s="262">
        <f t="shared" si="73"/>
        <v>28</v>
      </c>
      <c r="Y26" s="262">
        <f t="shared" si="74"/>
        <v>129</v>
      </c>
      <c r="Z26" s="262">
        <f t="shared" si="75"/>
        <v>30</v>
      </c>
    </row>
    <row r="27" spans="2:26" x14ac:dyDescent="0.2">
      <c r="B27" s="349">
        <f t="shared" si="10"/>
        <v>46193</v>
      </c>
      <c r="C27" s="350"/>
      <c r="D27" s="240">
        <f>'Scores and stats'!HM108</f>
        <v>9</v>
      </c>
      <c r="E27" s="240">
        <f>'Scores and stats'!HN108</f>
        <v>0</v>
      </c>
      <c r="F27" s="240">
        <f>'Scores and stats'!HO108</f>
        <v>6</v>
      </c>
      <c r="G27" s="240">
        <f>'Scores and stats'!HP108</f>
        <v>63</v>
      </c>
      <c r="H27" s="240">
        <f>'Scores and stats'!HQ108</f>
        <v>14</v>
      </c>
      <c r="I27" s="341">
        <f>'Scores and stats'!HR108</f>
        <v>45</v>
      </c>
      <c r="J27" s="243">
        <v>21</v>
      </c>
      <c r="K27" s="243">
        <f t="shared" si="0"/>
        <v>24</v>
      </c>
      <c r="P27" s="242">
        <f t="shared" si="2"/>
        <v>0</v>
      </c>
      <c r="Q27" s="241">
        <f t="shared" si="3"/>
        <v>0.66666666666666663</v>
      </c>
      <c r="R27" s="241">
        <f t="shared" si="4"/>
        <v>7</v>
      </c>
      <c r="S27" s="241">
        <f t="shared" si="5"/>
        <v>1.5555555555555556</v>
      </c>
      <c r="V27" s="418">
        <f t="shared" si="11"/>
        <v>46193</v>
      </c>
      <c r="W27" s="262">
        <f t="shared" si="72"/>
        <v>9</v>
      </c>
      <c r="X27" s="262">
        <f t="shared" si="73"/>
        <v>6</v>
      </c>
      <c r="Y27" s="262">
        <f t="shared" si="74"/>
        <v>63</v>
      </c>
      <c r="Z27" s="262">
        <f t="shared" si="75"/>
        <v>14</v>
      </c>
    </row>
    <row r="28" spans="2:26" x14ac:dyDescent="0.2">
      <c r="B28" s="347">
        <f t="shared" si="10"/>
        <v>46200</v>
      </c>
      <c r="C28" s="348" t="s">
        <v>192</v>
      </c>
      <c r="D28" s="342">
        <f>'Scores and stats'!HV108</f>
        <v>0</v>
      </c>
      <c r="E28" s="342">
        <f>'Scores and stats'!HW108</f>
        <v>0</v>
      </c>
      <c r="F28" s="342">
        <f>'Scores and stats'!HX108</f>
        <v>0</v>
      </c>
      <c r="G28" s="342">
        <f>'Scores and stats'!HY108</f>
        <v>0</v>
      </c>
      <c r="H28" s="342">
        <f>'Scores and stats'!HZ108</f>
        <v>0</v>
      </c>
      <c r="I28" s="343">
        <f>'Scores and stats'!IA108</f>
        <v>0</v>
      </c>
      <c r="J28" s="344"/>
      <c r="K28" s="344">
        <f t="shared" si="0"/>
        <v>0</v>
      </c>
      <c r="P28" s="416"/>
      <c r="Q28" s="417"/>
      <c r="R28" s="417"/>
      <c r="S28" s="417"/>
      <c r="V28" s="419">
        <f t="shared" si="11"/>
        <v>46200</v>
      </c>
      <c r="W28" s="262">
        <f t="shared" ref="W28:W29" si="76">D28</f>
        <v>0</v>
      </c>
      <c r="X28" s="262">
        <f t="shared" ref="X28:X29" si="77">F28</f>
        <v>0</v>
      </c>
      <c r="Y28" s="262">
        <f t="shared" ref="Y28:Y29" si="78">G28</f>
        <v>0</v>
      </c>
      <c r="Z28" s="262">
        <f t="shared" ref="Z28:Z29" si="79">H28</f>
        <v>0</v>
      </c>
    </row>
    <row r="29" spans="2:26" x14ac:dyDescent="0.2">
      <c r="B29" s="349">
        <f t="shared" si="10"/>
        <v>46207</v>
      </c>
      <c r="C29" s="350"/>
      <c r="D29" s="240">
        <f>'Scores and stats'!IE108</f>
        <v>0</v>
      </c>
      <c r="E29" s="240">
        <f>'Scores and stats'!IF108</f>
        <v>0</v>
      </c>
      <c r="F29" s="240">
        <f>'Scores and stats'!IG108</f>
        <v>0</v>
      </c>
      <c r="G29" s="240">
        <f>'Scores and stats'!IH108</f>
        <v>0</v>
      </c>
      <c r="H29" s="240">
        <f>'Scores and stats'!II108</f>
        <v>0</v>
      </c>
      <c r="I29" s="341">
        <f>'Scores and stats'!IJ108</f>
        <v>0</v>
      </c>
      <c r="J29" s="243"/>
      <c r="K29" s="243">
        <f t="shared" si="0"/>
        <v>0</v>
      </c>
      <c r="P29" s="242">
        <f t="shared" si="2"/>
        <v>0</v>
      </c>
      <c r="Q29" s="241">
        <f t="shared" si="3"/>
        <v>0</v>
      </c>
      <c r="R29" s="241">
        <f t="shared" si="4"/>
        <v>0</v>
      </c>
      <c r="S29" s="241">
        <f t="shared" si="5"/>
        <v>0</v>
      </c>
      <c r="V29" s="418">
        <f t="shared" si="11"/>
        <v>46207</v>
      </c>
      <c r="W29" s="262">
        <f t="shared" si="76"/>
        <v>0</v>
      </c>
      <c r="X29" s="262">
        <f t="shared" si="77"/>
        <v>0</v>
      </c>
      <c r="Y29" s="262">
        <f t="shared" si="78"/>
        <v>0</v>
      </c>
      <c r="Z29" s="262">
        <f t="shared" si="79"/>
        <v>0</v>
      </c>
    </row>
    <row r="30" spans="2:26" x14ac:dyDescent="0.2">
      <c r="B30" s="349">
        <f t="shared" si="10"/>
        <v>46214</v>
      </c>
      <c r="C30" s="350"/>
      <c r="D30" s="240">
        <f>'Scores and stats'!IN108</f>
        <v>0</v>
      </c>
      <c r="E30" s="240">
        <f>'Scores and stats'!IO108</f>
        <v>0</v>
      </c>
      <c r="F30" s="240">
        <f>'Scores and stats'!IP108</f>
        <v>0</v>
      </c>
      <c r="G30" s="240">
        <f>'Scores and stats'!IQ108</f>
        <v>0</v>
      </c>
      <c r="H30" s="240">
        <f>'Scores and stats'!IR108</f>
        <v>0</v>
      </c>
      <c r="I30" s="341">
        <f>'Scores and stats'!IS108</f>
        <v>0</v>
      </c>
      <c r="J30" s="243"/>
      <c r="K30" s="243">
        <f t="shared" si="0"/>
        <v>0</v>
      </c>
      <c r="P30" s="242">
        <f t="shared" si="2"/>
        <v>0</v>
      </c>
      <c r="Q30" s="241">
        <f t="shared" si="3"/>
        <v>0</v>
      </c>
      <c r="R30" s="241">
        <f t="shared" si="4"/>
        <v>0</v>
      </c>
      <c r="S30" s="241">
        <f t="shared" si="5"/>
        <v>0</v>
      </c>
      <c r="V30" s="418">
        <f t="shared" si="11"/>
        <v>46214</v>
      </c>
      <c r="W30" s="262">
        <f t="shared" ref="W30" si="80">D30</f>
        <v>0</v>
      </c>
      <c r="X30" s="262">
        <f t="shared" ref="X30" si="81">F30</f>
        <v>0</v>
      </c>
      <c r="Y30" s="262">
        <f t="shared" ref="Y30" si="82">G30</f>
        <v>0</v>
      </c>
      <c r="Z30" s="262">
        <f t="shared" ref="Z30" si="83">H30</f>
        <v>0</v>
      </c>
    </row>
    <row r="31" spans="2:26" x14ac:dyDescent="0.2">
      <c r="B31" s="349">
        <f t="shared" si="10"/>
        <v>46221</v>
      </c>
      <c r="C31" s="350"/>
      <c r="D31" s="240">
        <f>'Scores and stats'!IW108</f>
        <v>0</v>
      </c>
      <c r="E31" s="240">
        <f>'Scores and stats'!IX108</f>
        <v>0</v>
      </c>
      <c r="F31" s="240">
        <f>'Scores and stats'!IY108</f>
        <v>0</v>
      </c>
      <c r="G31" s="240">
        <f>'Scores and stats'!IZ108</f>
        <v>0</v>
      </c>
      <c r="H31" s="240">
        <f>'Scores and stats'!JA108</f>
        <v>0</v>
      </c>
      <c r="I31" s="341">
        <f>'Scores and stats'!JB108</f>
        <v>0</v>
      </c>
      <c r="J31" s="243"/>
      <c r="K31" s="243">
        <f t="shared" si="0"/>
        <v>0</v>
      </c>
      <c r="P31" s="242">
        <f t="shared" si="2"/>
        <v>0</v>
      </c>
      <c r="Q31" s="241">
        <f t="shared" si="3"/>
        <v>0</v>
      </c>
      <c r="R31" s="241">
        <f t="shared" si="4"/>
        <v>0</v>
      </c>
      <c r="S31" s="241">
        <f t="shared" si="5"/>
        <v>0</v>
      </c>
      <c r="V31" s="418">
        <f t="shared" si="11"/>
        <v>46221</v>
      </c>
      <c r="W31" s="262">
        <f t="shared" ref="W31:W32" si="84">D31</f>
        <v>0</v>
      </c>
      <c r="X31" s="262">
        <f t="shared" ref="X31:X32" si="85">F31</f>
        <v>0</v>
      </c>
      <c r="Y31" s="262">
        <f t="shared" ref="Y31:Y32" si="86">G31</f>
        <v>0</v>
      </c>
      <c r="Z31" s="262">
        <f t="shared" ref="Z31:Z32" si="87">H31</f>
        <v>0</v>
      </c>
    </row>
    <row r="32" spans="2:26" x14ac:dyDescent="0.2">
      <c r="B32" s="349">
        <f t="shared" si="10"/>
        <v>46228</v>
      </c>
      <c r="C32" s="350"/>
      <c r="D32" s="240">
        <f>'Scores and stats'!JF108</f>
        <v>0</v>
      </c>
      <c r="E32" s="240">
        <f>'Scores and stats'!JG108</f>
        <v>0</v>
      </c>
      <c r="F32" s="240">
        <f>'Scores and stats'!JH108</f>
        <v>0</v>
      </c>
      <c r="G32" s="240">
        <f>'Scores and stats'!JI108</f>
        <v>0</v>
      </c>
      <c r="H32" s="240">
        <f>'Scores and stats'!JJ108</f>
        <v>0</v>
      </c>
      <c r="I32" s="341">
        <f>'Scores and stats'!JK108</f>
        <v>0</v>
      </c>
      <c r="J32" s="243"/>
      <c r="K32" s="243">
        <f t="shared" si="0"/>
        <v>0</v>
      </c>
      <c r="P32" s="242">
        <f t="shared" si="2"/>
        <v>0</v>
      </c>
      <c r="Q32" s="241">
        <f t="shared" si="3"/>
        <v>0</v>
      </c>
      <c r="R32" s="241">
        <f t="shared" si="4"/>
        <v>0</v>
      </c>
      <c r="S32" s="241">
        <f t="shared" si="5"/>
        <v>0</v>
      </c>
      <c r="V32" s="418">
        <f t="shared" si="11"/>
        <v>46228</v>
      </c>
      <c r="W32" s="262">
        <f t="shared" si="84"/>
        <v>0</v>
      </c>
      <c r="X32" s="262">
        <f t="shared" si="85"/>
        <v>0</v>
      </c>
      <c r="Y32" s="262">
        <f t="shared" si="86"/>
        <v>0</v>
      </c>
      <c r="Z32" s="262">
        <f t="shared" si="87"/>
        <v>0</v>
      </c>
    </row>
    <row r="33" spans="2:26" x14ac:dyDescent="0.2">
      <c r="B33" s="349">
        <f t="shared" si="10"/>
        <v>46235</v>
      </c>
      <c r="C33" s="350"/>
      <c r="D33" s="240">
        <f>'Scores and stats'!JO108</f>
        <v>0</v>
      </c>
      <c r="E33" s="240">
        <f>'Scores and stats'!JP108</f>
        <v>0</v>
      </c>
      <c r="F33" s="240">
        <f>'Scores and stats'!JQ108</f>
        <v>0</v>
      </c>
      <c r="G33" s="240">
        <f>'Scores and stats'!JR108</f>
        <v>0</v>
      </c>
      <c r="H33" s="240">
        <f>'Scores and stats'!JS108</f>
        <v>0</v>
      </c>
      <c r="I33" s="341">
        <f>'Scores and stats'!JT108</f>
        <v>0</v>
      </c>
      <c r="J33" s="243"/>
      <c r="K33" s="243">
        <f t="shared" si="0"/>
        <v>0</v>
      </c>
      <c r="P33" s="242">
        <f t="shared" si="2"/>
        <v>0</v>
      </c>
      <c r="Q33" s="241">
        <f t="shared" si="3"/>
        <v>0</v>
      </c>
      <c r="R33" s="241">
        <f t="shared" si="4"/>
        <v>0</v>
      </c>
      <c r="S33" s="241">
        <f t="shared" si="5"/>
        <v>0</v>
      </c>
      <c r="V33" s="418">
        <f t="shared" si="11"/>
        <v>46235</v>
      </c>
      <c r="W33" s="262">
        <f t="shared" ref="W33:W34" si="88">D33</f>
        <v>0</v>
      </c>
      <c r="X33" s="262">
        <f t="shared" ref="X33:X34" si="89">F33</f>
        <v>0</v>
      </c>
      <c r="Y33" s="262">
        <f t="shared" ref="Y33:Y34" si="90">G33</f>
        <v>0</v>
      </c>
      <c r="Z33" s="262">
        <f t="shared" ref="Z33:Z34" si="91">H33</f>
        <v>0</v>
      </c>
    </row>
    <row r="34" spans="2:26" x14ac:dyDescent="0.2">
      <c r="B34" s="349">
        <f t="shared" si="10"/>
        <v>46242</v>
      </c>
      <c r="C34" s="350" t="s">
        <v>236</v>
      </c>
      <c r="D34" s="357">
        <f>'Scores and stats'!JX108</f>
        <v>0</v>
      </c>
      <c r="E34" s="357">
        <f>'Scores and stats'!JY108</f>
        <v>0</v>
      </c>
      <c r="F34" s="357">
        <f>'Scores and stats'!JZ108</f>
        <v>0</v>
      </c>
      <c r="G34" s="357">
        <f>'Scores and stats'!KA108</f>
        <v>0</v>
      </c>
      <c r="H34" s="357">
        <f>'Scores and stats'!KB108</f>
        <v>0</v>
      </c>
      <c r="I34" s="358">
        <f>'Scores and stats'!KC108</f>
        <v>0</v>
      </c>
      <c r="J34" s="359"/>
      <c r="K34" s="359">
        <f t="shared" si="0"/>
        <v>0</v>
      </c>
      <c r="P34" s="242">
        <f t="shared" si="2"/>
        <v>0</v>
      </c>
      <c r="Q34" s="241">
        <f t="shared" si="3"/>
        <v>0</v>
      </c>
      <c r="R34" s="241">
        <f t="shared" si="4"/>
        <v>0</v>
      </c>
      <c r="S34" s="241">
        <f t="shared" si="5"/>
        <v>0</v>
      </c>
      <c r="V34" s="418">
        <f t="shared" si="11"/>
        <v>46242</v>
      </c>
      <c r="W34" s="262">
        <f t="shared" si="88"/>
        <v>0</v>
      </c>
      <c r="X34" s="262">
        <f t="shared" si="89"/>
        <v>0</v>
      </c>
      <c r="Y34" s="262">
        <f t="shared" si="90"/>
        <v>0</v>
      </c>
      <c r="Z34" s="262">
        <f t="shared" si="91"/>
        <v>0</v>
      </c>
    </row>
    <row r="35" spans="2:26" x14ac:dyDescent="0.2">
      <c r="B35" s="349">
        <f t="shared" si="10"/>
        <v>46249</v>
      </c>
      <c r="C35" s="350"/>
      <c r="D35" s="240">
        <f>'Scores and stats'!KG108</f>
        <v>0</v>
      </c>
      <c r="E35" s="240">
        <f>'Scores and stats'!KH108</f>
        <v>0</v>
      </c>
      <c r="F35" s="240">
        <f>'Scores and stats'!KI108</f>
        <v>0</v>
      </c>
      <c r="G35" s="240">
        <f>'Scores and stats'!KJ108</f>
        <v>0</v>
      </c>
      <c r="H35" s="240">
        <f>'Scores and stats'!KK108</f>
        <v>0</v>
      </c>
      <c r="I35" s="341">
        <f>'Scores and stats'!KL108</f>
        <v>0</v>
      </c>
      <c r="J35" s="243"/>
      <c r="K35" s="243">
        <f t="shared" si="0"/>
        <v>0</v>
      </c>
      <c r="P35" s="242">
        <f t="shared" si="2"/>
        <v>0</v>
      </c>
      <c r="Q35" s="241">
        <f t="shared" si="3"/>
        <v>0</v>
      </c>
      <c r="R35" s="241">
        <f t="shared" si="4"/>
        <v>0</v>
      </c>
      <c r="S35" s="241">
        <f t="shared" si="5"/>
        <v>0</v>
      </c>
      <c r="V35" s="418">
        <f t="shared" si="11"/>
        <v>46249</v>
      </c>
      <c r="W35" s="262">
        <f t="shared" ref="W35:W36" si="92">D35</f>
        <v>0</v>
      </c>
      <c r="X35" s="262">
        <f t="shared" ref="X35:X36" si="93">F35</f>
        <v>0</v>
      </c>
      <c r="Y35" s="262">
        <f t="shared" ref="Y35:Y36" si="94">G35</f>
        <v>0</v>
      </c>
      <c r="Z35" s="262">
        <f t="shared" ref="Z35:Z36" si="95">H35</f>
        <v>0</v>
      </c>
    </row>
    <row r="36" spans="2:26" x14ac:dyDescent="0.2">
      <c r="B36" s="347">
        <f t="shared" si="10"/>
        <v>46256</v>
      </c>
      <c r="C36" s="348" t="s">
        <v>237</v>
      </c>
      <c r="D36" s="342">
        <f>'Scores and stats'!KP108</f>
        <v>0</v>
      </c>
      <c r="E36" s="342">
        <f>'Scores and stats'!KQ108</f>
        <v>0</v>
      </c>
      <c r="F36" s="342">
        <f>'Scores and stats'!KR108</f>
        <v>0</v>
      </c>
      <c r="G36" s="342">
        <f>'Scores and stats'!KS108</f>
        <v>0</v>
      </c>
      <c r="H36" s="342">
        <f>'Scores and stats'!KT108</f>
        <v>0</v>
      </c>
      <c r="I36" s="343">
        <f>'Scores and stats'!KU108</f>
        <v>0</v>
      </c>
      <c r="J36" s="344"/>
      <c r="K36" s="344">
        <f t="shared" si="0"/>
        <v>0</v>
      </c>
      <c r="P36" s="416"/>
      <c r="Q36" s="417"/>
      <c r="R36" s="417"/>
      <c r="S36" s="417"/>
      <c r="V36" s="419">
        <f t="shared" si="11"/>
        <v>46256</v>
      </c>
      <c r="W36" s="262">
        <f t="shared" si="92"/>
        <v>0</v>
      </c>
      <c r="X36" s="262">
        <f t="shared" si="93"/>
        <v>0</v>
      </c>
      <c r="Y36" s="262">
        <f t="shared" si="94"/>
        <v>0</v>
      </c>
      <c r="Z36" s="262">
        <f t="shared" si="95"/>
        <v>0</v>
      </c>
    </row>
    <row r="37" spans="2:26" x14ac:dyDescent="0.2">
      <c r="B37" s="349">
        <f t="shared" si="10"/>
        <v>46263</v>
      </c>
      <c r="C37" s="350"/>
      <c r="D37" s="240">
        <f>'Scores and stats'!KY108</f>
        <v>0</v>
      </c>
      <c r="E37" s="240">
        <f>'Scores and stats'!KZ108</f>
        <v>0</v>
      </c>
      <c r="F37" s="240">
        <f>'Scores and stats'!LA108</f>
        <v>0</v>
      </c>
      <c r="G37" s="240">
        <f>'Scores and stats'!LB108</f>
        <v>0</v>
      </c>
      <c r="H37" s="240">
        <f>'Scores and stats'!LC108</f>
        <v>0</v>
      </c>
      <c r="I37" s="341">
        <f>'Scores and stats'!LD108</f>
        <v>0</v>
      </c>
      <c r="J37" s="243"/>
      <c r="K37" s="243">
        <f t="shared" si="0"/>
        <v>0</v>
      </c>
      <c r="P37" s="242">
        <f t="shared" si="2"/>
        <v>0</v>
      </c>
      <c r="Q37" s="241">
        <f t="shared" si="3"/>
        <v>0</v>
      </c>
      <c r="R37" s="241">
        <f t="shared" si="4"/>
        <v>0</v>
      </c>
      <c r="S37" s="241">
        <f t="shared" si="5"/>
        <v>0</v>
      </c>
      <c r="V37" s="418">
        <f t="shared" si="11"/>
        <v>46263</v>
      </c>
      <c r="W37" s="262">
        <f t="shared" ref="W37:W40" si="96">D37</f>
        <v>0</v>
      </c>
      <c r="X37" s="262">
        <f t="shared" ref="X37:X40" si="97">F37</f>
        <v>0</v>
      </c>
      <c r="Y37" s="262">
        <f t="shared" ref="Y37:Y40" si="98">G37</f>
        <v>0</v>
      </c>
      <c r="Z37" s="262">
        <f t="shared" ref="Z37:Z40" si="99">H37</f>
        <v>0</v>
      </c>
    </row>
    <row r="38" spans="2:26" x14ac:dyDescent="0.2">
      <c r="B38" s="349">
        <f t="shared" si="10"/>
        <v>46270</v>
      </c>
      <c r="C38" s="350"/>
      <c r="D38" s="240">
        <f>'Scores and stats'!LH108</f>
        <v>0</v>
      </c>
      <c r="E38" s="240">
        <f>'Scores and stats'!LI108</f>
        <v>0</v>
      </c>
      <c r="F38" s="240">
        <f>'Scores and stats'!LJ108</f>
        <v>0</v>
      </c>
      <c r="G38" s="240">
        <f>'Scores and stats'!LK108</f>
        <v>0</v>
      </c>
      <c r="H38" s="240">
        <f>'Scores and stats'!LL108</f>
        <v>0</v>
      </c>
      <c r="I38" s="341">
        <f>'Scores and stats'!LM108</f>
        <v>0</v>
      </c>
      <c r="J38" s="243"/>
      <c r="K38" s="243">
        <f t="shared" si="0"/>
        <v>0</v>
      </c>
      <c r="P38" s="242">
        <f t="shared" si="2"/>
        <v>0</v>
      </c>
      <c r="Q38" s="241">
        <f t="shared" si="3"/>
        <v>0</v>
      </c>
      <c r="R38" s="241">
        <f t="shared" si="4"/>
        <v>0</v>
      </c>
      <c r="S38" s="241">
        <f t="shared" si="5"/>
        <v>0</v>
      </c>
      <c r="V38" s="418">
        <f t="shared" si="11"/>
        <v>46270</v>
      </c>
      <c r="W38" s="262">
        <f t="shared" si="96"/>
        <v>0</v>
      </c>
      <c r="X38" s="262">
        <f t="shared" si="97"/>
        <v>0</v>
      </c>
      <c r="Y38" s="262">
        <f t="shared" si="98"/>
        <v>0</v>
      </c>
      <c r="Z38" s="262">
        <f t="shared" si="99"/>
        <v>0</v>
      </c>
    </row>
    <row r="39" spans="2:26" x14ac:dyDescent="0.2">
      <c r="B39" s="349">
        <f t="shared" si="10"/>
        <v>46277</v>
      </c>
      <c r="C39" s="350"/>
      <c r="D39" s="240">
        <f>'Scores and stats'!LQ108</f>
        <v>0</v>
      </c>
      <c r="E39" s="240">
        <f>'Scores and stats'!LR108</f>
        <v>0</v>
      </c>
      <c r="F39" s="240">
        <f>'Scores and stats'!LS108</f>
        <v>0</v>
      </c>
      <c r="G39" s="240">
        <f>'Scores and stats'!LT108</f>
        <v>0</v>
      </c>
      <c r="H39" s="240">
        <f>'Scores and stats'!LU108</f>
        <v>0</v>
      </c>
      <c r="I39" s="341">
        <f>'Scores and stats'!LV108</f>
        <v>0</v>
      </c>
      <c r="J39" s="243"/>
      <c r="K39" s="243">
        <f t="shared" si="0"/>
        <v>0</v>
      </c>
      <c r="P39" s="242">
        <f t="shared" si="2"/>
        <v>0</v>
      </c>
      <c r="Q39" s="241">
        <f t="shared" si="3"/>
        <v>0</v>
      </c>
      <c r="R39" s="241">
        <f t="shared" si="4"/>
        <v>0</v>
      </c>
      <c r="S39" s="241">
        <f t="shared" si="5"/>
        <v>0</v>
      </c>
      <c r="V39" s="418">
        <f t="shared" si="11"/>
        <v>46277</v>
      </c>
      <c r="W39" s="262">
        <f t="shared" si="96"/>
        <v>0</v>
      </c>
      <c r="X39" s="262">
        <f t="shared" si="97"/>
        <v>0</v>
      </c>
      <c r="Y39" s="262">
        <f t="shared" si="98"/>
        <v>0</v>
      </c>
      <c r="Z39" s="262">
        <f t="shared" si="99"/>
        <v>0</v>
      </c>
    </row>
    <row r="40" spans="2:26" x14ac:dyDescent="0.2">
      <c r="B40" s="349">
        <f t="shared" si="10"/>
        <v>46284</v>
      </c>
      <c r="C40" s="350" t="s">
        <v>269</v>
      </c>
      <c r="D40" s="240">
        <f>'Scores and stats'!LZ108</f>
        <v>0</v>
      </c>
      <c r="E40" s="240">
        <f>'Scores and stats'!MA108</f>
        <v>0</v>
      </c>
      <c r="F40" s="240">
        <f>'Scores and stats'!MB108</f>
        <v>0</v>
      </c>
      <c r="G40" s="240">
        <f>'Scores and stats'!MC108</f>
        <v>0</v>
      </c>
      <c r="H40" s="240">
        <f>'Scores and stats'!MD108</f>
        <v>0</v>
      </c>
      <c r="I40" s="341">
        <f>'Scores and stats'!ME108</f>
        <v>0</v>
      </c>
      <c r="J40" s="243"/>
      <c r="K40" s="243">
        <f t="shared" si="0"/>
        <v>0</v>
      </c>
      <c r="P40" s="242">
        <f t="shared" si="2"/>
        <v>0</v>
      </c>
      <c r="Q40" s="241">
        <f t="shared" si="3"/>
        <v>0</v>
      </c>
      <c r="R40" s="241">
        <f t="shared" si="4"/>
        <v>0</v>
      </c>
      <c r="S40" s="241">
        <f t="shared" si="5"/>
        <v>0</v>
      </c>
      <c r="V40" s="418">
        <f t="shared" si="11"/>
        <v>46284</v>
      </c>
      <c r="W40" s="262">
        <f t="shared" si="96"/>
        <v>0</v>
      </c>
      <c r="X40" s="262">
        <f t="shared" si="97"/>
        <v>0</v>
      </c>
      <c r="Y40" s="262">
        <f t="shared" si="98"/>
        <v>0</v>
      </c>
      <c r="Z40" s="262">
        <f t="shared" si="99"/>
        <v>0</v>
      </c>
    </row>
    <row r="41" spans="2:26" x14ac:dyDescent="0.2">
      <c r="B41" s="349">
        <f t="shared" si="10"/>
        <v>46291</v>
      </c>
      <c r="C41" s="350"/>
      <c r="D41" s="240">
        <f>'Scores and stats'!MI108</f>
        <v>0</v>
      </c>
      <c r="E41" s="240">
        <f>'Scores and stats'!MJ108</f>
        <v>0</v>
      </c>
      <c r="F41" s="240">
        <f>'Scores and stats'!MK108</f>
        <v>0</v>
      </c>
      <c r="G41" s="240">
        <f>'Scores and stats'!ML108</f>
        <v>0</v>
      </c>
      <c r="H41" s="240">
        <f>'Scores and stats'!MM108</f>
        <v>0</v>
      </c>
      <c r="I41" s="341">
        <f>'Scores and stats'!MN108</f>
        <v>0</v>
      </c>
      <c r="J41" s="243"/>
      <c r="K41" s="243">
        <f t="shared" si="0"/>
        <v>0</v>
      </c>
      <c r="P41" s="242">
        <f t="shared" si="2"/>
        <v>0</v>
      </c>
      <c r="Q41" s="241">
        <f t="shared" si="3"/>
        <v>0</v>
      </c>
      <c r="R41" s="241">
        <f t="shared" si="4"/>
        <v>0</v>
      </c>
      <c r="S41" s="241">
        <f t="shared" si="5"/>
        <v>0</v>
      </c>
      <c r="V41" s="418">
        <f t="shared" si="11"/>
        <v>46291</v>
      </c>
      <c r="W41" s="262">
        <f t="shared" ref="W41" si="100">D41</f>
        <v>0</v>
      </c>
      <c r="X41" s="262">
        <f t="shared" ref="X41" si="101">F41</f>
        <v>0</v>
      </c>
      <c r="Y41" s="262">
        <f t="shared" ref="Y41" si="102">G41</f>
        <v>0</v>
      </c>
      <c r="Z41" s="262">
        <f t="shared" ref="Z41" si="103">H41</f>
        <v>0</v>
      </c>
    </row>
    <row r="42" spans="2:26" x14ac:dyDescent="0.2">
      <c r="B42" s="349">
        <f t="shared" si="10"/>
        <v>46298</v>
      </c>
      <c r="C42" s="350"/>
      <c r="D42" s="240">
        <f>'Scores and stats'!MR108</f>
        <v>0</v>
      </c>
      <c r="E42" s="240">
        <f>'Scores and stats'!MS108</f>
        <v>0</v>
      </c>
      <c r="F42" s="240">
        <f>'Scores and stats'!MT108</f>
        <v>0</v>
      </c>
      <c r="G42" s="240">
        <f>'Scores and stats'!MU108</f>
        <v>0</v>
      </c>
      <c r="H42" s="240">
        <f>'Scores and stats'!MV108</f>
        <v>0</v>
      </c>
      <c r="I42" s="341">
        <f>'Scores and stats'!MW108</f>
        <v>0</v>
      </c>
      <c r="J42" s="243"/>
      <c r="K42" s="243">
        <f t="shared" si="0"/>
        <v>0</v>
      </c>
      <c r="P42" s="242">
        <f t="shared" si="2"/>
        <v>0</v>
      </c>
      <c r="Q42" s="241">
        <f t="shared" si="3"/>
        <v>0</v>
      </c>
      <c r="R42" s="241">
        <f t="shared" si="4"/>
        <v>0</v>
      </c>
      <c r="S42" s="241">
        <f t="shared" si="5"/>
        <v>0</v>
      </c>
      <c r="V42" s="418">
        <f t="shared" si="11"/>
        <v>46298</v>
      </c>
      <c r="W42" s="262">
        <f t="shared" ref="W42:W43" si="104">D42</f>
        <v>0</v>
      </c>
      <c r="X42" s="262">
        <f t="shared" ref="X42:X43" si="105">F42</f>
        <v>0</v>
      </c>
      <c r="Y42" s="262">
        <f t="shared" ref="Y42:Y43" si="106">G42</f>
        <v>0</v>
      </c>
      <c r="Z42" s="262">
        <f t="shared" ref="Z42:Z43" si="107">H42</f>
        <v>0</v>
      </c>
    </row>
    <row r="43" spans="2:26" x14ac:dyDescent="0.2">
      <c r="B43" s="349">
        <f t="shared" si="10"/>
        <v>46305</v>
      </c>
      <c r="C43" s="350"/>
      <c r="D43" s="240">
        <f>'Scores and stats'!NA108</f>
        <v>0</v>
      </c>
      <c r="E43" s="240">
        <f>'Scores and stats'!NB108</f>
        <v>0</v>
      </c>
      <c r="F43" s="240">
        <f>'Scores and stats'!NC108</f>
        <v>0</v>
      </c>
      <c r="G43" s="240">
        <f>'Scores and stats'!ND108</f>
        <v>0</v>
      </c>
      <c r="H43" s="240">
        <f>'Scores and stats'!NE108</f>
        <v>0</v>
      </c>
      <c r="I43" s="341">
        <f>'Scores and stats'!NF108</f>
        <v>0</v>
      </c>
      <c r="J43" s="243"/>
      <c r="K43" s="243">
        <f t="shared" si="0"/>
        <v>0</v>
      </c>
      <c r="P43" s="242">
        <f t="shared" si="2"/>
        <v>0</v>
      </c>
      <c r="Q43" s="241">
        <f t="shared" si="3"/>
        <v>0</v>
      </c>
      <c r="R43" s="241">
        <f t="shared" si="4"/>
        <v>0</v>
      </c>
      <c r="S43" s="241">
        <f t="shared" si="5"/>
        <v>0</v>
      </c>
      <c r="V43" s="418">
        <f t="shared" si="11"/>
        <v>46305</v>
      </c>
      <c r="W43" s="262">
        <f t="shared" si="104"/>
        <v>0</v>
      </c>
      <c r="X43" s="262">
        <f t="shared" si="105"/>
        <v>0</v>
      </c>
      <c r="Y43" s="262">
        <f t="shared" si="106"/>
        <v>0</v>
      </c>
      <c r="Z43" s="262">
        <f t="shared" si="107"/>
        <v>0</v>
      </c>
    </row>
    <row r="44" spans="2:26" x14ac:dyDescent="0.2">
      <c r="B44" s="349">
        <f t="shared" si="10"/>
        <v>46312</v>
      </c>
      <c r="C44" s="350"/>
      <c r="D44" s="240">
        <f>'Scores and stats'!NJ108</f>
        <v>0</v>
      </c>
      <c r="E44" s="240">
        <f>'Scores and stats'!NK108</f>
        <v>0</v>
      </c>
      <c r="F44" s="240">
        <f>'Scores and stats'!NL108</f>
        <v>0</v>
      </c>
      <c r="G44" s="240">
        <f>'Scores and stats'!NM108</f>
        <v>0</v>
      </c>
      <c r="H44" s="240">
        <f>'Scores and stats'!NN108</f>
        <v>0</v>
      </c>
      <c r="I44" s="341">
        <f>'Scores and stats'!NO108</f>
        <v>0</v>
      </c>
      <c r="J44" s="243"/>
      <c r="K44" s="243">
        <f t="shared" si="0"/>
        <v>0</v>
      </c>
      <c r="P44" s="242">
        <f t="shared" si="2"/>
        <v>0</v>
      </c>
      <c r="Q44" s="241">
        <f t="shared" si="3"/>
        <v>0</v>
      </c>
      <c r="R44" s="241">
        <f t="shared" si="4"/>
        <v>0</v>
      </c>
      <c r="S44" s="241">
        <f t="shared" si="5"/>
        <v>0</v>
      </c>
      <c r="V44" s="418">
        <f t="shared" si="11"/>
        <v>46312</v>
      </c>
      <c r="W44" s="262">
        <f t="shared" ref="W44" si="108">D44</f>
        <v>0</v>
      </c>
      <c r="X44" s="262">
        <f t="shared" ref="X44" si="109">F44</f>
        <v>0</v>
      </c>
      <c r="Y44" s="262">
        <f t="shared" ref="Y44" si="110">G44</f>
        <v>0</v>
      </c>
      <c r="Z44" s="262">
        <f t="shared" ref="Z44" si="111">H44</f>
        <v>0</v>
      </c>
    </row>
    <row r="45" spans="2:26" x14ac:dyDescent="0.2">
      <c r="B45" s="349">
        <f t="shared" si="10"/>
        <v>46319</v>
      </c>
      <c r="C45" s="350"/>
      <c r="D45" s="240">
        <f>'Scores and stats'!NS108</f>
        <v>0</v>
      </c>
      <c r="E45" s="240">
        <f>'Scores and stats'!NT108</f>
        <v>0</v>
      </c>
      <c r="F45" s="240">
        <f>'Scores and stats'!NU108</f>
        <v>0</v>
      </c>
      <c r="G45" s="240">
        <f>'Scores and stats'!NV108</f>
        <v>0</v>
      </c>
      <c r="H45" s="240">
        <f>'Scores and stats'!NW108</f>
        <v>0</v>
      </c>
      <c r="I45" s="341">
        <f>'Scores and stats'!NX108</f>
        <v>0</v>
      </c>
      <c r="J45" s="243"/>
      <c r="K45" s="243">
        <f t="shared" si="0"/>
        <v>0</v>
      </c>
      <c r="P45" s="242">
        <f t="shared" si="2"/>
        <v>0</v>
      </c>
      <c r="Q45" s="241">
        <f t="shared" si="3"/>
        <v>0</v>
      </c>
      <c r="R45" s="241">
        <f t="shared" si="4"/>
        <v>0</v>
      </c>
      <c r="S45" s="241">
        <f t="shared" si="5"/>
        <v>0</v>
      </c>
      <c r="V45" s="418">
        <f t="shared" si="11"/>
        <v>46319</v>
      </c>
      <c r="W45" s="262">
        <f t="shared" ref="W45:W47" si="112">D45</f>
        <v>0</v>
      </c>
      <c r="X45" s="262">
        <f t="shared" ref="X45:X47" si="113">F45</f>
        <v>0</v>
      </c>
      <c r="Y45" s="262">
        <f t="shared" ref="Y45:Y47" si="114">G45</f>
        <v>0</v>
      </c>
      <c r="Z45" s="262">
        <f t="shared" ref="Z45:Z47" si="115">H45</f>
        <v>0</v>
      </c>
    </row>
    <row r="46" spans="2:26" x14ac:dyDescent="0.2">
      <c r="B46" s="349">
        <f t="shared" si="10"/>
        <v>46326</v>
      </c>
      <c r="C46" s="350"/>
      <c r="D46" s="240">
        <f>'Scores and stats'!OB108</f>
        <v>0</v>
      </c>
      <c r="E46" s="240">
        <f>'Scores and stats'!OC108</f>
        <v>0</v>
      </c>
      <c r="F46" s="240">
        <f>'Scores and stats'!OD108</f>
        <v>0</v>
      </c>
      <c r="G46" s="240">
        <f>'Scores and stats'!OE108</f>
        <v>0</v>
      </c>
      <c r="H46" s="240">
        <f>'Scores and stats'!OF108</f>
        <v>0</v>
      </c>
      <c r="I46" s="341">
        <f>'Scores and stats'!OG108</f>
        <v>0</v>
      </c>
      <c r="J46" s="243"/>
      <c r="K46" s="243">
        <f t="shared" si="0"/>
        <v>0</v>
      </c>
      <c r="P46" s="242">
        <f t="shared" si="2"/>
        <v>0</v>
      </c>
      <c r="Q46" s="241">
        <f t="shared" si="3"/>
        <v>0</v>
      </c>
      <c r="R46" s="241">
        <f t="shared" si="4"/>
        <v>0</v>
      </c>
      <c r="S46" s="241">
        <f t="shared" si="5"/>
        <v>0</v>
      </c>
      <c r="V46" s="418">
        <f t="shared" si="11"/>
        <v>46326</v>
      </c>
      <c r="W46" s="262">
        <f t="shared" si="112"/>
        <v>0</v>
      </c>
      <c r="X46" s="262">
        <f t="shared" si="113"/>
        <v>0</v>
      </c>
      <c r="Y46" s="262">
        <f t="shared" si="114"/>
        <v>0</v>
      </c>
      <c r="Z46" s="262">
        <f t="shared" si="115"/>
        <v>0</v>
      </c>
    </row>
    <row r="47" spans="2:26" x14ac:dyDescent="0.2">
      <c r="B47" s="349">
        <f t="shared" si="10"/>
        <v>46333</v>
      </c>
      <c r="C47" s="350"/>
      <c r="D47" s="240">
        <f>'Scores and stats'!OK108</f>
        <v>0</v>
      </c>
      <c r="E47" s="240">
        <f>'Scores and stats'!OL108</f>
        <v>0</v>
      </c>
      <c r="F47" s="240">
        <f>'Scores and stats'!OM108</f>
        <v>0</v>
      </c>
      <c r="G47" s="240">
        <f>'Scores and stats'!ON108</f>
        <v>0</v>
      </c>
      <c r="H47" s="240">
        <f>'Scores and stats'!OO108</f>
        <v>0</v>
      </c>
      <c r="I47" s="341">
        <f>'Scores and stats'!OP108</f>
        <v>0</v>
      </c>
      <c r="J47" s="243"/>
      <c r="K47" s="243">
        <f t="shared" si="0"/>
        <v>0</v>
      </c>
      <c r="P47" s="242">
        <f t="shared" si="2"/>
        <v>0</v>
      </c>
      <c r="Q47" s="241">
        <f t="shared" si="3"/>
        <v>0</v>
      </c>
      <c r="R47" s="241">
        <f t="shared" si="4"/>
        <v>0</v>
      </c>
      <c r="S47" s="241">
        <f t="shared" si="5"/>
        <v>0</v>
      </c>
      <c r="V47" s="418">
        <f t="shared" si="11"/>
        <v>46333</v>
      </c>
      <c r="W47" s="262">
        <f t="shared" si="112"/>
        <v>0</v>
      </c>
      <c r="X47" s="262">
        <f t="shared" si="113"/>
        <v>0</v>
      </c>
      <c r="Y47" s="262">
        <f t="shared" si="114"/>
        <v>0</v>
      </c>
      <c r="Z47" s="262">
        <f t="shared" si="115"/>
        <v>0</v>
      </c>
    </row>
    <row r="48" spans="2:26" x14ac:dyDescent="0.2">
      <c r="B48" s="349">
        <f t="shared" si="10"/>
        <v>46340</v>
      </c>
      <c r="C48" s="350"/>
      <c r="D48" s="240">
        <f>'Scores and stats'!OT108</f>
        <v>0</v>
      </c>
      <c r="E48" s="240">
        <f>'Scores and stats'!OU108</f>
        <v>0</v>
      </c>
      <c r="F48" s="240">
        <f>'Scores and stats'!OV108</f>
        <v>0</v>
      </c>
      <c r="G48" s="240">
        <f>'Scores and stats'!OW108</f>
        <v>0</v>
      </c>
      <c r="H48" s="240">
        <f>'Scores and stats'!OX108</f>
        <v>0</v>
      </c>
      <c r="I48" s="341">
        <f>'Scores and stats'!OY108</f>
        <v>0</v>
      </c>
      <c r="J48" s="243"/>
      <c r="K48" s="243">
        <f t="shared" si="0"/>
        <v>0</v>
      </c>
      <c r="P48" s="242">
        <f t="shared" si="2"/>
        <v>0</v>
      </c>
      <c r="Q48" s="241">
        <f t="shared" si="3"/>
        <v>0</v>
      </c>
      <c r="R48" s="241">
        <f t="shared" si="4"/>
        <v>0</v>
      </c>
      <c r="S48" s="241">
        <f t="shared" si="5"/>
        <v>0</v>
      </c>
      <c r="V48" s="418">
        <f t="shared" si="11"/>
        <v>46340</v>
      </c>
      <c r="W48" s="262">
        <f t="shared" ref="W48" si="116">D48</f>
        <v>0</v>
      </c>
      <c r="X48" s="262">
        <f t="shared" ref="X48" si="117">F48</f>
        <v>0</v>
      </c>
      <c r="Y48" s="262">
        <f t="shared" ref="Y48" si="118">G48</f>
        <v>0</v>
      </c>
      <c r="Z48" s="262">
        <f t="shared" ref="Z48" si="119">H48</f>
        <v>0</v>
      </c>
    </row>
    <row r="49" spans="2:26" x14ac:dyDescent="0.2">
      <c r="B49" s="349">
        <f t="shared" si="10"/>
        <v>46347</v>
      </c>
      <c r="C49" s="350"/>
      <c r="D49" s="240">
        <f>'Scores and stats'!PC108</f>
        <v>0</v>
      </c>
      <c r="E49" s="240">
        <f>'Scores and stats'!PD108</f>
        <v>0</v>
      </c>
      <c r="F49" s="240">
        <f>'Scores and stats'!PE108</f>
        <v>0</v>
      </c>
      <c r="G49" s="240">
        <f>'Scores and stats'!PF108</f>
        <v>0</v>
      </c>
      <c r="H49" s="240">
        <f>'Scores and stats'!PG108</f>
        <v>0</v>
      </c>
      <c r="I49" s="341">
        <f>'Scores and stats'!PH108</f>
        <v>0</v>
      </c>
      <c r="J49" s="243"/>
      <c r="K49" s="243">
        <f t="shared" si="0"/>
        <v>0</v>
      </c>
      <c r="P49" s="242">
        <f t="shared" si="2"/>
        <v>0</v>
      </c>
      <c r="Q49" s="241">
        <f t="shared" si="3"/>
        <v>0</v>
      </c>
      <c r="R49" s="241">
        <f t="shared" si="4"/>
        <v>0</v>
      </c>
      <c r="S49" s="241">
        <f t="shared" si="5"/>
        <v>0</v>
      </c>
      <c r="V49" s="418">
        <f t="shared" si="11"/>
        <v>46347</v>
      </c>
      <c r="W49" s="262">
        <f t="shared" ref="W49" si="120">D49</f>
        <v>0</v>
      </c>
      <c r="X49" s="262">
        <f t="shared" ref="X49" si="121">F49</f>
        <v>0</v>
      </c>
      <c r="Y49" s="262">
        <f t="shared" ref="Y49" si="122">G49</f>
        <v>0</v>
      </c>
      <c r="Z49" s="262">
        <f t="shared" ref="Z49" si="123">H49</f>
        <v>0</v>
      </c>
    </row>
    <row r="50" spans="2:26" x14ac:dyDescent="0.2">
      <c r="B50" s="347">
        <f t="shared" si="10"/>
        <v>46354</v>
      </c>
      <c r="C50" s="348" t="s">
        <v>188</v>
      </c>
      <c r="D50" s="342">
        <f>'Scores and stats'!PL108</f>
        <v>0</v>
      </c>
      <c r="E50" s="342">
        <f>'Scores and stats'!PM108</f>
        <v>0</v>
      </c>
      <c r="F50" s="342">
        <f>'Scores and stats'!PN108</f>
        <v>0</v>
      </c>
      <c r="G50" s="342">
        <f>'Scores and stats'!PO108</f>
        <v>0</v>
      </c>
      <c r="H50" s="342">
        <f>'Scores and stats'!PP108</f>
        <v>0</v>
      </c>
      <c r="I50" s="345">
        <f>'Scores and stats'!PQ108</f>
        <v>0</v>
      </c>
      <c r="J50" s="346"/>
      <c r="K50" s="344">
        <f t="shared" si="0"/>
        <v>0</v>
      </c>
      <c r="P50" s="416"/>
      <c r="Q50" s="417"/>
      <c r="R50" s="417"/>
      <c r="S50" s="417"/>
      <c r="V50" s="419">
        <f t="shared" si="11"/>
        <v>46354</v>
      </c>
      <c r="W50" s="262">
        <f t="shared" ref="W50:W51" si="124">D50</f>
        <v>0</v>
      </c>
      <c r="X50" s="262">
        <f t="shared" ref="X50:X51" si="125">F50</f>
        <v>0</v>
      </c>
      <c r="Y50" s="262">
        <f t="shared" ref="Y50:Y51" si="126">G50</f>
        <v>0</v>
      </c>
      <c r="Z50" s="262">
        <f t="shared" ref="Z50:Z51" si="127">H50</f>
        <v>0</v>
      </c>
    </row>
    <row r="51" spans="2:26" x14ac:dyDescent="0.2">
      <c r="B51" s="351">
        <f t="shared" si="10"/>
        <v>46361</v>
      </c>
      <c r="C51" s="352" t="s">
        <v>238</v>
      </c>
      <c r="D51" s="353">
        <f>'Scores and stats'!PU108</f>
        <v>0</v>
      </c>
      <c r="E51" s="353">
        <f>'Scores and stats'!PV108</f>
        <v>0</v>
      </c>
      <c r="F51" s="353">
        <f>'Scores and stats'!PW108</f>
        <v>0</v>
      </c>
      <c r="G51" s="353">
        <f>'Scores and stats'!PX108</f>
        <v>0</v>
      </c>
      <c r="H51" s="353">
        <f>'Scores and stats'!PY108</f>
        <v>0</v>
      </c>
      <c r="I51" s="354">
        <f>'Scores and stats'!PZ108</f>
        <v>0</v>
      </c>
      <c r="J51" s="355"/>
      <c r="K51" s="356">
        <f t="shared" si="0"/>
        <v>0</v>
      </c>
      <c r="P51" s="242">
        <f t="shared" si="2"/>
        <v>0</v>
      </c>
      <c r="Q51" s="241">
        <f t="shared" si="3"/>
        <v>0</v>
      </c>
      <c r="R51" s="241">
        <f t="shared" si="4"/>
        <v>0</v>
      </c>
      <c r="S51" s="241">
        <f t="shared" si="5"/>
        <v>0</v>
      </c>
      <c r="V51" s="420">
        <f t="shared" si="11"/>
        <v>46361</v>
      </c>
      <c r="W51" s="262">
        <f t="shared" si="124"/>
        <v>0</v>
      </c>
      <c r="X51" s="262">
        <f t="shared" si="125"/>
        <v>0</v>
      </c>
      <c r="Y51" s="262">
        <f t="shared" si="126"/>
        <v>0</v>
      </c>
      <c r="Z51" s="262">
        <f t="shared" si="127"/>
        <v>0</v>
      </c>
    </row>
    <row r="52" spans="2:26" x14ac:dyDescent="0.2">
      <c r="B52" s="349">
        <f t="shared" si="10"/>
        <v>46368</v>
      </c>
      <c r="C52" s="350"/>
      <c r="D52" s="240">
        <f>'Scores and stats'!QD108</f>
        <v>0</v>
      </c>
      <c r="E52" s="240">
        <f>'Scores and stats'!QE108</f>
        <v>0</v>
      </c>
      <c r="F52" s="240">
        <f>'Scores and stats'!QF108</f>
        <v>0</v>
      </c>
      <c r="G52" s="240">
        <f>'Scores and stats'!QG108</f>
        <v>0</v>
      </c>
      <c r="H52" s="240">
        <f>'Scores and stats'!QH108</f>
        <v>0</v>
      </c>
      <c r="I52" s="415">
        <f>'Scores and stats'!QI108</f>
        <v>0</v>
      </c>
      <c r="K52" s="243">
        <f t="shared" si="0"/>
        <v>0</v>
      </c>
      <c r="P52" s="242">
        <f t="shared" si="2"/>
        <v>0</v>
      </c>
      <c r="Q52" s="241">
        <f t="shared" si="3"/>
        <v>0</v>
      </c>
      <c r="R52" s="241">
        <f t="shared" si="4"/>
        <v>0</v>
      </c>
      <c r="S52" s="241">
        <f t="shared" si="5"/>
        <v>0</v>
      </c>
      <c r="V52" s="418">
        <f t="shared" si="11"/>
        <v>46368</v>
      </c>
    </row>
    <row r="53" spans="2:26" x14ac:dyDescent="0.2">
      <c r="B53" s="347">
        <f t="shared" si="10"/>
        <v>46375</v>
      </c>
      <c r="C53" s="348" t="s">
        <v>189</v>
      </c>
      <c r="D53" s="342">
        <f>'Scores and stats'!QM108</f>
        <v>0</v>
      </c>
      <c r="E53" s="342">
        <f>'Scores and stats'!QN108</f>
        <v>0</v>
      </c>
      <c r="F53" s="342">
        <f>'Scores and stats'!QO108</f>
        <v>0</v>
      </c>
      <c r="G53" s="342">
        <f>'Scores and stats'!QP108</f>
        <v>0</v>
      </c>
      <c r="H53" s="342">
        <f>'Scores and stats'!QQ108</f>
        <v>0</v>
      </c>
      <c r="I53" s="345">
        <f>'Scores and stats'!QR108</f>
        <v>0</v>
      </c>
      <c r="J53" s="346"/>
      <c r="K53" s="344">
        <f t="shared" si="0"/>
        <v>0</v>
      </c>
      <c r="P53" s="242"/>
      <c r="Q53" s="241"/>
      <c r="R53" s="241"/>
      <c r="S53" s="241"/>
      <c r="V53" s="419">
        <f t="shared" si="11"/>
        <v>46375</v>
      </c>
    </row>
    <row r="54" spans="2:26" x14ac:dyDescent="0.2">
      <c r="B54" s="349">
        <f t="shared" si="10"/>
        <v>46382</v>
      </c>
      <c r="C54" s="350"/>
      <c r="P54" s="242"/>
      <c r="Q54" s="241"/>
      <c r="R54" s="241"/>
      <c r="S54" s="241"/>
      <c r="V54" s="418">
        <f t="shared" si="11"/>
        <v>46382</v>
      </c>
    </row>
    <row r="55" spans="2:26" x14ac:dyDescent="0.2">
      <c r="B55" s="2"/>
      <c r="V55" s="263"/>
    </row>
    <row r="56" spans="2:26" x14ac:dyDescent="0.2">
      <c r="B56" s="244" t="s">
        <v>251</v>
      </c>
      <c r="J56" s="374">
        <f>SUM(J3:J54)</f>
        <v>721.2</v>
      </c>
      <c r="V56" s="263"/>
    </row>
    <row r="57" spans="2:26" x14ac:dyDescent="0.2">
      <c r="B57" s="244" t="s">
        <v>256</v>
      </c>
      <c r="J57" s="374">
        <v>39.49</v>
      </c>
      <c r="V57" s="263"/>
    </row>
    <row r="58" spans="2:26" x14ac:dyDescent="0.2">
      <c r="B58" s="244" t="s">
        <v>254</v>
      </c>
      <c r="J58" s="374"/>
      <c r="M58"/>
      <c r="V58" s="263"/>
    </row>
    <row r="59" spans="2:26" x14ac:dyDescent="0.2">
      <c r="B59" s="244" t="s">
        <v>253</v>
      </c>
      <c r="J59" s="374"/>
      <c r="V59" s="263"/>
    </row>
    <row r="60" spans="2:26" x14ac:dyDescent="0.2">
      <c r="B60" s="244" t="s">
        <v>257</v>
      </c>
      <c r="J60" s="374"/>
      <c r="O60" s="379">
        <f>J60+O61</f>
        <v>0</v>
      </c>
      <c r="P60" t="s">
        <v>258</v>
      </c>
      <c r="V60" s="263"/>
    </row>
    <row r="61" spans="2:26" x14ac:dyDescent="0.2">
      <c r="B61" s="244" t="s">
        <v>250</v>
      </c>
      <c r="J61" s="374">
        <v>624.69000000000005</v>
      </c>
      <c r="O61" s="380"/>
      <c r="P61" t="s">
        <v>259</v>
      </c>
      <c r="V61" s="263"/>
    </row>
    <row r="62" spans="2:26" x14ac:dyDescent="0.2">
      <c r="B62" s="244"/>
      <c r="J62" s="374"/>
      <c r="K62" s="246"/>
    </row>
    <row r="63" spans="2:26" ht="12" thickBot="1" x14ac:dyDescent="0.25">
      <c r="B63" s="244" t="s">
        <v>252</v>
      </c>
      <c r="C63" s="245"/>
      <c r="D63" s="246"/>
      <c r="E63" s="246"/>
      <c r="F63" s="246"/>
      <c r="G63" s="246"/>
      <c r="H63" s="246"/>
      <c r="I63" s="246"/>
      <c r="J63" s="374">
        <f>SUM(J64-(SUM(J60,J61,J59)))</f>
        <v>136</v>
      </c>
    </row>
    <row r="64" spans="2:26" ht="12" thickBot="1" x14ac:dyDescent="0.25">
      <c r="B64" s="254" t="s">
        <v>187</v>
      </c>
      <c r="C64" s="255"/>
      <c r="D64" s="256">
        <f>AVERAGEIF(D3:D50,"&lt;&gt;0")</f>
        <v>14.714285714285714</v>
      </c>
      <c r="E64" s="256">
        <f>SUM(E3:E49)</f>
        <v>5</v>
      </c>
      <c r="F64" s="256">
        <f>SUM(F3:F49)</f>
        <v>339</v>
      </c>
      <c r="G64" s="256">
        <f>SUM(G3:G49)</f>
        <v>1994</v>
      </c>
      <c r="H64" s="256">
        <f>SUM(H3:H49)</f>
        <v>519</v>
      </c>
      <c r="I64" s="257">
        <f>SUM(I3:I49)</f>
        <v>1510.2</v>
      </c>
      <c r="J64" s="257">
        <f>SUM(J56+J57+J58+J59)</f>
        <v>760.69</v>
      </c>
      <c r="K64" s="258">
        <f>SUM(K3:K54)</f>
        <v>789</v>
      </c>
    </row>
    <row r="65" spans="2:11" ht="12" thickBot="1" x14ac:dyDescent="0.25">
      <c r="D65" s="247" t="s">
        <v>193</v>
      </c>
      <c r="E65" s="248" t="s">
        <v>33</v>
      </c>
      <c r="F65" s="248" t="s">
        <v>34</v>
      </c>
      <c r="G65" s="248" t="s">
        <v>31</v>
      </c>
      <c r="H65" s="248" t="s">
        <v>35</v>
      </c>
      <c r="I65" s="248" t="s">
        <v>180</v>
      </c>
      <c r="J65" s="248" t="s">
        <v>255</v>
      </c>
      <c r="K65" s="249" t="s">
        <v>184</v>
      </c>
    </row>
    <row r="69" spans="2:11" x14ac:dyDescent="0.2">
      <c r="C69" s="1" t="s">
        <v>292</v>
      </c>
      <c r="D69" s="1" t="s">
        <v>293</v>
      </c>
      <c r="E69" s="1" t="s">
        <v>294</v>
      </c>
      <c r="F69" s="1" t="s">
        <v>295</v>
      </c>
    </row>
    <row r="70" spans="2:11" x14ac:dyDescent="0.2">
      <c r="B70" t="s">
        <v>247</v>
      </c>
      <c r="D70" s="360">
        <v>340</v>
      </c>
      <c r="E70" s="360">
        <v>3156</v>
      </c>
      <c r="F70" s="360">
        <v>907</v>
      </c>
    </row>
    <row r="71" spans="2:11" x14ac:dyDescent="0.2">
      <c r="B71" t="s">
        <v>244</v>
      </c>
      <c r="C71" s="1">
        <v>5</v>
      </c>
      <c r="D71" s="360">
        <v>645</v>
      </c>
      <c r="E71" s="360">
        <v>5176</v>
      </c>
      <c r="F71" s="360">
        <v>1536</v>
      </c>
    </row>
    <row r="72" spans="2:11" x14ac:dyDescent="0.2">
      <c r="B72" t="s">
        <v>245</v>
      </c>
      <c r="C72" s="1">
        <v>15</v>
      </c>
      <c r="D72" s="360">
        <v>803</v>
      </c>
      <c r="E72" s="360">
        <v>4898</v>
      </c>
      <c r="F72" s="360">
        <v>1552</v>
      </c>
    </row>
    <row r="73" spans="2:11" x14ac:dyDescent="0.2">
      <c r="B73" t="s">
        <v>289</v>
      </c>
      <c r="C73" s="360">
        <f>E64</f>
        <v>5</v>
      </c>
      <c r="D73" s="262">
        <f>F64</f>
        <v>339</v>
      </c>
      <c r="E73" s="262">
        <f>G64</f>
        <v>1994</v>
      </c>
      <c r="F73" s="262">
        <f>H64</f>
        <v>519</v>
      </c>
    </row>
    <row r="74" spans="2:11" x14ac:dyDescent="0.2">
      <c r="B74" t="s">
        <v>290</v>
      </c>
      <c r="C74" s="360"/>
    </row>
    <row r="75" spans="2:11" x14ac:dyDescent="0.2">
      <c r="B75" t="s">
        <v>291</v>
      </c>
      <c r="C75" s="360"/>
    </row>
    <row r="82" spans="3:3" x14ac:dyDescent="0.2">
      <c r="C82" s="360"/>
    </row>
    <row r="83" spans="3:3" x14ac:dyDescent="0.2">
      <c r="C83" s="360"/>
    </row>
    <row r="84" spans="3:3" x14ac:dyDescent="0.2">
      <c r="C84" s="360"/>
    </row>
    <row r="91" spans="3:3" x14ac:dyDescent="0.2">
      <c r="C91" s="360"/>
    </row>
    <row r="92" spans="3:3" x14ac:dyDescent="0.2">
      <c r="C92" s="360"/>
    </row>
    <row r="93" spans="3:3" x14ac:dyDescent="0.2">
      <c r="C93" s="360"/>
    </row>
  </sheetData>
  <mergeCells count="1">
    <mergeCell ref="P1:S1"/>
  </mergeCells>
  <phoneticPr fontId="4" type="noConversion"/>
  <conditionalFormatting sqref="D54">
    <cfRule type="top10" dxfId="27" priority="17" rank="3"/>
    <cfRule type="top10" dxfId="26" priority="18" bottom="1" rank="3"/>
  </conditionalFormatting>
  <conditionalFormatting sqref="E54">
    <cfRule type="top10" dxfId="25" priority="15" rank="3"/>
    <cfRule type="top10" dxfId="24" priority="16" bottom="1" rank="3"/>
  </conditionalFormatting>
  <conditionalFormatting sqref="F54">
    <cfRule type="top10" dxfId="23" priority="13" rank="3"/>
    <cfRule type="top10" dxfId="22" priority="14" bottom="1" rank="3"/>
  </conditionalFormatting>
  <conditionalFormatting sqref="G54">
    <cfRule type="top10" dxfId="21" priority="11" rank="3"/>
    <cfRule type="top10" dxfId="20" priority="12" bottom="1" rank="3"/>
  </conditionalFormatting>
  <conditionalFormatting sqref="H54">
    <cfRule type="top10" dxfId="19" priority="128" rank="3"/>
    <cfRule type="top10" dxfId="18" priority="129" bottom="1" rank="3"/>
  </conditionalFormatting>
  <conditionalFormatting sqref="P3:P54">
    <cfRule type="top10" dxfId="17" priority="7" rank="3"/>
    <cfRule type="top10" dxfId="16" priority="8" bottom="1" rank="3"/>
  </conditionalFormatting>
  <conditionalFormatting sqref="Q3:Q54">
    <cfRule type="top10" dxfId="15" priority="5" rank="3"/>
    <cfRule type="top10" dxfId="14" priority="6" bottom="1" rank="3"/>
  </conditionalFormatting>
  <conditionalFormatting sqref="R3:R54">
    <cfRule type="top10" dxfId="13" priority="3" rank="3"/>
    <cfRule type="top10" dxfId="12" priority="4" bottom="1" rank="3"/>
  </conditionalFormatting>
  <conditionalFormatting sqref="S3:S54">
    <cfRule type="top10" dxfId="11" priority="1" rank="3"/>
    <cfRule type="top10" dxfId="10" priority="2" bottom="1" rank="3"/>
  </conditionalFormatting>
  <pageMargins left="0.7" right="0.7" top="0.75" bottom="0.75" header="0.3" footer="0.3"/>
  <pageSetup paperSize="9" orientation="portrait" r:id="rId1"/>
  <headerFooter>
    <oddFooter>&amp;C&amp;1#&amp;"Calibri"&amp;10&amp;K000000PUBLIC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43EB-911F-49CF-B034-4E8C141BC043}">
  <dimension ref="A1:I43"/>
  <sheetViews>
    <sheetView zoomScale="90" zoomScaleNormal="90" workbookViewId="0">
      <selection activeCell="E30" sqref="E30"/>
    </sheetView>
  </sheetViews>
  <sheetFormatPr defaultRowHeight="11.25" x14ac:dyDescent="0.2"/>
  <cols>
    <col min="1" max="1" width="18.83203125" bestFit="1" customWidth="1"/>
    <col min="2" max="2" width="22.33203125" bestFit="1" customWidth="1"/>
    <col min="8" max="8" width="18.83203125" bestFit="1" customWidth="1"/>
  </cols>
  <sheetData>
    <row r="1" spans="1:9" ht="15" x14ac:dyDescent="0.25">
      <c r="A1" s="365" t="s">
        <v>196</v>
      </c>
      <c r="B1" s="365" t="s">
        <v>248</v>
      </c>
    </row>
    <row r="2" spans="1:9" x14ac:dyDescent="0.2">
      <c r="A2" s="261" t="s">
        <v>144</v>
      </c>
      <c r="B2" s="445">
        <v>76.5</v>
      </c>
      <c r="D2">
        <v>11</v>
      </c>
      <c r="E2" s="445">
        <f>B2/D2</f>
        <v>6.9545454545454541</v>
      </c>
      <c r="G2">
        <v>1</v>
      </c>
      <c r="H2" t="str">
        <f>A2</f>
        <v>Justin Hunt</v>
      </c>
      <c r="I2" s="445">
        <f>B2</f>
        <v>76.5</v>
      </c>
    </row>
    <row r="3" spans="1:9" x14ac:dyDescent="0.2">
      <c r="A3" s="261" t="s">
        <v>146</v>
      </c>
      <c r="B3" s="445">
        <v>71</v>
      </c>
      <c r="G3">
        <v>2</v>
      </c>
      <c r="H3" t="str">
        <f t="shared" ref="H3:H8" si="0">A3</f>
        <v>Chris Smith</v>
      </c>
      <c r="I3" s="445">
        <f t="shared" ref="I3:I8" si="1">B3</f>
        <v>71</v>
      </c>
    </row>
    <row r="4" spans="1:9" x14ac:dyDescent="0.2">
      <c r="A4" s="261" t="s">
        <v>261</v>
      </c>
      <c r="B4" s="445">
        <v>58</v>
      </c>
      <c r="G4">
        <v>3</v>
      </c>
      <c r="H4" t="str">
        <f t="shared" si="0"/>
        <v>Tony Forsyth-James</v>
      </c>
      <c r="I4" s="445">
        <f t="shared" si="1"/>
        <v>58</v>
      </c>
    </row>
    <row r="5" spans="1:9" x14ac:dyDescent="0.2">
      <c r="A5" s="261" t="s">
        <v>232</v>
      </c>
      <c r="B5" s="445">
        <v>46.5</v>
      </c>
      <c r="G5">
        <v>4</v>
      </c>
      <c r="H5" t="str">
        <f t="shared" si="0"/>
        <v>Brad Whitehead</v>
      </c>
      <c r="I5" s="445">
        <f t="shared" si="1"/>
        <v>46.5</v>
      </c>
    </row>
    <row r="6" spans="1:9" x14ac:dyDescent="0.2">
      <c r="A6" s="261" t="s">
        <v>267</v>
      </c>
      <c r="B6" s="445">
        <v>43</v>
      </c>
      <c r="G6">
        <v>5</v>
      </c>
      <c r="H6" t="str">
        <f t="shared" si="0"/>
        <v>Ben Fleet</v>
      </c>
      <c r="I6" s="445">
        <f t="shared" si="1"/>
        <v>43</v>
      </c>
    </row>
    <row r="7" spans="1:9" x14ac:dyDescent="0.2">
      <c r="A7" s="261" t="s">
        <v>234</v>
      </c>
      <c r="B7" s="445">
        <v>40</v>
      </c>
      <c r="G7">
        <v>6</v>
      </c>
      <c r="H7" t="str">
        <f t="shared" si="0"/>
        <v>Jason Wale</v>
      </c>
      <c r="I7" s="445">
        <f t="shared" si="1"/>
        <v>40</v>
      </c>
    </row>
    <row r="8" spans="1:9" x14ac:dyDescent="0.2">
      <c r="A8" s="261" t="s">
        <v>145</v>
      </c>
      <c r="B8" s="445">
        <v>35</v>
      </c>
      <c r="G8">
        <v>7</v>
      </c>
      <c r="H8" t="str">
        <f t="shared" si="0"/>
        <v>Martin Coomber</v>
      </c>
      <c r="I8" s="445">
        <f t="shared" si="1"/>
        <v>35</v>
      </c>
    </row>
    <row r="9" spans="1:9" x14ac:dyDescent="0.2">
      <c r="A9" s="261" t="s">
        <v>92</v>
      </c>
      <c r="B9" s="445">
        <v>32</v>
      </c>
      <c r="G9">
        <v>8</v>
      </c>
      <c r="H9" t="s">
        <v>299</v>
      </c>
      <c r="I9" s="445">
        <f>SUM(B9:B39)</f>
        <v>410.5</v>
      </c>
    </row>
    <row r="10" spans="1:9" x14ac:dyDescent="0.2">
      <c r="A10" s="261" t="s">
        <v>107</v>
      </c>
      <c r="B10" s="445">
        <v>28.5</v>
      </c>
      <c r="I10" s="445"/>
    </row>
    <row r="11" spans="1:9" x14ac:dyDescent="0.2">
      <c r="A11" s="261" t="s">
        <v>186</v>
      </c>
      <c r="B11" s="445">
        <v>27.5</v>
      </c>
      <c r="I11" s="445"/>
    </row>
    <row r="12" spans="1:9" x14ac:dyDescent="0.2">
      <c r="A12" s="261" t="s">
        <v>266</v>
      </c>
      <c r="B12" s="445">
        <v>26</v>
      </c>
      <c r="I12" s="445"/>
    </row>
    <row r="13" spans="1:9" x14ac:dyDescent="0.2">
      <c r="A13" s="261" t="s">
        <v>241</v>
      </c>
      <c r="B13" s="445">
        <v>21</v>
      </c>
    </row>
    <row r="14" spans="1:9" x14ac:dyDescent="0.2">
      <c r="A14" s="261" t="s">
        <v>265</v>
      </c>
      <c r="B14" s="445">
        <v>17</v>
      </c>
    </row>
    <row r="15" spans="1:9" x14ac:dyDescent="0.2">
      <c r="A15" s="261" t="s">
        <v>121</v>
      </c>
      <c r="B15" s="445">
        <v>16.5</v>
      </c>
    </row>
    <row r="16" spans="1:9" x14ac:dyDescent="0.2">
      <c r="A16" s="261" t="s">
        <v>90</v>
      </c>
      <c r="B16" s="445">
        <v>16</v>
      </c>
    </row>
    <row r="17" spans="1:2" x14ac:dyDescent="0.2">
      <c r="A17" s="261" t="s">
        <v>105</v>
      </c>
      <c r="B17" s="445">
        <v>15</v>
      </c>
    </row>
    <row r="18" spans="1:2" x14ac:dyDescent="0.2">
      <c r="A18" s="261" t="s">
        <v>297</v>
      </c>
      <c r="B18" s="445">
        <v>15</v>
      </c>
    </row>
    <row r="19" spans="1:2" x14ac:dyDescent="0.2">
      <c r="A19" s="261" t="s">
        <v>246</v>
      </c>
      <c r="B19" s="445">
        <v>14</v>
      </c>
    </row>
    <row r="20" spans="1:2" x14ac:dyDescent="0.2">
      <c r="A20" s="261" t="s">
        <v>111</v>
      </c>
      <c r="B20" s="445">
        <v>14</v>
      </c>
    </row>
    <row r="21" spans="1:2" x14ac:dyDescent="0.2">
      <c r="A21" s="261" t="s">
        <v>103</v>
      </c>
      <c r="B21" s="445">
        <v>14</v>
      </c>
    </row>
    <row r="22" spans="1:2" x14ac:dyDescent="0.2">
      <c r="A22" s="261" t="s">
        <v>88</v>
      </c>
      <c r="B22" s="445">
        <v>13.5</v>
      </c>
    </row>
    <row r="23" spans="1:2" x14ac:dyDescent="0.2">
      <c r="A23" s="261" t="s">
        <v>156</v>
      </c>
      <c r="B23" s="445">
        <v>12.5</v>
      </c>
    </row>
    <row r="24" spans="1:2" x14ac:dyDescent="0.2">
      <c r="A24" s="261" t="s">
        <v>175</v>
      </c>
      <c r="B24" s="445">
        <v>11</v>
      </c>
    </row>
    <row r="25" spans="1:2" x14ac:dyDescent="0.2">
      <c r="A25" s="261" t="s">
        <v>93</v>
      </c>
      <c r="B25" s="445">
        <v>10.5</v>
      </c>
    </row>
    <row r="26" spans="1:2" x14ac:dyDescent="0.2">
      <c r="A26" s="261" t="s">
        <v>154</v>
      </c>
      <c r="B26" s="445">
        <v>10</v>
      </c>
    </row>
    <row r="27" spans="1:2" x14ac:dyDescent="0.2">
      <c r="A27" s="261" t="s">
        <v>315</v>
      </c>
      <c r="B27" s="445">
        <v>10</v>
      </c>
    </row>
    <row r="28" spans="1:2" x14ac:dyDescent="0.2">
      <c r="A28" s="261" t="s">
        <v>89</v>
      </c>
      <c r="B28" s="445">
        <v>10</v>
      </c>
    </row>
    <row r="29" spans="1:2" x14ac:dyDescent="0.2">
      <c r="A29" s="261" t="s">
        <v>117</v>
      </c>
      <c r="B29" s="445">
        <v>9.5</v>
      </c>
    </row>
    <row r="30" spans="1:2" x14ac:dyDescent="0.2">
      <c r="A30" s="261" t="s">
        <v>279</v>
      </c>
      <c r="B30" s="445">
        <v>8</v>
      </c>
    </row>
    <row r="31" spans="1:2" x14ac:dyDescent="0.2">
      <c r="A31" s="261" t="s">
        <v>304</v>
      </c>
      <c r="B31" s="445">
        <v>7.5</v>
      </c>
    </row>
    <row r="32" spans="1:2" x14ac:dyDescent="0.2">
      <c r="A32" s="261" t="s">
        <v>62</v>
      </c>
      <c r="B32" s="445">
        <v>7.5</v>
      </c>
    </row>
    <row r="33" spans="1:2" x14ac:dyDescent="0.2">
      <c r="A33" s="261" t="s">
        <v>120</v>
      </c>
      <c r="B33" s="445">
        <v>7.5</v>
      </c>
    </row>
    <row r="34" spans="1:2" x14ac:dyDescent="0.2">
      <c r="A34" s="261" t="s">
        <v>112</v>
      </c>
      <c r="B34" s="445">
        <v>7.5</v>
      </c>
    </row>
    <row r="35" spans="1:2" x14ac:dyDescent="0.2">
      <c r="A35" s="261" t="s">
        <v>274</v>
      </c>
      <c r="B35" s="445">
        <v>7</v>
      </c>
    </row>
    <row r="36" spans="1:2" x14ac:dyDescent="0.2">
      <c r="A36" s="261" t="s">
        <v>273</v>
      </c>
      <c r="B36" s="445">
        <v>7</v>
      </c>
    </row>
    <row r="37" spans="1:2" x14ac:dyDescent="0.2">
      <c r="A37" s="261" t="s">
        <v>313</v>
      </c>
      <c r="B37" s="445">
        <v>5</v>
      </c>
    </row>
    <row r="38" spans="1:2" x14ac:dyDescent="0.2">
      <c r="A38" s="261" t="s">
        <v>311</v>
      </c>
      <c r="B38" s="445">
        <v>5</v>
      </c>
    </row>
    <row r="39" spans="1:2" x14ac:dyDescent="0.2">
      <c r="A39" s="261" t="s">
        <v>104</v>
      </c>
      <c r="B39" s="445">
        <v>5</v>
      </c>
    </row>
    <row r="40" spans="1:2" x14ac:dyDescent="0.2">
      <c r="A40" s="261" t="s">
        <v>106</v>
      </c>
      <c r="B40" s="445">
        <v>5</v>
      </c>
    </row>
    <row r="41" spans="1:2" x14ac:dyDescent="0.2">
      <c r="A41" s="261" t="s">
        <v>91</v>
      </c>
      <c r="B41" s="445">
        <v>3</v>
      </c>
    </row>
    <row r="42" spans="1:2" x14ac:dyDescent="0.2">
      <c r="A42" s="261" t="s">
        <v>243</v>
      </c>
      <c r="B42" s="445">
        <v>2.5</v>
      </c>
    </row>
    <row r="43" spans="1:2" ht="15" x14ac:dyDescent="0.25">
      <c r="A43" s="473" t="s">
        <v>197</v>
      </c>
      <c r="B43" s="474">
        <v>791</v>
      </c>
    </row>
  </sheetData>
  <pageMargins left="0.7" right="0.7" top="0.75" bottom="0.75" header="0.3" footer="0.3"/>
  <pageSetup paperSize="9" orientation="portrait" r:id="rId1"/>
  <headerFooter>
    <oddFooter>&amp;C&amp;1#&amp;"Calibri"&amp;10&amp;K000000PUBLIC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04B8-9E94-48B9-8330-303A90F3E323}">
  <dimension ref="A1:BR285"/>
  <sheetViews>
    <sheetView showGridLines="0" topLeftCell="A37" zoomScaleNormal="100" zoomScaleSheetLayoutView="100" workbookViewId="0">
      <selection activeCell="BG79" sqref="BG79:BM79"/>
    </sheetView>
  </sheetViews>
  <sheetFormatPr defaultRowHeight="11.25" x14ac:dyDescent="0.2"/>
  <cols>
    <col min="1" max="70" width="2.83203125" customWidth="1"/>
  </cols>
  <sheetData>
    <row r="1" spans="1:70" s="471" customFormat="1" ht="18" customHeight="1" thickBot="1" x14ac:dyDescent="0.25">
      <c r="A1" s="564" t="s">
        <v>278</v>
      </c>
      <c r="B1" s="565"/>
      <c r="C1" s="565"/>
      <c r="D1" s="565"/>
      <c r="E1" s="565"/>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c r="AI1" s="565"/>
      <c r="AJ1" s="565"/>
      <c r="AK1" s="565"/>
      <c r="AL1" s="565"/>
      <c r="AM1" s="565"/>
      <c r="AN1" s="565"/>
      <c r="AO1" s="565"/>
      <c r="AP1" s="565"/>
      <c r="AQ1" s="565"/>
      <c r="AR1" s="565"/>
      <c r="AS1" s="565"/>
      <c r="AT1" s="565"/>
      <c r="AU1" s="565"/>
      <c r="AV1" s="565"/>
      <c r="AW1" s="565"/>
      <c r="AX1" s="565"/>
      <c r="AY1" s="565"/>
      <c r="AZ1" s="565"/>
      <c r="BA1" s="565"/>
      <c r="BB1" s="565"/>
      <c r="BC1" s="565"/>
      <c r="BD1" s="565"/>
      <c r="BE1" s="565"/>
      <c r="BF1" s="565"/>
      <c r="BG1" s="565"/>
      <c r="BH1" s="565"/>
      <c r="BI1" s="565"/>
      <c r="BJ1" s="565"/>
      <c r="BK1" s="565"/>
      <c r="BL1" s="565"/>
      <c r="BM1" s="565"/>
      <c r="BN1" s="565"/>
      <c r="BO1" s="565"/>
      <c r="BP1" s="565"/>
      <c r="BQ1" s="565"/>
      <c r="BR1" s="566"/>
    </row>
    <row r="2" spans="1:70" ht="5.25" customHeight="1" thickBot="1" x14ac:dyDescent="0.25">
      <c r="A2" s="447"/>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47"/>
      <c r="AK2" s="447"/>
      <c r="AL2" s="447"/>
      <c r="AM2" s="447"/>
      <c r="AN2" s="447"/>
      <c r="AO2" s="447"/>
      <c r="AP2" s="447"/>
      <c r="AQ2" s="447"/>
      <c r="AR2" s="447"/>
      <c r="AS2" s="447"/>
      <c r="AT2" s="447"/>
      <c r="AU2" s="447"/>
      <c r="AV2" s="447"/>
      <c r="AW2" s="447"/>
      <c r="AX2" s="447"/>
      <c r="AY2" s="447"/>
      <c r="AZ2" s="447"/>
      <c r="BA2" s="447"/>
      <c r="BB2" s="447"/>
      <c r="BC2" s="447"/>
      <c r="BD2" s="447"/>
      <c r="BE2" s="447"/>
      <c r="BF2" s="447"/>
      <c r="BG2" s="447"/>
      <c r="BH2" s="447"/>
      <c r="BI2" s="447"/>
      <c r="BJ2" s="447"/>
      <c r="BK2" s="447"/>
      <c r="BL2" s="447"/>
      <c r="BM2" s="447"/>
      <c r="BN2" s="447"/>
      <c r="BO2" s="447"/>
      <c r="BP2" s="447"/>
      <c r="BQ2" s="447"/>
      <c r="BR2" s="447"/>
    </row>
    <row r="3" spans="1:70" ht="12" x14ac:dyDescent="0.2">
      <c r="A3" s="567" t="s">
        <v>275</v>
      </c>
      <c r="B3" s="568"/>
      <c r="C3" s="568"/>
      <c r="D3" s="568"/>
      <c r="E3" s="568"/>
      <c r="F3" s="568"/>
      <c r="G3" s="568"/>
      <c r="H3" s="569"/>
      <c r="I3" s="447"/>
      <c r="J3" s="506">
        <v>20</v>
      </c>
      <c r="K3" s="507"/>
      <c r="L3" s="507"/>
      <c r="M3" s="508"/>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7"/>
      <c r="AO3" s="447"/>
      <c r="AP3" s="447"/>
      <c r="AQ3" s="447"/>
      <c r="AR3" s="447"/>
      <c r="AS3" s="447"/>
      <c r="AT3" s="447"/>
      <c r="AU3" s="447"/>
      <c r="AV3" s="447"/>
      <c r="AW3" s="447"/>
      <c r="AX3" s="447"/>
      <c r="AY3" s="447"/>
      <c r="AZ3" s="447"/>
      <c r="BA3" s="447"/>
      <c r="BB3" s="447"/>
      <c r="BC3" s="447"/>
      <c r="BD3" s="447"/>
      <c r="BE3" s="447"/>
      <c r="BF3" s="447"/>
      <c r="BG3" s="447"/>
      <c r="BH3" s="447"/>
      <c r="BI3" s="447"/>
      <c r="BJ3" s="447"/>
      <c r="BK3" s="447"/>
      <c r="BL3" s="447"/>
      <c r="BM3" s="447"/>
      <c r="BN3" s="447"/>
      <c r="BO3" s="447"/>
      <c r="BP3" s="447"/>
      <c r="BQ3" s="447"/>
      <c r="BR3" s="447"/>
    </row>
    <row r="4" spans="1:70" ht="12" x14ac:dyDescent="0.2">
      <c r="A4" s="570" t="s">
        <v>277</v>
      </c>
      <c r="B4" s="571"/>
      <c r="C4" s="571"/>
      <c r="D4" s="571"/>
      <c r="E4" s="571"/>
      <c r="F4" s="571"/>
      <c r="G4" s="571"/>
      <c r="H4" s="572"/>
      <c r="I4" s="447"/>
      <c r="J4" s="576">
        <f>'Weekly Summary'!$K$64</f>
        <v>789</v>
      </c>
      <c r="K4" s="577"/>
      <c r="L4" s="577"/>
      <c r="M4" s="578"/>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T4" s="447"/>
      <c r="AU4" s="447"/>
      <c r="AV4" s="447"/>
      <c r="AW4" s="447"/>
      <c r="AX4" s="447"/>
      <c r="AY4" s="447"/>
      <c r="AZ4" s="447"/>
      <c r="BA4" s="447"/>
      <c r="BB4" s="447"/>
      <c r="BC4" s="447"/>
      <c r="BD4" s="447"/>
      <c r="BE4" s="447"/>
      <c r="BF4" s="447"/>
      <c r="BG4" s="447"/>
      <c r="BH4" s="447"/>
      <c r="BI4" s="447"/>
      <c r="BJ4" s="447"/>
      <c r="BK4" s="447"/>
      <c r="BL4" s="447"/>
      <c r="BM4" s="447"/>
      <c r="BN4" s="447"/>
      <c r="BO4" s="447"/>
      <c r="BP4" s="447"/>
      <c r="BQ4" s="447"/>
      <c r="BR4" s="447"/>
    </row>
    <row r="5" spans="1:70" ht="12.75" thickBot="1" x14ac:dyDescent="0.25">
      <c r="A5" s="573" t="s">
        <v>276</v>
      </c>
      <c r="B5" s="574"/>
      <c r="C5" s="574"/>
      <c r="D5" s="574"/>
      <c r="E5" s="574"/>
      <c r="F5" s="574"/>
      <c r="G5" s="574"/>
      <c r="H5" s="575"/>
      <c r="I5" s="447"/>
      <c r="J5" s="579">
        <f>'Weekly Summary'!$J$64</f>
        <v>760.69</v>
      </c>
      <c r="K5" s="580"/>
      <c r="L5" s="580"/>
      <c r="M5" s="581"/>
      <c r="N5" s="447"/>
      <c r="O5" s="447"/>
      <c r="P5" s="447"/>
      <c r="Q5" s="447"/>
      <c r="R5" s="447"/>
      <c r="S5" s="447"/>
      <c r="T5" s="447"/>
      <c r="U5" s="447"/>
      <c r="V5" s="447"/>
      <c r="W5" s="447"/>
      <c r="X5" s="447"/>
      <c r="Y5" s="447"/>
      <c r="Z5" s="447"/>
      <c r="AA5" s="447"/>
      <c r="AB5" s="447"/>
      <c r="AC5" s="447"/>
      <c r="AD5" s="447"/>
      <c r="AE5" s="447"/>
      <c r="AF5" s="447"/>
      <c r="AG5" s="447"/>
      <c r="AH5" s="447"/>
      <c r="AI5" s="447"/>
      <c r="AJ5" s="447"/>
      <c r="AK5" s="447"/>
      <c r="AL5" s="447"/>
      <c r="AM5" s="447"/>
      <c r="AN5" s="447"/>
      <c r="AO5" s="447"/>
      <c r="AP5" s="447"/>
      <c r="AQ5" s="447"/>
      <c r="AR5" s="447"/>
      <c r="AS5" s="447"/>
      <c r="AT5" s="447"/>
      <c r="AU5" s="447"/>
      <c r="AV5" s="447"/>
      <c r="AW5" s="447"/>
      <c r="AX5" s="447"/>
      <c r="AY5" s="447"/>
      <c r="AZ5" s="447"/>
      <c r="BA5" s="447"/>
      <c r="BB5" s="447"/>
      <c r="BC5" s="447"/>
      <c r="BD5" s="447"/>
      <c r="BE5" s="447"/>
      <c r="BF5" s="447"/>
      <c r="BG5" s="447"/>
      <c r="BH5" s="447"/>
      <c r="BI5" s="447"/>
      <c r="BJ5" s="447"/>
      <c r="BK5" s="447"/>
      <c r="BL5" s="447"/>
      <c r="BM5" s="447"/>
      <c r="BN5" s="447"/>
      <c r="BO5" s="447"/>
      <c r="BP5" s="447"/>
      <c r="BQ5" s="447"/>
      <c r="BR5" s="447"/>
    </row>
    <row r="6" spans="1:70" ht="5.25" customHeight="1" thickBot="1" x14ac:dyDescent="0.25">
      <c r="A6" s="447"/>
      <c r="B6" s="447"/>
      <c r="C6" s="447"/>
      <c r="D6" s="447"/>
      <c r="E6" s="447"/>
      <c r="F6" s="447"/>
      <c r="G6" s="447"/>
      <c r="H6" s="447"/>
      <c r="I6" s="447"/>
      <c r="J6" s="447"/>
      <c r="K6" s="447"/>
      <c r="L6" s="447"/>
      <c r="M6" s="447"/>
      <c r="N6" s="447"/>
      <c r="O6" s="447"/>
      <c r="P6" s="447"/>
      <c r="Q6" s="447"/>
      <c r="R6" s="447"/>
      <c r="S6" s="447"/>
      <c r="T6" s="447"/>
      <c r="U6" s="447"/>
      <c r="V6" s="447"/>
      <c r="W6" s="447"/>
      <c r="X6" s="447"/>
      <c r="Y6" s="447"/>
      <c r="Z6" s="447"/>
      <c r="AA6" s="447"/>
      <c r="AB6" s="447"/>
      <c r="AC6" s="447"/>
      <c r="AD6" s="447"/>
      <c r="AE6" s="447"/>
      <c r="AF6" s="447"/>
      <c r="AG6" s="447"/>
      <c r="AH6" s="447"/>
      <c r="AI6" s="447"/>
      <c r="AJ6" s="447"/>
      <c r="AK6" s="447"/>
      <c r="AL6" s="447"/>
      <c r="AM6" s="447"/>
      <c r="AN6" s="447"/>
      <c r="AO6" s="447"/>
      <c r="AP6" s="447"/>
      <c r="AQ6" s="447"/>
      <c r="AR6" s="447"/>
      <c r="AS6" s="447"/>
      <c r="AT6" s="447"/>
      <c r="AU6" s="447"/>
      <c r="AV6" s="447"/>
      <c r="AW6" s="447"/>
      <c r="AX6" s="447"/>
      <c r="AY6" s="447"/>
      <c r="AZ6" s="447"/>
      <c r="BA6" s="447"/>
      <c r="BB6" s="447"/>
      <c r="BC6" s="447"/>
      <c r="BD6" s="447"/>
      <c r="BE6" s="447"/>
      <c r="BF6" s="447"/>
      <c r="BG6" s="447"/>
      <c r="BH6" s="447"/>
      <c r="BI6" s="447"/>
      <c r="BJ6" s="447"/>
      <c r="BK6" s="447"/>
      <c r="BL6" s="447"/>
      <c r="BM6" s="447"/>
      <c r="BN6" s="447"/>
      <c r="BO6" s="447"/>
      <c r="BP6" s="447"/>
      <c r="BQ6" s="447"/>
      <c r="BR6" s="447"/>
    </row>
    <row r="7" spans="1:70" ht="12" x14ac:dyDescent="0.2">
      <c r="A7" s="506" t="s">
        <v>271</v>
      </c>
      <c r="B7" s="507"/>
      <c r="C7" s="507"/>
      <c r="D7" s="507"/>
      <c r="E7" s="507"/>
      <c r="F7" s="507"/>
      <c r="G7" s="507"/>
      <c r="H7" s="507"/>
      <c r="I7" s="507"/>
      <c r="J7" s="507"/>
      <c r="K7" s="507"/>
      <c r="L7" s="507"/>
      <c r="M7" s="507"/>
      <c r="N7" s="507"/>
      <c r="O7" s="507"/>
      <c r="P7" s="508"/>
      <c r="Q7" s="447"/>
      <c r="R7" s="509" t="s">
        <v>286</v>
      </c>
      <c r="S7" s="510"/>
      <c r="T7" s="510"/>
      <c r="U7" s="510"/>
      <c r="V7" s="510"/>
      <c r="W7" s="510"/>
      <c r="X7" s="510"/>
      <c r="Y7" s="510"/>
      <c r="Z7" s="510"/>
      <c r="AA7" s="510"/>
      <c r="AB7" s="510"/>
      <c r="AC7" s="510"/>
      <c r="AD7" s="510"/>
      <c r="AE7" s="510"/>
      <c r="AF7" s="510"/>
      <c r="AG7" s="510"/>
      <c r="AH7" s="510"/>
      <c r="AI7" s="510"/>
      <c r="AJ7" s="510"/>
      <c r="AK7" s="510"/>
      <c r="AL7" s="510"/>
      <c r="AM7" s="510"/>
      <c r="AN7" s="510"/>
      <c r="AO7" s="510"/>
      <c r="AP7" s="510"/>
      <c r="AQ7" s="510"/>
      <c r="AR7" s="510"/>
      <c r="AS7" s="510"/>
      <c r="AT7" s="510"/>
      <c r="AU7" s="510"/>
      <c r="AV7" s="510"/>
      <c r="AW7" s="510"/>
      <c r="AX7" s="510"/>
      <c r="AY7" s="510"/>
      <c r="AZ7" s="510"/>
      <c r="BA7" s="511"/>
      <c r="BB7" s="447"/>
      <c r="BC7" s="506" t="s">
        <v>272</v>
      </c>
      <c r="BD7" s="507"/>
      <c r="BE7" s="507"/>
      <c r="BF7" s="507"/>
      <c r="BG7" s="507"/>
      <c r="BH7" s="507"/>
      <c r="BI7" s="507"/>
      <c r="BJ7" s="507"/>
      <c r="BK7" s="507"/>
      <c r="BL7" s="507"/>
      <c r="BM7" s="507"/>
      <c r="BN7" s="507"/>
      <c r="BO7" s="507"/>
      <c r="BP7" s="507"/>
      <c r="BQ7" s="507"/>
      <c r="BR7" s="508"/>
    </row>
    <row r="8" spans="1:70" ht="12.75" thickBot="1" x14ac:dyDescent="0.25">
      <c r="A8" s="503" t="s">
        <v>198</v>
      </c>
      <c r="B8" s="504"/>
      <c r="C8" s="504"/>
      <c r="D8" s="448"/>
      <c r="E8" s="504" t="s">
        <v>49</v>
      </c>
      <c r="F8" s="504"/>
      <c r="G8" s="504"/>
      <c r="H8" s="504"/>
      <c r="I8" s="504"/>
      <c r="J8" s="504"/>
      <c r="K8" s="504"/>
      <c r="L8" s="448"/>
      <c r="M8" s="504" t="s">
        <v>52</v>
      </c>
      <c r="N8" s="504"/>
      <c r="O8" s="504"/>
      <c r="P8" s="505"/>
      <c r="Q8" s="447"/>
      <c r="R8" s="512"/>
      <c r="S8" s="513"/>
      <c r="T8" s="513"/>
      <c r="U8" s="513"/>
      <c r="V8" s="513"/>
      <c r="W8" s="513"/>
      <c r="X8" s="513"/>
      <c r="Y8" s="513"/>
      <c r="Z8" s="513"/>
      <c r="AA8" s="513"/>
      <c r="AB8" s="513"/>
      <c r="AC8" s="513"/>
      <c r="AD8" s="513"/>
      <c r="AE8" s="513"/>
      <c r="AF8" s="513"/>
      <c r="AG8" s="513"/>
      <c r="AH8" s="513"/>
      <c r="AI8" s="513"/>
      <c r="AJ8" s="513"/>
      <c r="AK8" s="513"/>
      <c r="AL8" s="513"/>
      <c r="AM8" s="513"/>
      <c r="AN8" s="513"/>
      <c r="AO8" s="513"/>
      <c r="AP8" s="513"/>
      <c r="AQ8" s="513"/>
      <c r="AR8" s="513"/>
      <c r="AS8" s="513"/>
      <c r="AT8" s="513"/>
      <c r="AU8" s="513"/>
      <c r="AV8" s="513"/>
      <c r="AW8" s="513"/>
      <c r="AX8" s="513"/>
      <c r="AY8" s="513"/>
      <c r="AZ8" s="513"/>
      <c r="BA8" s="514"/>
      <c r="BB8" s="447"/>
      <c r="BC8" s="503" t="s">
        <v>198</v>
      </c>
      <c r="BD8" s="504"/>
      <c r="BE8" s="504"/>
      <c r="BF8" s="448"/>
      <c r="BG8" s="504" t="s">
        <v>49</v>
      </c>
      <c r="BH8" s="504"/>
      <c r="BI8" s="504"/>
      <c r="BJ8" s="504"/>
      <c r="BK8" s="504"/>
      <c r="BL8" s="504"/>
      <c r="BM8" s="504"/>
      <c r="BN8" s="448"/>
      <c r="BO8" s="504" t="s">
        <v>52</v>
      </c>
      <c r="BP8" s="504"/>
      <c r="BQ8" s="504"/>
      <c r="BR8" s="505"/>
    </row>
    <row r="9" spans="1:70" ht="5.25" customHeight="1" x14ac:dyDescent="0.2"/>
    <row r="10" spans="1:70" x14ac:dyDescent="0.2">
      <c r="A10" s="516" t="s">
        <v>79</v>
      </c>
      <c r="B10" s="516"/>
      <c r="C10" s="516"/>
      <c r="E10" s="516" t="str">
        <f>'Order of merit 2025'!M6</f>
        <v>Brad Whitehead</v>
      </c>
      <c r="F10" s="516"/>
      <c r="G10" s="516"/>
      <c r="H10" s="516"/>
      <c r="I10" s="516"/>
      <c r="J10" s="516"/>
      <c r="K10" s="516"/>
      <c r="M10" s="517">
        <f>'Order of merit 2025'!N6</f>
        <v>51.571428571428569</v>
      </c>
      <c r="N10" s="516"/>
      <c r="O10" s="516"/>
      <c r="P10" s="516"/>
      <c r="BC10" s="516" t="s">
        <v>79</v>
      </c>
      <c r="BD10" s="516"/>
      <c r="BE10" s="516"/>
      <c r="BG10" s="516" t="str">
        <f>Money!A2</f>
        <v>Justin Hunt</v>
      </c>
      <c r="BH10" s="516"/>
      <c r="BI10" s="516"/>
      <c r="BJ10" s="516"/>
      <c r="BK10" s="516"/>
      <c r="BL10" s="516"/>
      <c r="BM10" s="516"/>
      <c r="BO10" s="563">
        <f>Money!B2</f>
        <v>76.5</v>
      </c>
      <c r="BP10" s="516"/>
      <c r="BQ10" s="516"/>
      <c r="BR10" s="516"/>
    </row>
    <row r="11" spans="1:70" x14ac:dyDescent="0.2">
      <c r="A11" s="516" t="s">
        <v>80</v>
      </c>
      <c r="B11" s="516"/>
      <c r="C11" s="516"/>
      <c r="E11" s="516" t="str">
        <f>'Order of merit 2025'!M7</f>
        <v>Dave Randall</v>
      </c>
      <c r="F11" s="516"/>
      <c r="G11" s="516"/>
      <c r="H11" s="516"/>
      <c r="I11" s="516"/>
      <c r="J11" s="516"/>
      <c r="K11" s="516"/>
      <c r="M11" s="517">
        <f>'Order of merit 2025'!N7</f>
        <v>44.540441176470587</v>
      </c>
      <c r="N11" s="516"/>
      <c r="O11" s="516"/>
      <c r="P11" s="516"/>
      <c r="BC11" s="516" t="s">
        <v>80</v>
      </c>
      <c r="BD11" s="516"/>
      <c r="BE11" s="516"/>
      <c r="BG11" s="516" t="str">
        <f>Money!A3</f>
        <v>Chris Smith</v>
      </c>
      <c r="BH11" s="516"/>
      <c r="BI11" s="516"/>
      <c r="BJ11" s="516"/>
      <c r="BK11" s="516"/>
      <c r="BL11" s="516"/>
      <c r="BM11" s="516"/>
      <c r="BO11" s="563">
        <f>Money!B3</f>
        <v>71</v>
      </c>
      <c r="BP11" s="516"/>
      <c r="BQ11" s="516"/>
      <c r="BR11" s="516"/>
    </row>
    <row r="12" spans="1:70" x14ac:dyDescent="0.2">
      <c r="A12" s="516" t="s">
        <v>81</v>
      </c>
      <c r="B12" s="516"/>
      <c r="C12" s="516"/>
      <c r="E12" s="516" t="str">
        <f>'Order of merit 2025'!M8</f>
        <v>Tony Forsyth-James</v>
      </c>
      <c r="F12" s="516"/>
      <c r="G12" s="516"/>
      <c r="H12" s="516"/>
      <c r="I12" s="516"/>
      <c r="J12" s="516"/>
      <c r="K12" s="516"/>
      <c r="M12" s="517">
        <f>'Order of merit 2025'!N8</f>
        <v>38.283088235294116</v>
      </c>
      <c r="N12" s="516"/>
      <c r="O12" s="516"/>
      <c r="P12" s="516"/>
      <c r="U12" s="1"/>
      <c r="BC12" s="516" t="s">
        <v>81</v>
      </c>
      <c r="BD12" s="516"/>
      <c r="BE12" s="516"/>
      <c r="BG12" s="516" t="str">
        <f>Money!A4</f>
        <v>Tony Forsyth-James</v>
      </c>
      <c r="BH12" s="516"/>
      <c r="BI12" s="516"/>
      <c r="BJ12" s="516"/>
      <c r="BK12" s="516"/>
      <c r="BL12" s="516"/>
      <c r="BM12" s="516"/>
      <c r="BO12" s="563">
        <f>Money!B4</f>
        <v>58</v>
      </c>
      <c r="BP12" s="516"/>
      <c r="BQ12" s="516"/>
      <c r="BR12" s="516"/>
    </row>
    <row r="13" spans="1:70" x14ac:dyDescent="0.2">
      <c r="A13" s="516" t="s">
        <v>82</v>
      </c>
      <c r="B13" s="516"/>
      <c r="C13" s="516"/>
      <c r="E13" s="516"/>
      <c r="F13" s="516"/>
      <c r="G13" s="516"/>
      <c r="H13" s="516"/>
      <c r="I13" s="516"/>
      <c r="J13" s="516"/>
      <c r="K13" s="516"/>
      <c r="M13" s="516"/>
      <c r="N13" s="516"/>
      <c r="O13" s="516"/>
      <c r="P13" s="516"/>
      <c r="U13" s="1"/>
      <c r="BC13" s="516" t="s">
        <v>82</v>
      </c>
      <c r="BD13" s="516"/>
      <c r="BE13" s="516"/>
      <c r="BG13" s="516" t="str">
        <f>Money!A5</f>
        <v>Brad Whitehead</v>
      </c>
      <c r="BH13" s="516"/>
      <c r="BI13" s="516"/>
      <c r="BJ13" s="516"/>
      <c r="BK13" s="516"/>
      <c r="BL13" s="516"/>
      <c r="BM13" s="516"/>
      <c r="BO13" s="563">
        <f>Money!B5</f>
        <v>46.5</v>
      </c>
      <c r="BP13" s="516"/>
      <c r="BQ13" s="516"/>
      <c r="BR13" s="516"/>
    </row>
    <row r="14" spans="1:70" x14ac:dyDescent="0.2">
      <c r="A14" s="516" t="s">
        <v>83</v>
      </c>
      <c r="B14" s="516"/>
      <c r="C14" s="516"/>
      <c r="E14" s="516"/>
      <c r="F14" s="516"/>
      <c r="G14" s="516"/>
      <c r="H14" s="516"/>
      <c r="I14" s="516"/>
      <c r="J14" s="516"/>
      <c r="K14" s="516"/>
      <c r="M14" s="516"/>
      <c r="N14" s="516"/>
      <c r="O14" s="516"/>
      <c r="P14" s="516"/>
      <c r="U14" s="1"/>
      <c r="BC14" s="516" t="s">
        <v>83</v>
      </c>
      <c r="BD14" s="516"/>
      <c r="BE14" s="516"/>
      <c r="BG14" s="516" t="str">
        <f>Money!A6</f>
        <v>Ben Fleet</v>
      </c>
      <c r="BH14" s="516"/>
      <c r="BI14" s="516"/>
      <c r="BJ14" s="516"/>
      <c r="BK14" s="516"/>
      <c r="BL14" s="516"/>
      <c r="BM14" s="516"/>
      <c r="BO14" s="563">
        <f>Money!B6</f>
        <v>43</v>
      </c>
      <c r="BP14" s="516"/>
      <c r="BQ14" s="516"/>
      <c r="BR14" s="516"/>
    </row>
    <row r="15" spans="1:70" x14ac:dyDescent="0.2">
      <c r="A15" s="516" t="s">
        <v>94</v>
      </c>
      <c r="B15" s="516"/>
      <c r="C15" s="516"/>
      <c r="E15" s="516"/>
      <c r="F15" s="516"/>
      <c r="G15" s="516"/>
      <c r="H15" s="516"/>
      <c r="I15" s="516"/>
      <c r="J15" s="516"/>
      <c r="K15" s="516"/>
      <c r="M15" s="516"/>
      <c r="N15" s="516"/>
      <c r="O15" s="516"/>
      <c r="P15" s="516"/>
      <c r="U15" s="1"/>
      <c r="BC15" s="516" t="s">
        <v>94</v>
      </c>
      <c r="BD15" s="516"/>
      <c r="BE15" s="516"/>
      <c r="BG15" s="516" t="str">
        <f>Money!A7</f>
        <v>Jason Wale</v>
      </c>
      <c r="BH15" s="516"/>
      <c r="BI15" s="516"/>
      <c r="BJ15" s="516"/>
      <c r="BK15" s="516"/>
      <c r="BL15" s="516"/>
      <c r="BM15" s="516"/>
      <c r="BO15" s="563">
        <f>Money!B7</f>
        <v>40</v>
      </c>
      <c r="BP15" s="516"/>
      <c r="BQ15" s="516"/>
      <c r="BR15" s="516"/>
    </row>
    <row r="16" spans="1:70" x14ac:dyDescent="0.2">
      <c r="A16" s="516" t="s">
        <v>95</v>
      </c>
      <c r="B16" s="516"/>
      <c r="C16" s="516"/>
      <c r="E16" s="516"/>
      <c r="F16" s="516"/>
      <c r="G16" s="516"/>
      <c r="H16" s="516"/>
      <c r="I16" s="516"/>
      <c r="J16" s="516"/>
      <c r="K16" s="516"/>
      <c r="M16" s="516"/>
      <c r="N16" s="516"/>
      <c r="O16" s="516"/>
      <c r="P16" s="516"/>
      <c r="U16" s="1"/>
      <c r="BC16" s="516" t="s">
        <v>95</v>
      </c>
      <c r="BD16" s="516"/>
      <c r="BE16" s="516"/>
      <c r="BG16" s="516" t="str">
        <f>Money!A8</f>
        <v>Martin Coomber</v>
      </c>
      <c r="BH16" s="516"/>
      <c r="BI16" s="516"/>
      <c r="BJ16" s="516"/>
      <c r="BK16" s="516"/>
      <c r="BL16" s="516"/>
      <c r="BM16" s="516"/>
      <c r="BO16" s="563">
        <f>Money!B8</f>
        <v>35</v>
      </c>
      <c r="BP16" s="516"/>
      <c r="BQ16" s="516"/>
      <c r="BR16" s="516"/>
    </row>
    <row r="17" spans="1:70" x14ac:dyDescent="0.2">
      <c r="A17" s="516" t="s">
        <v>96</v>
      </c>
      <c r="B17" s="516"/>
      <c r="C17" s="516"/>
      <c r="E17" s="516"/>
      <c r="F17" s="516"/>
      <c r="G17" s="516"/>
      <c r="H17" s="516"/>
      <c r="I17" s="516"/>
      <c r="J17" s="516"/>
      <c r="K17" s="516"/>
      <c r="M17" s="516"/>
      <c r="N17" s="516"/>
      <c r="O17" s="516"/>
      <c r="P17" s="516"/>
      <c r="BC17" s="516" t="s">
        <v>96</v>
      </c>
      <c r="BD17" s="516"/>
      <c r="BE17" s="516"/>
      <c r="BG17" s="516" t="str">
        <f>Money!A9</f>
        <v>Max Ball</v>
      </c>
      <c r="BH17" s="516"/>
      <c r="BI17" s="516"/>
      <c r="BJ17" s="516"/>
      <c r="BK17" s="516"/>
      <c r="BL17" s="516"/>
      <c r="BM17" s="516"/>
      <c r="BO17" s="563">
        <f>Money!B9</f>
        <v>32</v>
      </c>
      <c r="BP17" s="516"/>
      <c r="BQ17" s="516"/>
      <c r="BR17" s="516"/>
    </row>
    <row r="18" spans="1:70" x14ac:dyDescent="0.2">
      <c r="A18" s="516" t="s">
        <v>97</v>
      </c>
      <c r="B18" s="516"/>
      <c r="C18" s="516"/>
      <c r="E18" s="516"/>
      <c r="F18" s="516"/>
      <c r="G18" s="516"/>
      <c r="H18" s="516"/>
      <c r="I18" s="516"/>
      <c r="J18" s="516"/>
      <c r="K18" s="516"/>
      <c r="M18" s="516"/>
      <c r="N18" s="516"/>
      <c r="O18" s="516"/>
      <c r="P18" s="516"/>
      <c r="BC18" s="516" t="s">
        <v>97</v>
      </c>
      <c r="BD18" s="516"/>
      <c r="BE18" s="516"/>
      <c r="BG18" s="516" t="str">
        <f>Money!A10</f>
        <v>Stuart Gay</v>
      </c>
      <c r="BH18" s="516"/>
      <c r="BI18" s="516"/>
      <c r="BJ18" s="516"/>
      <c r="BK18" s="516"/>
      <c r="BL18" s="516"/>
      <c r="BM18" s="516"/>
      <c r="BO18" s="563">
        <f>Money!B10</f>
        <v>28.5</v>
      </c>
      <c r="BP18" s="516"/>
      <c r="BQ18" s="516"/>
      <c r="BR18" s="516"/>
    </row>
    <row r="19" spans="1:70" x14ac:dyDescent="0.2">
      <c r="A19" s="516" t="s">
        <v>98</v>
      </c>
      <c r="B19" s="516"/>
      <c r="C19" s="516"/>
      <c r="E19" s="516"/>
      <c r="F19" s="516"/>
      <c r="G19" s="516"/>
      <c r="H19" s="516"/>
      <c r="I19" s="516"/>
      <c r="J19" s="516"/>
      <c r="K19" s="516"/>
      <c r="M19" s="516"/>
      <c r="N19" s="516"/>
      <c r="O19" s="516"/>
      <c r="P19" s="516"/>
      <c r="BC19" s="516" t="s">
        <v>98</v>
      </c>
      <c r="BD19" s="516"/>
      <c r="BE19" s="516"/>
      <c r="BG19" s="516" t="str">
        <f>Money!A11</f>
        <v>Peter Vallely</v>
      </c>
      <c r="BH19" s="516"/>
      <c r="BI19" s="516"/>
      <c r="BJ19" s="516"/>
      <c r="BK19" s="516"/>
      <c r="BL19" s="516"/>
      <c r="BM19" s="516"/>
      <c r="BO19" s="563">
        <f>Money!B11</f>
        <v>27.5</v>
      </c>
      <c r="BP19" s="516"/>
      <c r="BQ19" s="516"/>
      <c r="BR19" s="516"/>
    </row>
    <row r="20" spans="1:70" x14ac:dyDescent="0.2">
      <c r="A20" s="516" t="s">
        <v>214</v>
      </c>
      <c r="B20" s="516"/>
      <c r="C20" s="516"/>
      <c r="E20" s="516"/>
      <c r="F20" s="516"/>
      <c r="G20" s="516"/>
      <c r="H20" s="516"/>
      <c r="I20" s="516"/>
      <c r="J20" s="516"/>
      <c r="K20" s="516"/>
      <c r="M20" s="516"/>
      <c r="N20" s="516"/>
      <c r="O20" s="516"/>
      <c r="P20" s="516"/>
      <c r="BC20" s="516" t="s">
        <v>214</v>
      </c>
      <c r="BD20" s="516"/>
      <c r="BE20" s="516"/>
      <c r="BG20" s="516" t="str">
        <f>Money!A12</f>
        <v>Andy Johnson</v>
      </c>
      <c r="BH20" s="516"/>
      <c r="BI20" s="516"/>
      <c r="BJ20" s="516"/>
      <c r="BK20" s="516"/>
      <c r="BL20" s="516"/>
      <c r="BM20" s="516"/>
      <c r="BO20" s="563">
        <f>Money!B12</f>
        <v>26</v>
      </c>
      <c r="BP20" s="516"/>
      <c r="BQ20" s="516"/>
      <c r="BR20" s="516"/>
    </row>
    <row r="21" spans="1:70" x14ac:dyDescent="0.2">
      <c r="A21" s="516" t="s">
        <v>215</v>
      </c>
      <c r="B21" s="516"/>
      <c r="C21" s="516"/>
      <c r="E21" s="516"/>
      <c r="F21" s="516"/>
      <c r="G21" s="516"/>
      <c r="H21" s="516"/>
      <c r="I21" s="516"/>
      <c r="J21" s="516"/>
      <c r="K21" s="516"/>
      <c r="M21" s="516"/>
      <c r="N21" s="516"/>
      <c r="O21" s="516"/>
      <c r="P21" s="516"/>
      <c r="BC21" s="516" t="s">
        <v>215</v>
      </c>
      <c r="BD21" s="516"/>
      <c r="BE21" s="516"/>
      <c r="BG21" s="516" t="str">
        <f>Money!A13</f>
        <v>Jordan Hall</v>
      </c>
      <c r="BH21" s="516"/>
      <c r="BI21" s="516"/>
      <c r="BJ21" s="516"/>
      <c r="BK21" s="516"/>
      <c r="BL21" s="516"/>
      <c r="BM21" s="516"/>
      <c r="BO21" s="563">
        <f>Money!B13</f>
        <v>21</v>
      </c>
      <c r="BP21" s="516"/>
      <c r="BQ21" s="516"/>
      <c r="BR21" s="516"/>
    </row>
    <row r="22" spans="1:70" x14ac:dyDescent="0.2">
      <c r="A22" s="516" t="s">
        <v>216</v>
      </c>
      <c r="B22" s="516"/>
      <c r="C22" s="516"/>
      <c r="E22" s="516"/>
      <c r="F22" s="516"/>
      <c r="G22" s="516"/>
      <c r="H22" s="516"/>
      <c r="I22" s="516"/>
      <c r="J22" s="516"/>
      <c r="K22" s="516"/>
      <c r="M22" s="516"/>
      <c r="N22" s="516"/>
      <c r="O22" s="516"/>
      <c r="P22" s="516"/>
      <c r="BC22" s="516" t="s">
        <v>216</v>
      </c>
      <c r="BD22" s="516"/>
      <c r="BE22" s="516"/>
      <c r="BG22" s="582" t="str">
        <f>Money!A14</f>
        <v>Chris Burroughs</v>
      </c>
      <c r="BH22" s="582"/>
      <c r="BI22" s="582"/>
      <c r="BJ22" s="582"/>
      <c r="BK22" s="582"/>
      <c r="BL22" s="582"/>
      <c r="BM22" s="582"/>
      <c r="BN22" s="467"/>
      <c r="BO22" s="583">
        <f>Money!B14</f>
        <v>17</v>
      </c>
      <c r="BP22" s="582"/>
      <c r="BQ22" s="582"/>
      <c r="BR22" s="582"/>
    </row>
    <row r="23" spans="1:70" x14ac:dyDescent="0.2">
      <c r="A23" s="516" t="s">
        <v>217</v>
      </c>
      <c r="B23" s="516"/>
      <c r="C23" s="516"/>
      <c r="E23" s="516"/>
      <c r="F23" s="516"/>
      <c r="G23" s="516"/>
      <c r="H23" s="516"/>
      <c r="I23" s="516"/>
      <c r="J23" s="516"/>
      <c r="K23" s="516"/>
      <c r="M23" s="516"/>
      <c r="N23" s="516"/>
      <c r="O23" s="516"/>
      <c r="P23" s="516"/>
      <c r="BC23" s="516" t="s">
        <v>217</v>
      </c>
      <c r="BD23" s="516"/>
      <c r="BE23" s="516"/>
      <c r="BG23" s="582" t="str">
        <f>Money!A15</f>
        <v>Anthony Harris</v>
      </c>
      <c r="BH23" s="582"/>
      <c r="BI23" s="582"/>
      <c r="BJ23" s="582"/>
      <c r="BK23" s="582"/>
      <c r="BL23" s="582"/>
      <c r="BM23" s="582"/>
      <c r="BN23" s="467"/>
      <c r="BO23" s="583">
        <f>Money!B15</f>
        <v>16.5</v>
      </c>
      <c r="BP23" s="582"/>
      <c r="BQ23" s="582"/>
      <c r="BR23" s="582"/>
    </row>
    <row r="24" spans="1:70" x14ac:dyDescent="0.2">
      <c r="A24" s="516" t="s">
        <v>218</v>
      </c>
      <c r="B24" s="516"/>
      <c r="C24" s="516"/>
      <c r="E24" s="516"/>
      <c r="F24" s="516"/>
      <c r="G24" s="516"/>
      <c r="H24" s="516"/>
      <c r="I24" s="516"/>
      <c r="J24" s="516"/>
      <c r="K24" s="516"/>
      <c r="M24" s="516"/>
      <c r="N24" s="516"/>
      <c r="O24" s="516"/>
      <c r="P24" s="516"/>
      <c r="BC24" s="516" t="s">
        <v>218</v>
      </c>
      <c r="BD24" s="516"/>
      <c r="BE24" s="516"/>
      <c r="BG24" s="582" t="str">
        <f>Money!A16</f>
        <v>Paul Fitzgerald</v>
      </c>
      <c r="BH24" s="582"/>
      <c r="BI24" s="582"/>
      <c r="BJ24" s="582"/>
      <c r="BK24" s="582"/>
      <c r="BL24" s="582"/>
      <c r="BM24" s="582"/>
      <c r="BN24" s="467"/>
      <c r="BO24" s="583">
        <f>Money!B16</f>
        <v>16</v>
      </c>
      <c r="BP24" s="582"/>
      <c r="BQ24" s="582"/>
      <c r="BR24" s="582"/>
    </row>
    <row r="25" spans="1:70" x14ac:dyDescent="0.2">
      <c r="A25" s="516" t="s">
        <v>219</v>
      </c>
      <c r="B25" s="516"/>
      <c r="C25" s="516"/>
      <c r="E25" s="516"/>
      <c r="F25" s="516"/>
      <c r="G25" s="516"/>
      <c r="H25" s="516"/>
      <c r="I25" s="516"/>
      <c r="J25" s="516"/>
      <c r="K25" s="516"/>
      <c r="M25" s="516"/>
      <c r="N25" s="516"/>
      <c r="O25" s="516"/>
      <c r="P25" s="516"/>
      <c r="BC25" s="516" t="s">
        <v>219</v>
      </c>
      <c r="BD25" s="516"/>
      <c r="BE25" s="516"/>
      <c r="BG25" s="582" t="str">
        <f>Money!A17</f>
        <v>Gareth Davies</v>
      </c>
      <c r="BH25" s="582"/>
      <c r="BI25" s="582"/>
      <c r="BJ25" s="582"/>
      <c r="BK25" s="582"/>
      <c r="BL25" s="582"/>
      <c r="BM25" s="582"/>
      <c r="BN25" s="467"/>
      <c r="BO25" s="583">
        <f>Money!B17</f>
        <v>15</v>
      </c>
      <c r="BP25" s="582"/>
      <c r="BQ25" s="582"/>
      <c r="BR25" s="582"/>
    </row>
    <row r="26" spans="1:70" x14ac:dyDescent="0.2">
      <c r="A26" s="516" t="s">
        <v>220</v>
      </c>
      <c r="B26" s="516"/>
      <c r="C26" s="516"/>
      <c r="E26" s="516"/>
      <c r="F26" s="516"/>
      <c r="G26" s="516"/>
      <c r="H26" s="516"/>
      <c r="I26" s="516"/>
      <c r="J26" s="516"/>
      <c r="K26" s="516"/>
      <c r="M26" s="516"/>
      <c r="N26" s="516"/>
      <c r="O26" s="516"/>
      <c r="P26" s="516"/>
      <c r="BC26" s="516" t="s">
        <v>220</v>
      </c>
      <c r="BD26" s="516"/>
      <c r="BE26" s="516"/>
      <c r="BG26" s="582" t="str">
        <f>Money!A18</f>
        <v>Danny Jones</v>
      </c>
      <c r="BH26" s="582"/>
      <c r="BI26" s="582"/>
      <c r="BJ26" s="582"/>
      <c r="BK26" s="582"/>
      <c r="BL26" s="582"/>
      <c r="BM26" s="582"/>
      <c r="BN26" s="467"/>
      <c r="BO26" s="583">
        <f>Money!B18</f>
        <v>15</v>
      </c>
      <c r="BP26" s="582"/>
      <c r="BQ26" s="582"/>
      <c r="BR26" s="582"/>
    </row>
    <row r="27" spans="1:70" x14ac:dyDescent="0.2">
      <c r="A27" s="516" t="s">
        <v>221</v>
      </c>
      <c r="B27" s="516"/>
      <c r="C27" s="516"/>
      <c r="E27" s="516"/>
      <c r="F27" s="516"/>
      <c r="G27" s="516"/>
      <c r="H27" s="516"/>
      <c r="I27" s="516"/>
      <c r="J27" s="516"/>
      <c r="K27" s="516"/>
      <c r="M27" s="516"/>
      <c r="N27" s="516"/>
      <c r="O27" s="516"/>
      <c r="P27" s="516"/>
      <c r="BC27" s="516" t="s">
        <v>221</v>
      </c>
      <c r="BD27" s="516"/>
      <c r="BE27" s="516"/>
      <c r="BG27" s="582" t="str">
        <f>Money!A19</f>
        <v>James Dunn</v>
      </c>
      <c r="BH27" s="582"/>
      <c r="BI27" s="582"/>
      <c r="BJ27" s="582"/>
      <c r="BK27" s="582"/>
      <c r="BL27" s="582"/>
      <c r="BM27" s="582"/>
      <c r="BO27" s="583">
        <f>Money!B19</f>
        <v>14</v>
      </c>
      <c r="BP27" s="582"/>
      <c r="BQ27" s="582"/>
      <c r="BR27" s="582"/>
    </row>
    <row r="28" spans="1:70" x14ac:dyDescent="0.2">
      <c r="A28" s="516" t="s">
        <v>222</v>
      </c>
      <c r="B28" s="516"/>
      <c r="C28" s="516"/>
      <c r="E28" s="516"/>
      <c r="F28" s="516"/>
      <c r="G28" s="516"/>
      <c r="H28" s="516"/>
      <c r="I28" s="516"/>
      <c r="J28" s="516"/>
      <c r="K28" s="516"/>
      <c r="M28" s="516"/>
      <c r="N28" s="516"/>
      <c r="O28" s="516"/>
      <c r="P28" s="516"/>
      <c r="BC28" s="516" t="s">
        <v>222</v>
      </c>
      <c r="BD28" s="516"/>
      <c r="BE28" s="516"/>
      <c r="BG28" s="582" t="str">
        <f>Money!A20</f>
        <v>Dave Randall</v>
      </c>
      <c r="BH28" s="582"/>
      <c r="BI28" s="582"/>
      <c r="BJ28" s="582"/>
      <c r="BK28" s="582"/>
      <c r="BL28" s="582"/>
      <c r="BM28" s="582"/>
      <c r="BO28" s="583">
        <f>Money!B20</f>
        <v>14</v>
      </c>
      <c r="BP28" s="582"/>
      <c r="BQ28" s="582"/>
      <c r="BR28" s="582"/>
    </row>
    <row r="29" spans="1:70" x14ac:dyDescent="0.2">
      <c r="A29" s="516" t="s">
        <v>223</v>
      </c>
      <c r="B29" s="516"/>
      <c r="C29" s="516"/>
      <c r="E29" s="516"/>
      <c r="F29" s="516"/>
      <c r="G29" s="516"/>
      <c r="H29" s="516"/>
      <c r="I29" s="516"/>
      <c r="J29" s="516"/>
      <c r="K29" s="516"/>
      <c r="M29" s="516"/>
      <c r="N29" s="516"/>
      <c r="O29" s="516"/>
      <c r="P29" s="516"/>
      <c r="BC29" s="516" t="s">
        <v>223</v>
      </c>
      <c r="BD29" s="516"/>
      <c r="BE29" s="516"/>
      <c r="BG29" s="582" t="str">
        <f>Money!A21</f>
        <v>Paul Clarke</v>
      </c>
      <c r="BH29" s="582"/>
      <c r="BI29" s="582"/>
      <c r="BJ29" s="582"/>
      <c r="BK29" s="582"/>
      <c r="BL29" s="582"/>
      <c r="BM29" s="582"/>
      <c r="BO29" s="583">
        <f>Money!B21</f>
        <v>14</v>
      </c>
      <c r="BP29" s="582"/>
      <c r="BQ29" s="582"/>
      <c r="BR29" s="582"/>
    </row>
    <row r="30" spans="1:70" x14ac:dyDescent="0.2">
      <c r="A30" s="1"/>
      <c r="B30" s="1"/>
      <c r="C30" s="1"/>
    </row>
    <row r="31" spans="1:70" x14ac:dyDescent="0.2">
      <c r="A31" s="1"/>
      <c r="B31" s="1"/>
      <c r="C31" s="1"/>
    </row>
    <row r="32" spans="1:70" x14ac:dyDescent="0.2">
      <c r="A32" s="1"/>
      <c r="B32" s="1"/>
      <c r="C32" s="1"/>
    </row>
    <row r="33" spans="1:3" x14ac:dyDescent="0.2">
      <c r="A33" s="1"/>
      <c r="B33" s="1"/>
      <c r="C33" s="1"/>
    </row>
    <row r="34" spans="1:3" x14ac:dyDescent="0.2">
      <c r="A34" s="1"/>
      <c r="B34" s="1"/>
      <c r="C34" s="1"/>
    </row>
    <row r="35" spans="1:3" x14ac:dyDescent="0.2">
      <c r="A35" s="1"/>
      <c r="B35" s="1"/>
      <c r="C35" s="1"/>
    </row>
    <row r="36" spans="1:3" x14ac:dyDescent="0.2">
      <c r="A36" s="1"/>
      <c r="B36" s="1"/>
      <c r="C36" s="1"/>
    </row>
    <row r="37" spans="1:3" x14ac:dyDescent="0.2">
      <c r="A37" s="1"/>
      <c r="B37" s="1"/>
      <c r="C37" s="1"/>
    </row>
    <row r="38" spans="1:3" x14ac:dyDescent="0.2">
      <c r="A38" s="1"/>
      <c r="B38" s="1"/>
      <c r="C38" s="1"/>
    </row>
    <row r="39" spans="1:3" x14ac:dyDescent="0.2">
      <c r="A39" s="1"/>
      <c r="B39" s="1"/>
      <c r="C39" s="1"/>
    </row>
    <row r="40" spans="1:3" x14ac:dyDescent="0.2">
      <c r="A40" s="1"/>
      <c r="B40" s="1"/>
      <c r="C40" s="1"/>
    </row>
    <row r="41" spans="1:3" x14ac:dyDescent="0.2">
      <c r="A41" s="1"/>
      <c r="B41" s="1"/>
      <c r="C41" s="1"/>
    </row>
    <row r="42" spans="1:3" x14ac:dyDescent="0.2">
      <c r="A42" s="1"/>
      <c r="B42" s="1"/>
      <c r="C42" s="1"/>
    </row>
    <row r="43" spans="1:3" x14ac:dyDescent="0.2">
      <c r="A43" s="1"/>
      <c r="B43" s="1"/>
      <c r="C43" s="1"/>
    </row>
    <row r="44" spans="1:3" x14ac:dyDescent="0.2">
      <c r="A44" s="1"/>
      <c r="B44" s="1"/>
      <c r="C44" s="1"/>
    </row>
    <row r="45" spans="1:3" x14ac:dyDescent="0.2">
      <c r="A45" s="1"/>
      <c r="B45" s="1"/>
      <c r="C45" s="1"/>
    </row>
    <row r="46" spans="1:3" x14ac:dyDescent="0.2">
      <c r="A46" s="1"/>
      <c r="B46" s="1"/>
      <c r="C46" s="1"/>
    </row>
    <row r="47" spans="1:3" x14ac:dyDescent="0.2">
      <c r="A47" s="1"/>
      <c r="B47" s="1"/>
      <c r="C47" s="1"/>
    </row>
    <row r="48" spans="1:3" x14ac:dyDescent="0.2">
      <c r="A48" s="1"/>
      <c r="B48" s="1"/>
      <c r="C48" s="1"/>
    </row>
    <row r="49" spans="1:70" x14ac:dyDescent="0.2">
      <c r="A49" s="1"/>
      <c r="B49" s="1"/>
      <c r="C49" s="1"/>
    </row>
    <row r="50" spans="1:70" x14ac:dyDescent="0.2">
      <c r="A50" s="1"/>
      <c r="B50" s="1"/>
      <c r="C50" s="1"/>
    </row>
    <row r="51" spans="1:70" x14ac:dyDescent="0.2">
      <c r="A51" s="1"/>
      <c r="B51" s="1"/>
      <c r="C51" s="1"/>
    </row>
    <row r="52" spans="1:70" x14ac:dyDescent="0.2">
      <c r="A52" s="516"/>
      <c r="B52" s="516"/>
      <c r="C52" s="516"/>
    </row>
    <row r="53" spans="1:70" ht="5.25" customHeight="1" x14ac:dyDescent="0.2">
      <c r="A53" s="1"/>
      <c r="B53" s="1"/>
      <c r="C53" s="1"/>
    </row>
    <row r="54" spans="1:70" ht="5.25" customHeight="1" x14ac:dyDescent="0.2">
      <c r="A54" s="1"/>
      <c r="B54" s="1"/>
      <c r="C54" s="1"/>
    </row>
    <row r="55" spans="1:70" s="444" customFormat="1" ht="15" customHeight="1" x14ac:dyDescent="0.2">
      <c r="A55" s="519" t="s">
        <v>282</v>
      </c>
      <c r="B55" s="520"/>
      <c r="C55" s="520"/>
      <c r="D55" s="520"/>
      <c r="E55" s="520"/>
      <c r="F55" s="520"/>
      <c r="G55" s="520"/>
      <c r="H55" s="520"/>
      <c r="I55" s="520"/>
      <c r="J55" s="520"/>
      <c r="K55" s="520"/>
      <c r="L55" s="520"/>
      <c r="M55" s="520"/>
      <c r="N55" s="520"/>
      <c r="O55" s="520"/>
      <c r="P55" s="521"/>
      <c r="S55" s="522" t="s">
        <v>283</v>
      </c>
      <c r="T55" s="523"/>
      <c r="U55" s="523"/>
      <c r="V55" s="523"/>
      <c r="W55" s="523"/>
      <c r="X55" s="523"/>
      <c r="Y55" s="523"/>
      <c r="Z55" s="523"/>
      <c r="AA55" s="523"/>
      <c r="AB55" s="523"/>
      <c r="AC55" s="523"/>
      <c r="AD55" s="523"/>
      <c r="AE55" s="523"/>
      <c r="AF55" s="523"/>
      <c r="AG55" s="523"/>
      <c r="AH55" s="524"/>
      <c r="AK55" s="531" t="s">
        <v>284</v>
      </c>
      <c r="AL55" s="532"/>
      <c r="AM55" s="532"/>
      <c r="AN55" s="532"/>
      <c r="AO55" s="532"/>
      <c r="AP55" s="532"/>
      <c r="AQ55" s="532"/>
      <c r="AR55" s="532"/>
      <c r="AS55" s="532"/>
      <c r="AT55" s="532"/>
      <c r="AU55" s="532"/>
      <c r="AV55" s="532"/>
      <c r="AW55" s="532"/>
      <c r="AX55" s="532"/>
      <c r="AY55" s="532"/>
      <c r="AZ55" s="533"/>
      <c r="BC55" s="534" t="s">
        <v>285</v>
      </c>
      <c r="BD55" s="535"/>
      <c r="BE55" s="535"/>
      <c r="BF55" s="535"/>
      <c r="BG55" s="535"/>
      <c r="BH55" s="535"/>
      <c r="BI55" s="535"/>
      <c r="BJ55" s="535"/>
      <c r="BK55" s="535"/>
      <c r="BL55" s="535"/>
      <c r="BM55" s="535"/>
      <c r="BN55" s="535"/>
      <c r="BO55" s="535"/>
      <c r="BP55" s="535"/>
      <c r="BQ55" s="535"/>
      <c r="BR55" s="536"/>
    </row>
    <row r="57" spans="1:70" x14ac:dyDescent="0.2">
      <c r="A57" s="537" t="s">
        <v>198</v>
      </c>
      <c r="B57" s="538"/>
      <c r="C57" s="538"/>
      <c r="D57" s="446"/>
      <c r="E57" s="538" t="s">
        <v>49</v>
      </c>
      <c r="F57" s="538"/>
      <c r="G57" s="538"/>
      <c r="H57" s="538"/>
      <c r="I57" s="538"/>
      <c r="J57" s="538"/>
      <c r="K57" s="538"/>
      <c r="L57" s="446"/>
      <c r="M57" s="538" t="s">
        <v>204</v>
      </c>
      <c r="N57" s="538"/>
      <c r="O57" s="538"/>
      <c r="P57" s="539"/>
      <c r="S57" s="540" t="s">
        <v>198</v>
      </c>
      <c r="T57" s="541"/>
      <c r="U57" s="541"/>
      <c r="V57" s="452"/>
      <c r="W57" s="541" t="s">
        <v>49</v>
      </c>
      <c r="X57" s="541"/>
      <c r="Y57" s="541"/>
      <c r="Z57" s="541"/>
      <c r="AA57" s="541"/>
      <c r="AB57" s="541"/>
      <c r="AC57" s="541"/>
      <c r="AD57" s="452"/>
      <c r="AE57" s="541" t="s">
        <v>204</v>
      </c>
      <c r="AF57" s="541"/>
      <c r="AG57" s="541"/>
      <c r="AH57" s="542"/>
      <c r="AK57" s="543" t="s">
        <v>198</v>
      </c>
      <c r="AL57" s="544"/>
      <c r="AM57" s="544"/>
      <c r="AN57" s="453"/>
      <c r="AO57" s="544" t="s">
        <v>49</v>
      </c>
      <c r="AP57" s="544"/>
      <c r="AQ57" s="544"/>
      <c r="AR57" s="544"/>
      <c r="AS57" s="544"/>
      <c r="AT57" s="544"/>
      <c r="AU57" s="544"/>
      <c r="AV57" s="453"/>
      <c r="AW57" s="544" t="s">
        <v>204</v>
      </c>
      <c r="AX57" s="544"/>
      <c r="AY57" s="544"/>
      <c r="AZ57" s="545"/>
      <c r="BC57" s="546" t="s">
        <v>198</v>
      </c>
      <c r="BD57" s="547"/>
      <c r="BE57" s="547"/>
      <c r="BF57" s="454"/>
      <c r="BG57" s="547" t="s">
        <v>49</v>
      </c>
      <c r="BH57" s="547"/>
      <c r="BI57" s="547"/>
      <c r="BJ57" s="547"/>
      <c r="BK57" s="547"/>
      <c r="BL57" s="547"/>
      <c r="BM57" s="547"/>
      <c r="BN57" s="454"/>
      <c r="BO57" s="547" t="s">
        <v>281</v>
      </c>
      <c r="BP57" s="547"/>
      <c r="BQ57" s="547"/>
      <c r="BR57" s="548"/>
    </row>
    <row r="59" spans="1:70" x14ac:dyDescent="0.2">
      <c r="A59" s="525" t="s">
        <v>79</v>
      </c>
      <c r="B59" s="526"/>
      <c r="C59" s="526"/>
      <c r="D59" s="439"/>
      <c r="E59" s="527" t="str">
        <f>Eagles!E6</f>
        <v>James Dunn</v>
      </c>
      <c r="F59" s="527"/>
      <c r="G59" s="527"/>
      <c r="H59" s="527"/>
      <c r="I59" s="527"/>
      <c r="J59" s="527"/>
      <c r="K59" s="527"/>
      <c r="L59" s="439"/>
      <c r="M59" s="526">
        <f>Eagles!F6</f>
        <v>1</v>
      </c>
      <c r="N59" s="526"/>
      <c r="O59" s="526"/>
      <c r="P59" s="528"/>
      <c r="S59" s="529" t="s">
        <v>79</v>
      </c>
      <c r="T59" s="530"/>
      <c r="U59" s="530"/>
      <c r="V59" s="441"/>
      <c r="W59" s="530" t="str">
        <f>Birdies!E6</f>
        <v>Brad Whitehead</v>
      </c>
      <c r="X59" s="530"/>
      <c r="Y59" s="530"/>
      <c r="Z59" s="530"/>
      <c r="AA59" s="530"/>
      <c r="AB59" s="530"/>
      <c r="AC59" s="530"/>
      <c r="AD59" s="441"/>
      <c r="AE59" s="530">
        <f>Birdies!F6</f>
        <v>37</v>
      </c>
      <c r="AF59" s="530"/>
      <c r="AG59" s="530"/>
      <c r="AH59" s="553"/>
      <c r="AK59" s="554" t="s">
        <v>79</v>
      </c>
      <c r="AL59" s="555"/>
      <c r="AM59" s="555"/>
      <c r="AN59" s="436"/>
      <c r="AO59" s="556" t="str">
        <f>Pars!E6</f>
        <v>Dave Randall</v>
      </c>
      <c r="AP59" s="555"/>
      <c r="AQ59" s="555"/>
      <c r="AR59" s="555"/>
      <c r="AS59" s="555"/>
      <c r="AT59" s="555"/>
      <c r="AU59" s="555"/>
      <c r="AV59" s="436"/>
      <c r="AW59" s="555">
        <f>Pars!F6</f>
        <v>122</v>
      </c>
      <c r="AX59" s="555"/>
      <c r="AY59" s="555"/>
      <c r="AZ59" s="557"/>
      <c r="BC59" s="558" t="s">
        <v>79</v>
      </c>
      <c r="BD59" s="550"/>
      <c r="BE59" s="550"/>
      <c r="BF59" s="443"/>
      <c r="BG59" s="550" t="str">
        <f>Blobs!M6</f>
        <v>Mike Forrest</v>
      </c>
      <c r="BH59" s="550"/>
      <c r="BI59" s="550"/>
      <c r="BJ59" s="550"/>
      <c r="BK59" s="550"/>
      <c r="BL59" s="550"/>
      <c r="BM59" s="550"/>
      <c r="BN59" s="443"/>
      <c r="BO59" s="551">
        <f>Blobs!P6</f>
        <v>2.7</v>
      </c>
      <c r="BP59" s="550"/>
      <c r="BQ59" s="550"/>
      <c r="BR59" s="552"/>
    </row>
    <row r="60" spans="1:70" x14ac:dyDescent="0.2">
      <c r="A60" s="438"/>
      <c r="B60" s="438"/>
      <c r="C60" s="438"/>
      <c r="D60" s="439"/>
      <c r="E60" s="451"/>
      <c r="F60" s="451"/>
      <c r="G60" s="451"/>
      <c r="H60" s="451"/>
      <c r="I60" s="451"/>
      <c r="J60" s="451"/>
      <c r="K60" s="451"/>
      <c r="L60" s="439"/>
      <c r="M60" s="438"/>
      <c r="N60" s="438"/>
      <c r="O60" s="438"/>
      <c r="P60" s="438"/>
      <c r="S60" s="440"/>
      <c r="T60" s="440"/>
      <c r="U60" s="440"/>
      <c r="V60" s="441"/>
      <c r="W60" s="440"/>
      <c r="X60" s="440"/>
      <c r="Y60" s="440"/>
      <c r="Z60" s="440"/>
      <c r="AA60" s="440"/>
      <c r="AB60" s="440"/>
      <c r="AC60" s="440"/>
      <c r="AD60" s="441"/>
      <c r="AE60" s="440"/>
      <c r="AF60" s="440"/>
      <c r="AG60" s="440"/>
      <c r="AH60" s="440"/>
      <c r="AK60" s="435"/>
      <c r="AL60" s="435"/>
      <c r="AM60" s="435"/>
      <c r="AN60" s="436"/>
      <c r="AO60" s="437"/>
      <c r="AP60" s="435"/>
      <c r="AQ60" s="435"/>
      <c r="AR60" s="435"/>
      <c r="AS60" s="435"/>
      <c r="AT60" s="435"/>
      <c r="AU60" s="435"/>
      <c r="AV60" s="436"/>
      <c r="AW60" s="435"/>
      <c r="AX60" s="435"/>
      <c r="AY60" s="435"/>
      <c r="AZ60" s="435"/>
      <c r="BC60" s="442"/>
      <c r="BD60" s="442"/>
      <c r="BE60" s="442"/>
      <c r="BF60" s="443"/>
      <c r="BG60" s="442"/>
      <c r="BH60" s="442"/>
      <c r="BI60" s="442"/>
      <c r="BJ60" s="442"/>
      <c r="BK60" s="442"/>
      <c r="BL60" s="442"/>
      <c r="BM60" s="442"/>
      <c r="BN60" s="443"/>
      <c r="BO60" s="491"/>
      <c r="BP60" s="442"/>
      <c r="BQ60" s="442"/>
      <c r="BR60" s="442"/>
    </row>
    <row r="61" spans="1:70" x14ac:dyDescent="0.2">
      <c r="A61" s="525" t="s">
        <v>80</v>
      </c>
      <c r="B61" s="526"/>
      <c r="C61" s="526"/>
      <c r="D61" s="439"/>
      <c r="E61" s="527" t="str">
        <f>Eagles!E7</f>
        <v>Jordan Hall</v>
      </c>
      <c r="F61" s="527"/>
      <c r="G61" s="527"/>
      <c r="H61" s="527"/>
      <c r="I61" s="527"/>
      <c r="J61" s="527"/>
      <c r="K61" s="527"/>
      <c r="L61" s="439"/>
      <c r="M61" s="526">
        <f>Eagles!F7</f>
        <v>1</v>
      </c>
      <c r="N61" s="526"/>
      <c r="O61" s="526"/>
      <c r="P61" s="528"/>
      <c r="S61" s="529" t="s">
        <v>80</v>
      </c>
      <c r="T61" s="530"/>
      <c r="U61" s="530"/>
      <c r="V61" s="441"/>
      <c r="W61" s="530" t="str">
        <f>Birdies!E7</f>
        <v>Chris Smith</v>
      </c>
      <c r="X61" s="530"/>
      <c r="Y61" s="530"/>
      <c r="Z61" s="530"/>
      <c r="AA61" s="530"/>
      <c r="AB61" s="530"/>
      <c r="AC61" s="530"/>
      <c r="AD61" s="441"/>
      <c r="AE61" s="530">
        <f>Birdies!F7</f>
        <v>29</v>
      </c>
      <c r="AF61" s="530"/>
      <c r="AG61" s="530"/>
      <c r="AH61" s="553"/>
      <c r="AK61" s="554" t="s">
        <v>80</v>
      </c>
      <c r="AL61" s="555"/>
      <c r="AM61" s="555"/>
      <c r="AN61" s="436"/>
      <c r="AO61" s="556" t="str">
        <f>Pars!E7</f>
        <v>Chris Smith</v>
      </c>
      <c r="AP61" s="555"/>
      <c r="AQ61" s="555"/>
      <c r="AR61" s="555"/>
      <c r="AS61" s="555"/>
      <c r="AT61" s="555"/>
      <c r="AU61" s="555"/>
      <c r="AV61" s="436"/>
      <c r="AW61" s="555">
        <f>Pars!F7</f>
        <v>114</v>
      </c>
      <c r="AX61" s="555"/>
      <c r="AY61" s="555"/>
      <c r="AZ61" s="557"/>
      <c r="BC61" s="558" t="s">
        <v>80</v>
      </c>
      <c r="BD61" s="550"/>
      <c r="BE61" s="550"/>
      <c r="BF61" s="443"/>
      <c r="BG61" s="550" t="str">
        <f>Blobs!M7</f>
        <v>Tony Forsyth-James</v>
      </c>
      <c r="BH61" s="550"/>
      <c r="BI61" s="550"/>
      <c r="BJ61" s="550"/>
      <c r="BK61" s="550"/>
      <c r="BL61" s="550"/>
      <c r="BM61" s="550"/>
      <c r="BN61" s="443"/>
      <c r="BO61" s="551">
        <f>Blobs!P7</f>
        <v>2.375</v>
      </c>
      <c r="BP61" s="550"/>
      <c r="BQ61" s="550"/>
      <c r="BR61" s="552"/>
    </row>
    <row r="62" spans="1:70" x14ac:dyDescent="0.2">
      <c r="A62" s="438"/>
      <c r="B62" s="438"/>
      <c r="C62" s="438"/>
      <c r="D62" s="439"/>
      <c r="E62" s="451"/>
      <c r="F62" s="451"/>
      <c r="G62" s="451"/>
      <c r="H62" s="451"/>
      <c r="I62" s="451"/>
      <c r="J62" s="451"/>
      <c r="K62" s="451"/>
      <c r="L62" s="439"/>
      <c r="M62" s="438"/>
      <c r="N62" s="438"/>
      <c r="O62" s="438"/>
      <c r="P62" s="438"/>
      <c r="S62" s="440"/>
      <c r="T62" s="440"/>
      <c r="U62" s="440"/>
      <c r="V62" s="441"/>
      <c r="W62" s="440"/>
      <c r="X62" s="440"/>
      <c r="Y62" s="440"/>
      <c r="Z62" s="440"/>
      <c r="AA62" s="440"/>
      <c r="AB62" s="440"/>
      <c r="AC62" s="440"/>
      <c r="AD62" s="441"/>
      <c r="AE62" s="440"/>
      <c r="AF62" s="440"/>
      <c r="AG62" s="440"/>
      <c r="AH62" s="440"/>
      <c r="AK62" s="435"/>
      <c r="AL62" s="435"/>
      <c r="AM62" s="435"/>
      <c r="AN62" s="436"/>
      <c r="AO62" s="437"/>
      <c r="AP62" s="435"/>
      <c r="AQ62" s="435"/>
      <c r="AR62" s="435"/>
      <c r="AS62" s="435"/>
      <c r="AT62" s="435"/>
      <c r="AU62" s="435"/>
      <c r="AV62" s="436"/>
      <c r="AW62" s="435"/>
      <c r="AX62" s="435"/>
      <c r="AY62" s="435"/>
      <c r="AZ62" s="435"/>
      <c r="BC62" s="442"/>
      <c r="BD62" s="442"/>
      <c r="BE62" s="442"/>
      <c r="BF62" s="443"/>
      <c r="BG62" s="442"/>
      <c r="BH62" s="442"/>
      <c r="BI62" s="442"/>
      <c r="BJ62" s="442"/>
      <c r="BK62" s="442"/>
      <c r="BL62" s="442"/>
      <c r="BM62" s="442"/>
      <c r="BN62" s="443"/>
      <c r="BO62" s="491"/>
      <c r="BP62" s="442"/>
      <c r="BQ62" s="442"/>
      <c r="BR62" s="442"/>
    </row>
    <row r="63" spans="1:70" x14ac:dyDescent="0.2">
      <c r="A63" s="525" t="s">
        <v>81</v>
      </c>
      <c r="B63" s="526"/>
      <c r="C63" s="526"/>
      <c r="D63" s="439"/>
      <c r="E63" s="527" t="str">
        <f>Eagles!E8</f>
        <v>Justin Hunt</v>
      </c>
      <c r="F63" s="527"/>
      <c r="G63" s="527"/>
      <c r="H63" s="527"/>
      <c r="I63" s="527"/>
      <c r="J63" s="527"/>
      <c r="K63" s="527"/>
      <c r="L63" s="439"/>
      <c r="M63" s="526">
        <f>Eagles!F8</f>
        <v>1</v>
      </c>
      <c r="N63" s="526"/>
      <c r="O63" s="526"/>
      <c r="P63" s="528"/>
      <c r="S63" s="529" t="s">
        <v>81</v>
      </c>
      <c r="T63" s="530"/>
      <c r="U63" s="530"/>
      <c r="V63" s="441"/>
      <c r="W63" s="530" t="str">
        <f>Birdies!E8</f>
        <v>Martin Coomber</v>
      </c>
      <c r="X63" s="530"/>
      <c r="Y63" s="530"/>
      <c r="Z63" s="530"/>
      <c r="AA63" s="530"/>
      <c r="AB63" s="530"/>
      <c r="AC63" s="530"/>
      <c r="AD63" s="441"/>
      <c r="AE63" s="530">
        <f>Birdies!F8</f>
        <v>18</v>
      </c>
      <c r="AF63" s="530"/>
      <c r="AG63" s="530"/>
      <c r="AH63" s="553"/>
      <c r="AK63" s="554" t="s">
        <v>81</v>
      </c>
      <c r="AL63" s="555"/>
      <c r="AM63" s="555"/>
      <c r="AN63" s="436"/>
      <c r="AO63" s="556" t="str">
        <f>Pars!E8</f>
        <v>Brad Whitehead</v>
      </c>
      <c r="AP63" s="555"/>
      <c r="AQ63" s="555"/>
      <c r="AR63" s="555"/>
      <c r="AS63" s="555"/>
      <c r="AT63" s="555"/>
      <c r="AU63" s="555"/>
      <c r="AV63" s="436"/>
      <c r="AW63" s="555">
        <f>Pars!F8</f>
        <v>109</v>
      </c>
      <c r="AX63" s="555"/>
      <c r="AY63" s="555"/>
      <c r="AZ63" s="557"/>
      <c r="BC63" s="558" t="s">
        <v>81</v>
      </c>
      <c r="BD63" s="550"/>
      <c r="BE63" s="550"/>
      <c r="BF63" s="443"/>
      <c r="BG63" s="550" t="str">
        <f>Blobs!M8</f>
        <v>Dave Randall</v>
      </c>
      <c r="BH63" s="550"/>
      <c r="BI63" s="550"/>
      <c r="BJ63" s="550"/>
      <c r="BK63" s="550"/>
      <c r="BL63" s="550"/>
      <c r="BM63" s="550"/>
      <c r="BN63" s="443"/>
      <c r="BO63" s="551">
        <f>Blobs!P8</f>
        <v>2.125</v>
      </c>
      <c r="BP63" s="550"/>
      <c r="BQ63" s="550"/>
      <c r="BR63" s="552"/>
    </row>
    <row r="64" spans="1:70" x14ac:dyDescent="0.2">
      <c r="A64" s="438"/>
      <c r="B64" s="438"/>
      <c r="C64" s="438"/>
      <c r="D64" s="439"/>
      <c r="E64" s="451"/>
      <c r="F64" s="451"/>
      <c r="G64" s="451"/>
      <c r="H64" s="451"/>
      <c r="I64" s="451"/>
      <c r="J64" s="451"/>
      <c r="K64" s="451"/>
      <c r="L64" s="439"/>
      <c r="M64" s="438"/>
      <c r="N64" s="438"/>
      <c r="O64" s="438"/>
      <c r="P64" s="438"/>
      <c r="S64" s="440"/>
      <c r="T64" s="440"/>
      <c r="U64" s="440"/>
      <c r="V64" s="441"/>
      <c r="W64" s="440"/>
      <c r="X64" s="440"/>
      <c r="Y64" s="440"/>
      <c r="Z64" s="440"/>
      <c r="AA64" s="440"/>
      <c r="AB64" s="440"/>
      <c r="AC64" s="440"/>
      <c r="AD64" s="441"/>
      <c r="AE64" s="440"/>
      <c r="AF64" s="440"/>
      <c r="AG64" s="440"/>
      <c r="AH64" s="440"/>
      <c r="AK64" s="435"/>
      <c r="AL64" s="435"/>
      <c r="AM64" s="435"/>
      <c r="AN64" s="436"/>
      <c r="AO64" s="437"/>
      <c r="AP64" s="435"/>
      <c r="AQ64" s="435"/>
      <c r="AR64" s="435"/>
      <c r="AS64" s="435"/>
      <c r="AT64" s="435"/>
      <c r="AU64" s="435"/>
      <c r="AV64" s="436"/>
      <c r="AW64" s="435"/>
      <c r="AX64" s="435"/>
      <c r="AY64" s="435"/>
      <c r="AZ64" s="435"/>
      <c r="BC64" s="442"/>
      <c r="BD64" s="442"/>
      <c r="BE64" s="442"/>
      <c r="BF64" s="443"/>
      <c r="BG64" s="468"/>
      <c r="BH64" s="468"/>
      <c r="BI64" s="468"/>
      <c r="BJ64" s="468"/>
      <c r="BK64" s="468"/>
      <c r="BL64" s="468"/>
      <c r="BM64" s="468"/>
      <c r="BN64" s="469"/>
      <c r="BO64" s="470"/>
      <c r="BP64" s="468"/>
      <c r="BQ64" s="468"/>
      <c r="BR64" s="468"/>
    </row>
    <row r="65" spans="1:70" x14ac:dyDescent="0.2">
      <c r="A65" s="525" t="s">
        <v>82</v>
      </c>
      <c r="B65" s="526"/>
      <c r="C65" s="526"/>
      <c r="D65" s="439"/>
      <c r="E65" s="526" t="str">
        <f>Eagles!E9</f>
        <v>Edward Money</v>
      </c>
      <c r="F65" s="526"/>
      <c r="G65" s="526"/>
      <c r="H65" s="526"/>
      <c r="I65" s="526"/>
      <c r="J65" s="526"/>
      <c r="K65" s="526"/>
      <c r="L65" s="439"/>
      <c r="M65" s="526">
        <f>Eagles!F9</f>
        <v>1</v>
      </c>
      <c r="N65" s="526"/>
      <c r="O65" s="526"/>
      <c r="P65" s="528"/>
      <c r="S65" s="529" t="s">
        <v>82</v>
      </c>
      <c r="T65" s="530"/>
      <c r="U65" s="530"/>
      <c r="V65" s="441"/>
      <c r="W65" s="530" t="str">
        <f>Birdies!E9</f>
        <v>Peter Vallely</v>
      </c>
      <c r="X65" s="530"/>
      <c r="Y65" s="530"/>
      <c r="Z65" s="530"/>
      <c r="AA65" s="530"/>
      <c r="AB65" s="530"/>
      <c r="AC65" s="530"/>
      <c r="AD65" s="441"/>
      <c r="AE65" s="530">
        <f>Birdies!F9</f>
        <v>18</v>
      </c>
      <c r="AF65" s="530"/>
      <c r="AG65" s="530"/>
      <c r="AH65" s="553"/>
      <c r="AK65" s="554" t="s">
        <v>82</v>
      </c>
      <c r="AL65" s="555"/>
      <c r="AM65" s="555"/>
      <c r="AN65" s="436"/>
      <c r="AO65" s="556" t="str">
        <f>Pars!E9</f>
        <v>Peter Vallely</v>
      </c>
      <c r="AP65" s="555"/>
      <c r="AQ65" s="555"/>
      <c r="AR65" s="555"/>
      <c r="AS65" s="555"/>
      <c r="AT65" s="555"/>
      <c r="AU65" s="555"/>
      <c r="AV65" s="436"/>
      <c r="AW65" s="555">
        <f>Pars!F9</f>
        <v>104</v>
      </c>
      <c r="AX65" s="555"/>
      <c r="AY65" s="555"/>
      <c r="AZ65" s="557"/>
      <c r="BC65" s="558" t="s">
        <v>82</v>
      </c>
      <c r="BD65" s="550"/>
      <c r="BE65" s="550"/>
      <c r="BF65" s="443"/>
      <c r="BG65" s="559" t="str">
        <f>Blobs!M9</f>
        <v>Jason Wale</v>
      </c>
      <c r="BH65" s="559"/>
      <c r="BI65" s="559"/>
      <c r="BJ65" s="559"/>
      <c r="BK65" s="559"/>
      <c r="BL65" s="559"/>
      <c r="BM65" s="559"/>
      <c r="BN65" s="493"/>
      <c r="BO65" s="560">
        <f>Blobs!P9</f>
        <v>2.1</v>
      </c>
      <c r="BP65" s="559"/>
      <c r="BQ65" s="559"/>
      <c r="BR65" s="561"/>
    </row>
    <row r="66" spans="1:70" x14ac:dyDescent="0.2">
      <c r="A66" s="438"/>
      <c r="B66" s="438"/>
      <c r="C66" s="438"/>
      <c r="D66" s="439"/>
      <c r="E66" s="451"/>
      <c r="F66" s="451"/>
      <c r="G66" s="451"/>
      <c r="H66" s="451"/>
      <c r="I66" s="451"/>
      <c r="J66" s="451"/>
      <c r="K66" s="451"/>
      <c r="L66" s="439"/>
      <c r="M66" s="438"/>
      <c r="N66" s="438"/>
      <c r="O66" s="438"/>
      <c r="P66" s="438"/>
      <c r="S66" s="440"/>
      <c r="T66" s="440"/>
      <c r="U66" s="440"/>
      <c r="V66" s="441"/>
      <c r="W66" s="440"/>
      <c r="X66" s="440"/>
      <c r="Y66" s="440"/>
      <c r="Z66" s="440"/>
      <c r="AA66" s="440"/>
      <c r="AB66" s="440"/>
      <c r="AC66" s="440"/>
      <c r="AD66" s="441"/>
      <c r="AE66" s="440"/>
      <c r="AF66" s="440"/>
      <c r="AG66" s="440"/>
      <c r="AH66" s="440"/>
      <c r="AK66" s="435"/>
      <c r="AL66" s="435"/>
      <c r="AM66" s="435"/>
      <c r="AN66" s="436"/>
      <c r="AO66" s="437"/>
      <c r="AP66" s="435"/>
      <c r="AQ66" s="435"/>
      <c r="AR66" s="435"/>
      <c r="AS66" s="435"/>
      <c r="AT66" s="435"/>
      <c r="AU66" s="435"/>
      <c r="AV66" s="436"/>
      <c r="AW66" s="435"/>
      <c r="AX66" s="435"/>
      <c r="AY66" s="435"/>
      <c r="AZ66" s="435"/>
      <c r="BC66" s="442"/>
      <c r="BD66" s="442"/>
      <c r="BE66" s="442"/>
      <c r="BF66" s="443"/>
      <c r="BG66" s="468"/>
      <c r="BH66" s="468"/>
      <c r="BI66" s="468"/>
      <c r="BJ66" s="468"/>
      <c r="BK66" s="468"/>
      <c r="BL66" s="468"/>
      <c r="BM66" s="468"/>
      <c r="BN66" s="469"/>
      <c r="BO66" s="470"/>
      <c r="BP66" s="468"/>
      <c r="BQ66" s="468"/>
      <c r="BR66" s="468"/>
    </row>
    <row r="67" spans="1:70" x14ac:dyDescent="0.2">
      <c r="A67" s="525" t="s">
        <v>83</v>
      </c>
      <c r="B67" s="526"/>
      <c r="C67" s="526"/>
      <c r="D67" s="439"/>
      <c r="E67" s="527" t="str">
        <f>Eagles!E10</f>
        <v>Chris Smith</v>
      </c>
      <c r="F67" s="527"/>
      <c r="G67" s="527"/>
      <c r="H67" s="527"/>
      <c r="I67" s="527"/>
      <c r="J67" s="527"/>
      <c r="K67" s="527"/>
      <c r="L67" s="439"/>
      <c r="M67" s="526">
        <f>Eagles!F10</f>
        <v>1</v>
      </c>
      <c r="N67" s="526"/>
      <c r="O67" s="526"/>
      <c r="P67" s="528"/>
      <c r="S67" s="529" t="s">
        <v>83</v>
      </c>
      <c r="T67" s="530"/>
      <c r="U67" s="530"/>
      <c r="V67" s="441"/>
      <c r="W67" s="530" t="str">
        <f>Birdies!E10</f>
        <v>Andy Johnson</v>
      </c>
      <c r="X67" s="530"/>
      <c r="Y67" s="530"/>
      <c r="Z67" s="530"/>
      <c r="AA67" s="530"/>
      <c r="AB67" s="530"/>
      <c r="AC67" s="530"/>
      <c r="AD67" s="441"/>
      <c r="AE67" s="530">
        <f>Birdies!F10</f>
        <v>17</v>
      </c>
      <c r="AF67" s="530"/>
      <c r="AG67" s="530"/>
      <c r="AH67" s="553"/>
      <c r="AK67" s="554" t="s">
        <v>83</v>
      </c>
      <c r="AL67" s="555"/>
      <c r="AM67" s="555"/>
      <c r="AN67" s="436"/>
      <c r="AO67" s="556" t="str">
        <f>Pars!E10</f>
        <v>Martin Coomber</v>
      </c>
      <c r="AP67" s="555"/>
      <c r="AQ67" s="555"/>
      <c r="AR67" s="555"/>
      <c r="AS67" s="555"/>
      <c r="AT67" s="555"/>
      <c r="AU67" s="555"/>
      <c r="AV67" s="436"/>
      <c r="AW67" s="555">
        <f>Pars!F10</f>
        <v>102</v>
      </c>
      <c r="AX67" s="555"/>
      <c r="AY67" s="555"/>
      <c r="AZ67" s="557"/>
      <c r="BC67" s="558" t="s">
        <v>83</v>
      </c>
      <c r="BD67" s="550"/>
      <c r="BE67" s="550"/>
      <c r="BF67" s="443"/>
      <c r="BG67" s="559" t="str">
        <f>Blobs!M10</f>
        <v>Ben Fleet</v>
      </c>
      <c r="BH67" s="559"/>
      <c r="BI67" s="559"/>
      <c r="BJ67" s="559"/>
      <c r="BK67" s="559"/>
      <c r="BL67" s="559"/>
      <c r="BM67" s="559"/>
      <c r="BN67" s="493"/>
      <c r="BO67" s="560">
        <f>Blobs!P10</f>
        <v>2.0769230769230771</v>
      </c>
      <c r="BP67" s="559"/>
      <c r="BQ67" s="559"/>
      <c r="BR67" s="561"/>
    </row>
    <row r="68" spans="1:70" x14ac:dyDescent="0.2">
      <c r="A68" s="438"/>
      <c r="B68" s="438"/>
      <c r="C68" s="438"/>
      <c r="D68" s="439"/>
      <c r="E68" s="451"/>
      <c r="F68" s="451"/>
      <c r="G68" s="451"/>
      <c r="H68" s="451"/>
      <c r="I68" s="451"/>
      <c r="J68" s="451"/>
      <c r="K68" s="451"/>
      <c r="L68" s="439"/>
      <c r="M68" s="438"/>
      <c r="N68" s="438"/>
      <c r="O68" s="438"/>
      <c r="P68" s="438"/>
      <c r="S68" s="440"/>
      <c r="T68" s="440"/>
      <c r="U68" s="440"/>
      <c r="V68" s="441"/>
      <c r="W68" s="440"/>
      <c r="X68" s="440"/>
      <c r="Y68" s="440"/>
      <c r="Z68" s="440"/>
      <c r="AA68" s="440"/>
      <c r="AB68" s="440"/>
      <c r="AC68" s="440"/>
      <c r="AD68" s="441"/>
      <c r="AE68" s="440"/>
      <c r="AF68" s="440"/>
      <c r="AG68" s="440"/>
      <c r="AH68" s="440"/>
      <c r="AK68" s="435"/>
      <c r="AL68" s="435"/>
      <c r="AM68" s="435"/>
      <c r="AN68" s="436"/>
      <c r="AO68" s="437"/>
      <c r="AP68" s="435"/>
      <c r="AQ68" s="435"/>
      <c r="AR68" s="435"/>
      <c r="AS68" s="435"/>
      <c r="AT68" s="435"/>
      <c r="AU68" s="435"/>
      <c r="AV68" s="436"/>
      <c r="AW68" s="435"/>
      <c r="AX68" s="435"/>
      <c r="AY68" s="435"/>
      <c r="AZ68" s="435"/>
      <c r="BC68" s="442"/>
      <c r="BD68" s="442"/>
      <c r="BE68" s="442"/>
      <c r="BF68" s="443"/>
      <c r="BG68" s="468"/>
      <c r="BH68" s="468"/>
      <c r="BI68" s="468"/>
      <c r="BJ68" s="468"/>
      <c r="BK68" s="468"/>
      <c r="BL68" s="468"/>
      <c r="BM68" s="468"/>
      <c r="BN68" s="469"/>
      <c r="BO68" s="470"/>
      <c r="BP68" s="468"/>
      <c r="BQ68" s="468"/>
      <c r="BR68" s="468"/>
    </row>
    <row r="69" spans="1:70" x14ac:dyDescent="0.2">
      <c r="A69" s="525" t="s">
        <v>94</v>
      </c>
      <c r="B69" s="526"/>
      <c r="C69" s="526"/>
      <c r="D69" s="439"/>
      <c r="E69" s="549" t="str">
        <f>Eagles!E11</f>
        <v>Stuart Anderson</v>
      </c>
      <c r="F69" s="549"/>
      <c r="G69" s="549"/>
      <c r="H69" s="549"/>
      <c r="I69" s="549"/>
      <c r="J69" s="549"/>
      <c r="K69" s="549"/>
      <c r="L69" s="439"/>
      <c r="M69" s="526">
        <f>Eagles!F11</f>
        <v>0</v>
      </c>
      <c r="N69" s="526"/>
      <c r="O69" s="526"/>
      <c r="P69" s="528"/>
      <c r="S69" s="529" t="s">
        <v>94</v>
      </c>
      <c r="T69" s="530"/>
      <c r="U69" s="530"/>
      <c r="V69" s="441"/>
      <c r="W69" s="530" t="str">
        <f>Birdies!E11</f>
        <v>Dave Randall</v>
      </c>
      <c r="X69" s="530"/>
      <c r="Y69" s="530"/>
      <c r="Z69" s="530"/>
      <c r="AA69" s="530"/>
      <c r="AB69" s="530"/>
      <c r="AC69" s="530"/>
      <c r="AD69" s="441"/>
      <c r="AE69" s="530">
        <f>Birdies!F11</f>
        <v>17</v>
      </c>
      <c r="AF69" s="530"/>
      <c r="AG69" s="530"/>
      <c r="AH69" s="553"/>
      <c r="AK69" s="554" t="s">
        <v>94</v>
      </c>
      <c r="AL69" s="555"/>
      <c r="AM69" s="555"/>
      <c r="AN69" s="436"/>
      <c r="AO69" s="556" t="str">
        <f>Pars!E11</f>
        <v>Andy Johnson</v>
      </c>
      <c r="AP69" s="555"/>
      <c r="AQ69" s="555"/>
      <c r="AR69" s="555"/>
      <c r="AS69" s="555"/>
      <c r="AT69" s="555"/>
      <c r="AU69" s="555"/>
      <c r="AV69" s="436"/>
      <c r="AW69" s="555">
        <f>Pars!F11</f>
        <v>100</v>
      </c>
      <c r="AX69" s="555"/>
      <c r="AY69" s="555"/>
      <c r="AZ69" s="557"/>
      <c r="BC69" s="558" t="s">
        <v>94</v>
      </c>
      <c r="BD69" s="550"/>
      <c r="BE69" s="550"/>
      <c r="BF69" s="443"/>
      <c r="BG69" s="559" t="str">
        <f>Blobs!M11</f>
        <v>Kevin Tribley</v>
      </c>
      <c r="BH69" s="559"/>
      <c r="BI69" s="559"/>
      <c r="BJ69" s="559"/>
      <c r="BK69" s="559"/>
      <c r="BL69" s="559"/>
      <c r="BM69" s="559"/>
      <c r="BN69" s="493"/>
      <c r="BO69" s="560">
        <f>Blobs!P11</f>
        <v>1.6666666666666667</v>
      </c>
      <c r="BP69" s="559"/>
      <c r="BQ69" s="559"/>
      <c r="BR69" s="561"/>
    </row>
    <row r="70" spans="1:70" x14ac:dyDescent="0.2">
      <c r="A70" s="438"/>
      <c r="B70" s="438"/>
      <c r="C70" s="438"/>
      <c r="D70" s="439"/>
      <c r="E70" s="451"/>
      <c r="F70" s="451"/>
      <c r="G70" s="451"/>
      <c r="H70" s="451"/>
      <c r="I70" s="451"/>
      <c r="J70" s="451"/>
      <c r="K70" s="451"/>
      <c r="L70" s="439"/>
      <c r="M70" s="438"/>
      <c r="N70" s="438"/>
      <c r="O70" s="438"/>
      <c r="P70" s="438"/>
      <c r="S70" s="440"/>
      <c r="T70" s="440"/>
      <c r="U70" s="440"/>
      <c r="V70" s="441"/>
      <c r="W70" s="440"/>
      <c r="X70" s="440"/>
      <c r="Y70" s="440"/>
      <c r="Z70" s="440"/>
      <c r="AA70" s="440"/>
      <c r="AB70" s="440"/>
      <c r="AC70" s="440"/>
      <c r="AD70" s="441"/>
      <c r="AE70" s="440"/>
      <c r="AF70" s="440"/>
      <c r="AG70" s="440"/>
      <c r="AH70" s="440"/>
      <c r="AK70" s="435"/>
      <c r="AL70" s="435"/>
      <c r="AM70" s="435"/>
      <c r="AN70" s="436"/>
      <c r="AO70" s="437"/>
      <c r="AP70" s="435"/>
      <c r="AQ70" s="435"/>
      <c r="AR70" s="435"/>
      <c r="AS70" s="435"/>
      <c r="AT70" s="435"/>
      <c r="AU70" s="435"/>
      <c r="AV70" s="436"/>
      <c r="AW70" s="435"/>
      <c r="AX70" s="435"/>
      <c r="AY70" s="435"/>
      <c r="AZ70" s="435"/>
      <c r="BC70" s="442"/>
      <c r="BD70" s="442"/>
      <c r="BE70" s="442"/>
      <c r="BF70" s="443"/>
      <c r="BG70" s="492"/>
      <c r="BH70" s="492"/>
      <c r="BI70" s="492"/>
      <c r="BJ70" s="492"/>
      <c r="BK70" s="492"/>
      <c r="BL70" s="492"/>
      <c r="BM70" s="492"/>
      <c r="BN70" s="493"/>
      <c r="BO70" s="494"/>
      <c r="BP70" s="492"/>
      <c r="BQ70" s="492"/>
      <c r="BR70" s="492"/>
    </row>
    <row r="71" spans="1:70" x14ac:dyDescent="0.2">
      <c r="A71" s="525" t="s">
        <v>95</v>
      </c>
      <c r="B71" s="526"/>
      <c r="C71" s="526"/>
      <c r="D71" s="439"/>
      <c r="E71" s="549" t="str">
        <f>Eagles!E12</f>
        <v>Max Ball</v>
      </c>
      <c r="F71" s="549"/>
      <c r="G71" s="549"/>
      <c r="H71" s="549"/>
      <c r="I71" s="549"/>
      <c r="J71" s="549"/>
      <c r="K71" s="549"/>
      <c r="L71" s="439"/>
      <c r="M71" s="526">
        <f>Eagles!F12</f>
        <v>0</v>
      </c>
      <c r="N71" s="526"/>
      <c r="O71" s="526"/>
      <c r="P71" s="528"/>
      <c r="S71" s="529" t="s">
        <v>95</v>
      </c>
      <c r="T71" s="530"/>
      <c r="U71" s="530"/>
      <c r="V71" s="441"/>
      <c r="W71" s="530" t="str">
        <f>Birdies!E12</f>
        <v>Joe Hooper</v>
      </c>
      <c r="X71" s="530"/>
      <c r="Y71" s="530"/>
      <c r="Z71" s="530"/>
      <c r="AA71" s="530"/>
      <c r="AB71" s="530"/>
      <c r="AC71" s="530"/>
      <c r="AD71" s="441"/>
      <c r="AE71" s="530">
        <f>Birdies!F12</f>
        <v>17</v>
      </c>
      <c r="AF71" s="530"/>
      <c r="AG71" s="530"/>
      <c r="AH71" s="553"/>
      <c r="AK71" s="554" t="s">
        <v>95</v>
      </c>
      <c r="AL71" s="555"/>
      <c r="AM71" s="555"/>
      <c r="AN71" s="436"/>
      <c r="AO71" s="556" t="str">
        <f>Pars!E12</f>
        <v>Kevin Tribley</v>
      </c>
      <c r="AP71" s="555"/>
      <c r="AQ71" s="555"/>
      <c r="AR71" s="555"/>
      <c r="AS71" s="555"/>
      <c r="AT71" s="555"/>
      <c r="AU71" s="555"/>
      <c r="AV71" s="436"/>
      <c r="AW71" s="555">
        <f>Pars!F12</f>
        <v>87</v>
      </c>
      <c r="AX71" s="555"/>
      <c r="AY71" s="555"/>
      <c r="AZ71" s="557"/>
      <c r="BC71" s="558" t="s">
        <v>95</v>
      </c>
      <c r="BD71" s="550"/>
      <c r="BE71" s="550"/>
      <c r="BF71" s="443"/>
      <c r="BG71" s="559" t="str">
        <f>Blobs!M12</f>
        <v>Martin Coomber</v>
      </c>
      <c r="BH71" s="559"/>
      <c r="BI71" s="559"/>
      <c r="BJ71" s="559"/>
      <c r="BK71" s="559"/>
      <c r="BL71" s="559"/>
      <c r="BM71" s="559"/>
      <c r="BN71" s="493"/>
      <c r="BO71" s="560">
        <f>Blobs!P12</f>
        <v>1.5384615384615385</v>
      </c>
      <c r="BP71" s="559"/>
      <c r="BQ71" s="559"/>
      <c r="BR71" s="561"/>
    </row>
    <row r="72" spans="1:70" x14ac:dyDescent="0.2">
      <c r="A72" s="438"/>
      <c r="B72" s="438"/>
      <c r="C72" s="438"/>
      <c r="D72" s="439"/>
      <c r="E72" s="451"/>
      <c r="F72" s="451"/>
      <c r="G72" s="451"/>
      <c r="H72" s="451"/>
      <c r="I72" s="451"/>
      <c r="J72" s="451"/>
      <c r="K72" s="451"/>
      <c r="L72" s="439"/>
      <c r="M72" s="438"/>
      <c r="N72" s="438"/>
      <c r="O72" s="438"/>
      <c r="P72" s="438"/>
      <c r="S72" s="440"/>
      <c r="T72" s="440"/>
      <c r="U72" s="440"/>
      <c r="V72" s="441"/>
      <c r="W72" s="440"/>
      <c r="X72" s="440"/>
      <c r="Y72" s="440"/>
      <c r="Z72" s="440"/>
      <c r="AA72" s="440"/>
      <c r="AB72" s="440"/>
      <c r="AC72" s="440"/>
      <c r="AD72" s="441"/>
      <c r="AE72" s="440"/>
      <c r="AF72" s="440"/>
      <c r="AG72" s="440"/>
      <c r="AH72" s="440"/>
      <c r="AK72" s="435"/>
      <c r="AL72" s="435"/>
      <c r="AM72" s="435"/>
      <c r="AN72" s="436"/>
      <c r="AO72" s="437"/>
      <c r="AP72" s="435"/>
      <c r="AQ72" s="435"/>
      <c r="AR72" s="435"/>
      <c r="AS72" s="435"/>
      <c r="AT72" s="435"/>
      <c r="AU72" s="435"/>
      <c r="AV72" s="436"/>
      <c r="AW72" s="435"/>
      <c r="AX72" s="435"/>
      <c r="AY72" s="435"/>
      <c r="AZ72" s="435"/>
      <c r="BC72" s="442"/>
      <c r="BD72" s="442"/>
      <c r="BE72" s="442"/>
      <c r="BF72" s="443"/>
      <c r="BG72" s="492"/>
      <c r="BH72" s="492"/>
      <c r="BI72" s="492"/>
      <c r="BJ72" s="492"/>
      <c r="BK72" s="492"/>
      <c r="BL72" s="492"/>
      <c r="BM72" s="492"/>
      <c r="BN72" s="493"/>
      <c r="BO72" s="494"/>
      <c r="BP72" s="492"/>
      <c r="BQ72" s="492"/>
      <c r="BR72" s="492"/>
    </row>
    <row r="73" spans="1:70" x14ac:dyDescent="0.2">
      <c r="A73" s="525" t="s">
        <v>96</v>
      </c>
      <c r="B73" s="526"/>
      <c r="C73" s="526"/>
      <c r="D73" s="439"/>
      <c r="E73" s="549" t="str">
        <f>Eagles!E13</f>
        <v>Harley Bishop</v>
      </c>
      <c r="F73" s="549"/>
      <c r="G73" s="549"/>
      <c r="H73" s="549"/>
      <c r="I73" s="549"/>
      <c r="J73" s="549"/>
      <c r="K73" s="549"/>
      <c r="L73" s="439"/>
      <c r="M73" s="526">
        <f>Eagles!F13</f>
        <v>0</v>
      </c>
      <c r="N73" s="526"/>
      <c r="O73" s="526"/>
      <c r="P73" s="528"/>
      <c r="S73" s="529" t="s">
        <v>96</v>
      </c>
      <c r="T73" s="530"/>
      <c r="U73" s="530"/>
      <c r="V73" s="441"/>
      <c r="W73" s="530" t="str">
        <f>Birdies!E13</f>
        <v>Max Ball</v>
      </c>
      <c r="X73" s="530"/>
      <c r="Y73" s="530"/>
      <c r="Z73" s="530"/>
      <c r="AA73" s="530"/>
      <c r="AB73" s="530"/>
      <c r="AC73" s="530"/>
      <c r="AD73" s="441"/>
      <c r="AE73" s="530">
        <f>Birdies!F13</f>
        <v>16</v>
      </c>
      <c r="AF73" s="530"/>
      <c r="AG73" s="530"/>
      <c r="AH73" s="553"/>
      <c r="AK73" s="554" t="s">
        <v>96</v>
      </c>
      <c r="AL73" s="555"/>
      <c r="AM73" s="555"/>
      <c r="AN73" s="436"/>
      <c r="AO73" s="556" t="str">
        <f>Pars!E13</f>
        <v>Max Ball</v>
      </c>
      <c r="AP73" s="555"/>
      <c r="AQ73" s="555"/>
      <c r="AR73" s="555"/>
      <c r="AS73" s="555"/>
      <c r="AT73" s="555"/>
      <c r="AU73" s="555"/>
      <c r="AV73" s="436"/>
      <c r="AW73" s="555">
        <f>Pars!F13</f>
        <v>85</v>
      </c>
      <c r="AX73" s="555"/>
      <c r="AY73" s="555"/>
      <c r="AZ73" s="557"/>
      <c r="BC73" s="558" t="s">
        <v>96</v>
      </c>
      <c r="BD73" s="550"/>
      <c r="BE73" s="550"/>
      <c r="BF73" s="443"/>
      <c r="BG73" s="559" t="str">
        <f>Blobs!M13</f>
        <v>Peter Vallely</v>
      </c>
      <c r="BH73" s="559"/>
      <c r="BI73" s="559"/>
      <c r="BJ73" s="559"/>
      <c r="BK73" s="559"/>
      <c r="BL73" s="559"/>
      <c r="BM73" s="559"/>
      <c r="BN73" s="493"/>
      <c r="BO73" s="560">
        <f>Blobs!P13</f>
        <v>1.2727272727272727</v>
      </c>
      <c r="BP73" s="559"/>
      <c r="BQ73" s="559"/>
      <c r="BR73" s="561"/>
    </row>
    <row r="74" spans="1:70" x14ac:dyDescent="0.2">
      <c r="A74" s="438"/>
      <c r="B74" s="438"/>
      <c r="C74" s="438"/>
      <c r="D74" s="439"/>
      <c r="E74" s="451"/>
      <c r="F74" s="451"/>
      <c r="G74" s="451"/>
      <c r="H74" s="451"/>
      <c r="I74" s="451"/>
      <c r="J74" s="451"/>
      <c r="K74" s="451"/>
      <c r="L74" s="439"/>
      <c r="M74" s="438"/>
      <c r="N74" s="438"/>
      <c r="O74" s="438"/>
      <c r="P74" s="438"/>
      <c r="S74" s="440"/>
      <c r="T74" s="440"/>
      <c r="U74" s="440"/>
      <c r="V74" s="441"/>
      <c r="W74" s="440"/>
      <c r="X74" s="440"/>
      <c r="Y74" s="440"/>
      <c r="Z74" s="440"/>
      <c r="AA74" s="440"/>
      <c r="AB74" s="440"/>
      <c r="AC74" s="440"/>
      <c r="AD74" s="441"/>
      <c r="AE74" s="440"/>
      <c r="AF74" s="440"/>
      <c r="AG74" s="440"/>
      <c r="AH74" s="440"/>
      <c r="AK74" s="435"/>
      <c r="AL74" s="435"/>
      <c r="AM74" s="435"/>
      <c r="AN74" s="436"/>
      <c r="AO74" s="437"/>
      <c r="AP74" s="435"/>
      <c r="AQ74" s="435"/>
      <c r="AR74" s="435"/>
      <c r="AS74" s="435"/>
      <c r="AT74" s="435"/>
      <c r="AU74" s="435"/>
      <c r="AV74" s="436"/>
      <c r="AW74" s="435"/>
      <c r="AX74" s="435"/>
      <c r="AY74" s="435"/>
      <c r="AZ74" s="435"/>
      <c r="BC74" s="442"/>
      <c r="BD74" s="442"/>
      <c r="BE74" s="442"/>
      <c r="BF74" s="443"/>
      <c r="BG74" s="468"/>
      <c r="BH74" s="468"/>
      <c r="BI74" s="468"/>
      <c r="BJ74" s="468"/>
      <c r="BK74" s="468"/>
      <c r="BL74" s="468"/>
      <c r="BM74" s="468"/>
      <c r="BN74" s="469"/>
      <c r="BO74" s="470"/>
      <c r="BP74" s="468"/>
      <c r="BQ74" s="468"/>
      <c r="BR74" s="468"/>
    </row>
    <row r="75" spans="1:70" x14ac:dyDescent="0.2">
      <c r="A75" s="525" t="s">
        <v>97</v>
      </c>
      <c r="B75" s="526"/>
      <c r="C75" s="526"/>
      <c r="D75" s="439"/>
      <c r="E75" s="549" t="str">
        <f>Eagles!E14</f>
        <v>Chris Burroughs</v>
      </c>
      <c r="F75" s="549"/>
      <c r="G75" s="549"/>
      <c r="H75" s="549"/>
      <c r="I75" s="549"/>
      <c r="J75" s="549"/>
      <c r="K75" s="549"/>
      <c r="L75" s="439"/>
      <c r="M75" s="526">
        <f>Eagles!F14</f>
        <v>0</v>
      </c>
      <c r="N75" s="526"/>
      <c r="O75" s="526"/>
      <c r="P75" s="528"/>
      <c r="S75" s="529" t="s">
        <v>97</v>
      </c>
      <c r="T75" s="530"/>
      <c r="U75" s="530"/>
      <c r="V75" s="441"/>
      <c r="W75" s="530" t="str">
        <f>Birdies!E14</f>
        <v>Justin Hunt</v>
      </c>
      <c r="X75" s="530"/>
      <c r="Y75" s="530"/>
      <c r="Z75" s="530"/>
      <c r="AA75" s="530"/>
      <c r="AB75" s="530"/>
      <c r="AC75" s="530"/>
      <c r="AD75" s="441"/>
      <c r="AE75" s="530">
        <f>Birdies!F14</f>
        <v>15</v>
      </c>
      <c r="AF75" s="530"/>
      <c r="AG75" s="530"/>
      <c r="AH75" s="553"/>
      <c r="AK75" s="554" t="s">
        <v>97</v>
      </c>
      <c r="AL75" s="555"/>
      <c r="AM75" s="555"/>
      <c r="AN75" s="436"/>
      <c r="AO75" s="556" t="str">
        <f>Pars!E14</f>
        <v>Tony Forsyth-James</v>
      </c>
      <c r="AP75" s="555"/>
      <c r="AQ75" s="555"/>
      <c r="AR75" s="555"/>
      <c r="AS75" s="555"/>
      <c r="AT75" s="555"/>
      <c r="AU75" s="555"/>
      <c r="AV75" s="436"/>
      <c r="AW75" s="555">
        <f>Pars!F14</f>
        <v>82</v>
      </c>
      <c r="AX75" s="555"/>
      <c r="AY75" s="555"/>
      <c r="AZ75" s="557"/>
      <c r="BC75" s="558" t="s">
        <v>97</v>
      </c>
      <c r="BD75" s="550"/>
      <c r="BE75" s="550"/>
      <c r="BF75" s="443"/>
      <c r="BG75" s="559" t="str">
        <f>Blobs!M14</f>
        <v>Andy Johnson</v>
      </c>
      <c r="BH75" s="559"/>
      <c r="BI75" s="559"/>
      <c r="BJ75" s="559"/>
      <c r="BK75" s="559"/>
      <c r="BL75" s="559"/>
      <c r="BM75" s="559"/>
      <c r="BN75" s="493"/>
      <c r="BO75" s="560">
        <f>Blobs!P14</f>
        <v>1.1666666666666667</v>
      </c>
      <c r="BP75" s="559"/>
      <c r="BQ75" s="559"/>
      <c r="BR75" s="561"/>
    </row>
    <row r="76" spans="1:70" x14ac:dyDescent="0.2">
      <c r="A76" s="438"/>
      <c r="B76" s="438"/>
      <c r="C76" s="438"/>
      <c r="D76" s="439"/>
      <c r="E76" s="451"/>
      <c r="F76" s="451"/>
      <c r="G76" s="451"/>
      <c r="H76" s="451"/>
      <c r="I76" s="451"/>
      <c r="J76" s="451"/>
      <c r="K76" s="451"/>
      <c r="L76" s="439"/>
      <c r="M76" s="438"/>
      <c r="N76" s="438"/>
      <c r="O76" s="438"/>
      <c r="P76" s="438"/>
      <c r="S76" s="440"/>
      <c r="T76" s="440"/>
      <c r="U76" s="440"/>
      <c r="V76" s="441"/>
      <c r="W76" s="440"/>
      <c r="X76" s="440"/>
      <c r="Y76" s="440"/>
      <c r="Z76" s="440"/>
      <c r="AA76" s="440"/>
      <c r="AB76" s="440"/>
      <c r="AC76" s="440"/>
      <c r="AD76" s="441"/>
      <c r="AE76" s="440"/>
      <c r="AF76" s="440"/>
      <c r="AG76" s="440"/>
      <c r="AH76" s="440"/>
      <c r="AK76" s="435"/>
      <c r="AL76" s="435"/>
      <c r="AM76" s="435"/>
      <c r="AN76" s="436"/>
      <c r="AO76" s="437"/>
      <c r="AP76" s="435"/>
      <c r="AQ76" s="435"/>
      <c r="AR76" s="435"/>
      <c r="AS76" s="435"/>
      <c r="AT76" s="435"/>
      <c r="AU76" s="435"/>
      <c r="AV76" s="436"/>
      <c r="AW76" s="435"/>
      <c r="AX76" s="435"/>
      <c r="AY76" s="435"/>
      <c r="AZ76" s="435"/>
      <c r="BC76" s="442"/>
      <c r="BD76" s="442"/>
      <c r="BE76" s="442"/>
      <c r="BF76" s="443"/>
      <c r="BG76" s="492"/>
      <c r="BH76" s="492"/>
      <c r="BI76" s="492"/>
      <c r="BJ76" s="492"/>
      <c r="BK76" s="492"/>
      <c r="BL76" s="492"/>
      <c r="BM76" s="492"/>
      <c r="BN76" s="493"/>
      <c r="BO76" s="494"/>
      <c r="BP76" s="492"/>
      <c r="BQ76" s="492"/>
      <c r="BR76" s="492"/>
    </row>
    <row r="77" spans="1:70" x14ac:dyDescent="0.2">
      <c r="A77" s="525" t="s">
        <v>98</v>
      </c>
      <c r="B77" s="526"/>
      <c r="C77" s="526"/>
      <c r="D77" s="439"/>
      <c r="E77" s="549" t="str">
        <f>Eagles!E15</f>
        <v>George Burton</v>
      </c>
      <c r="F77" s="549"/>
      <c r="G77" s="549"/>
      <c r="H77" s="549"/>
      <c r="I77" s="549"/>
      <c r="J77" s="549"/>
      <c r="K77" s="549"/>
      <c r="L77" s="439"/>
      <c r="M77" s="526">
        <f>Eagles!F15</f>
        <v>0</v>
      </c>
      <c r="N77" s="526"/>
      <c r="O77" s="526"/>
      <c r="P77" s="528"/>
      <c r="S77" s="529" t="s">
        <v>98</v>
      </c>
      <c r="T77" s="530"/>
      <c r="U77" s="530"/>
      <c r="V77" s="441"/>
      <c r="W77" s="530" t="str">
        <f>Birdies!E15</f>
        <v>Jason Wale</v>
      </c>
      <c r="X77" s="530"/>
      <c r="Y77" s="530"/>
      <c r="Z77" s="530"/>
      <c r="AA77" s="530"/>
      <c r="AB77" s="530"/>
      <c r="AC77" s="530"/>
      <c r="AD77" s="441"/>
      <c r="AE77" s="530">
        <f>Birdies!F15</f>
        <v>14</v>
      </c>
      <c r="AF77" s="530"/>
      <c r="AG77" s="530"/>
      <c r="AH77" s="553"/>
      <c r="AK77" s="554" t="s">
        <v>98</v>
      </c>
      <c r="AL77" s="555"/>
      <c r="AM77" s="555"/>
      <c r="AN77" s="436"/>
      <c r="AO77" s="556" t="str">
        <f>Pars!E15</f>
        <v>Justin Hunt</v>
      </c>
      <c r="AP77" s="555"/>
      <c r="AQ77" s="555"/>
      <c r="AR77" s="555"/>
      <c r="AS77" s="555"/>
      <c r="AT77" s="555"/>
      <c r="AU77" s="555"/>
      <c r="AV77" s="436"/>
      <c r="AW77" s="555">
        <f>Pars!F15</f>
        <v>80</v>
      </c>
      <c r="AX77" s="555"/>
      <c r="AY77" s="555"/>
      <c r="AZ77" s="557"/>
      <c r="BC77" s="558" t="s">
        <v>98</v>
      </c>
      <c r="BD77" s="550"/>
      <c r="BE77" s="550"/>
      <c r="BF77" s="443"/>
      <c r="BG77" s="559" t="str">
        <f>Blobs!M15</f>
        <v>Brad Whitehead</v>
      </c>
      <c r="BH77" s="559"/>
      <c r="BI77" s="559"/>
      <c r="BJ77" s="559"/>
      <c r="BK77" s="559"/>
      <c r="BL77" s="559"/>
      <c r="BM77" s="559"/>
      <c r="BN77" s="493"/>
      <c r="BO77" s="560">
        <f>Blobs!P15</f>
        <v>1</v>
      </c>
      <c r="BP77" s="559"/>
      <c r="BQ77" s="559"/>
      <c r="BR77" s="561"/>
    </row>
    <row r="78" spans="1:70" x14ac:dyDescent="0.2">
      <c r="A78" s="438"/>
      <c r="B78" s="438"/>
      <c r="C78" s="438"/>
      <c r="D78" s="439"/>
      <c r="E78" s="451"/>
      <c r="F78" s="451"/>
      <c r="G78" s="451"/>
      <c r="H78" s="451"/>
      <c r="I78" s="451"/>
      <c r="J78" s="451"/>
      <c r="K78" s="451"/>
      <c r="L78" s="439"/>
      <c r="M78" s="438"/>
      <c r="N78" s="438"/>
      <c r="O78" s="438"/>
      <c r="P78" s="438"/>
      <c r="S78" s="440"/>
      <c r="T78" s="440"/>
      <c r="U78" s="440"/>
      <c r="V78" s="441"/>
      <c r="W78" s="440"/>
      <c r="X78" s="440"/>
      <c r="Y78" s="440"/>
      <c r="Z78" s="440"/>
      <c r="AA78" s="440"/>
      <c r="AB78" s="440"/>
      <c r="AC78" s="440"/>
      <c r="AD78" s="441"/>
      <c r="AE78" s="440"/>
      <c r="AF78" s="440"/>
      <c r="AG78" s="440"/>
      <c r="AH78" s="440"/>
      <c r="AK78" s="435"/>
      <c r="AL78" s="435"/>
      <c r="AM78" s="435"/>
      <c r="AN78" s="436"/>
      <c r="AO78" s="437"/>
      <c r="AP78" s="435"/>
      <c r="AQ78" s="435"/>
      <c r="AR78" s="435"/>
      <c r="AS78" s="435"/>
      <c r="AT78" s="435"/>
      <c r="AU78" s="435"/>
      <c r="AV78" s="436"/>
      <c r="AW78" s="435"/>
      <c r="AX78" s="435"/>
      <c r="AY78" s="435"/>
      <c r="AZ78" s="435"/>
      <c r="BC78" s="442"/>
      <c r="BD78" s="442"/>
      <c r="BE78" s="442"/>
      <c r="BF78" s="443"/>
      <c r="BG78" s="468"/>
      <c r="BH78" s="468"/>
      <c r="BI78" s="468"/>
      <c r="BJ78" s="468"/>
      <c r="BK78" s="468"/>
      <c r="BL78" s="468"/>
      <c r="BM78" s="468"/>
      <c r="BN78" s="469"/>
      <c r="BO78" s="470"/>
      <c r="BP78" s="468"/>
      <c r="BQ78" s="468"/>
      <c r="BR78" s="468"/>
    </row>
    <row r="79" spans="1:70" x14ac:dyDescent="0.2">
      <c r="A79" s="525" t="s">
        <v>214</v>
      </c>
      <c r="B79" s="526"/>
      <c r="C79" s="526"/>
      <c r="D79" s="439"/>
      <c r="E79" s="549" t="str">
        <f>Eagles!E16</f>
        <v>Tom Burton</v>
      </c>
      <c r="F79" s="549"/>
      <c r="G79" s="549"/>
      <c r="H79" s="549"/>
      <c r="I79" s="549"/>
      <c r="J79" s="549"/>
      <c r="K79" s="549"/>
      <c r="L79" s="439"/>
      <c r="M79" s="526">
        <f>Eagles!F16</f>
        <v>0</v>
      </c>
      <c r="N79" s="526"/>
      <c r="O79" s="526"/>
      <c r="P79" s="528"/>
      <c r="S79" s="529" t="s">
        <v>214</v>
      </c>
      <c r="T79" s="530"/>
      <c r="U79" s="530"/>
      <c r="V79" s="441"/>
      <c r="W79" s="530" t="str">
        <f>Birdies!E16</f>
        <v>Neil Hart</v>
      </c>
      <c r="X79" s="530"/>
      <c r="Y79" s="530"/>
      <c r="Z79" s="530"/>
      <c r="AA79" s="530"/>
      <c r="AB79" s="530"/>
      <c r="AC79" s="530"/>
      <c r="AD79" s="441"/>
      <c r="AE79" s="530">
        <f>Birdies!F16</f>
        <v>13</v>
      </c>
      <c r="AF79" s="530"/>
      <c r="AG79" s="530"/>
      <c r="AH79" s="553"/>
      <c r="AK79" s="554" t="s">
        <v>214</v>
      </c>
      <c r="AL79" s="555"/>
      <c r="AM79" s="555"/>
      <c r="AN79" s="436"/>
      <c r="AO79" s="556" t="str">
        <f>Pars!E16</f>
        <v>Jason Wale</v>
      </c>
      <c r="AP79" s="555"/>
      <c r="AQ79" s="555"/>
      <c r="AR79" s="555"/>
      <c r="AS79" s="555"/>
      <c r="AT79" s="555"/>
      <c r="AU79" s="555"/>
      <c r="AV79" s="436"/>
      <c r="AW79" s="555">
        <f>Pars!F16</f>
        <v>78</v>
      </c>
      <c r="AX79" s="555"/>
      <c r="AY79" s="555"/>
      <c r="AZ79" s="557"/>
      <c r="BC79" s="558" t="s">
        <v>214</v>
      </c>
      <c r="BD79" s="550"/>
      <c r="BE79" s="550"/>
      <c r="BF79" s="443"/>
      <c r="BG79" s="750" t="str">
        <f>Blobs!M16</f>
        <v>Chris Smith</v>
      </c>
      <c r="BH79" s="750"/>
      <c r="BI79" s="750"/>
      <c r="BJ79" s="750"/>
      <c r="BK79" s="750"/>
      <c r="BL79" s="750"/>
      <c r="BM79" s="750"/>
      <c r="BN79" s="469"/>
      <c r="BO79" s="560">
        <f>Blobs!P16</f>
        <v>0.7</v>
      </c>
      <c r="BP79" s="559"/>
      <c r="BQ79" s="559"/>
      <c r="BR79" s="561"/>
    </row>
    <row r="80" spans="1:70" x14ac:dyDescent="0.2">
      <c r="A80" s="438"/>
      <c r="B80" s="438"/>
      <c r="C80" s="438"/>
      <c r="D80" s="439"/>
      <c r="E80" s="451"/>
      <c r="F80" s="451"/>
      <c r="G80" s="451"/>
      <c r="H80" s="451"/>
      <c r="I80" s="451"/>
      <c r="J80" s="451"/>
      <c r="K80" s="451"/>
      <c r="L80" s="439"/>
      <c r="M80" s="438"/>
      <c r="N80" s="438"/>
      <c r="O80" s="438"/>
      <c r="P80" s="438"/>
      <c r="S80" s="440"/>
      <c r="T80" s="440"/>
      <c r="U80" s="440"/>
      <c r="V80" s="441"/>
      <c r="W80" s="440"/>
      <c r="X80" s="440"/>
      <c r="Y80" s="440"/>
      <c r="Z80" s="440"/>
      <c r="AA80" s="440"/>
      <c r="AB80" s="440"/>
      <c r="AC80" s="440"/>
      <c r="AD80" s="441"/>
      <c r="AE80" s="440"/>
      <c r="AF80" s="440"/>
      <c r="AG80" s="440"/>
      <c r="AH80" s="440"/>
      <c r="AK80" s="435"/>
      <c r="AL80" s="435"/>
      <c r="AM80" s="435"/>
      <c r="AN80" s="436"/>
      <c r="AO80" s="437"/>
      <c r="AP80" s="435"/>
      <c r="AQ80" s="435"/>
      <c r="AR80" s="435"/>
      <c r="AS80" s="435"/>
      <c r="AT80" s="435"/>
      <c r="AU80" s="435"/>
      <c r="AV80" s="436"/>
      <c r="AW80" s="435"/>
      <c r="AX80" s="435"/>
      <c r="AY80" s="435"/>
      <c r="AZ80" s="435"/>
      <c r="BC80" s="442"/>
      <c r="BD80" s="442"/>
      <c r="BE80" s="442"/>
      <c r="BF80" s="443"/>
      <c r="BG80" s="468"/>
      <c r="BH80" s="468"/>
      <c r="BI80" s="468"/>
      <c r="BJ80" s="468"/>
      <c r="BK80" s="468"/>
      <c r="BL80" s="468"/>
      <c r="BM80" s="468"/>
      <c r="BN80" s="469"/>
      <c r="BO80" s="494"/>
      <c r="BP80" s="492"/>
      <c r="BQ80" s="492"/>
      <c r="BR80" s="492"/>
    </row>
    <row r="81" spans="1:70" x14ac:dyDescent="0.2">
      <c r="A81" s="525" t="s">
        <v>215</v>
      </c>
      <c r="B81" s="526"/>
      <c r="C81" s="526"/>
      <c r="D81" s="439"/>
      <c r="E81" s="549" t="str">
        <f>Eagles!E17</f>
        <v>Mike Chubb</v>
      </c>
      <c r="F81" s="549"/>
      <c r="G81" s="549"/>
      <c r="H81" s="549"/>
      <c r="I81" s="549"/>
      <c r="J81" s="549"/>
      <c r="K81" s="549"/>
      <c r="L81" s="439"/>
      <c r="M81" s="526">
        <f>Eagles!F17</f>
        <v>0</v>
      </c>
      <c r="N81" s="526"/>
      <c r="O81" s="526"/>
      <c r="P81" s="528"/>
      <c r="S81" s="529" t="s">
        <v>215</v>
      </c>
      <c r="T81" s="530"/>
      <c r="U81" s="530"/>
      <c r="V81" s="441"/>
      <c r="W81" s="530" t="str">
        <f>Birdies!E17</f>
        <v>Dickie Moxham</v>
      </c>
      <c r="X81" s="530"/>
      <c r="Y81" s="530"/>
      <c r="Z81" s="530"/>
      <c r="AA81" s="530"/>
      <c r="AB81" s="530"/>
      <c r="AC81" s="530"/>
      <c r="AD81" s="441"/>
      <c r="AE81" s="530">
        <f>Birdies!F17</f>
        <v>11</v>
      </c>
      <c r="AF81" s="530"/>
      <c r="AG81" s="530"/>
      <c r="AH81" s="553"/>
      <c r="AK81" s="554" t="s">
        <v>215</v>
      </c>
      <c r="AL81" s="555"/>
      <c r="AM81" s="555"/>
      <c r="AN81" s="436"/>
      <c r="AO81" s="556" t="str">
        <f>Pars!E17</f>
        <v>Ben Fleet</v>
      </c>
      <c r="AP81" s="555"/>
      <c r="AQ81" s="555"/>
      <c r="AR81" s="555"/>
      <c r="AS81" s="555"/>
      <c r="AT81" s="555"/>
      <c r="AU81" s="555"/>
      <c r="AV81" s="436"/>
      <c r="AW81" s="555">
        <f>Pars!F17</f>
        <v>77</v>
      </c>
      <c r="AX81" s="555"/>
      <c r="AY81" s="555"/>
      <c r="AZ81" s="557"/>
      <c r="BC81" s="558" t="s">
        <v>215</v>
      </c>
      <c r="BD81" s="550"/>
      <c r="BE81" s="550"/>
      <c r="BF81" s="443"/>
      <c r="BG81" s="562" t="str">
        <f>Blobs!M17</f>
        <v>Stuart Anderson</v>
      </c>
      <c r="BH81" s="562"/>
      <c r="BI81" s="562"/>
      <c r="BJ81" s="562"/>
      <c r="BK81" s="562"/>
      <c r="BL81" s="562"/>
      <c r="BM81" s="562"/>
      <c r="BN81" s="469"/>
      <c r="BO81" s="560">
        <f>Blobs!P17</f>
        <v>0</v>
      </c>
      <c r="BP81" s="559"/>
      <c r="BQ81" s="559"/>
      <c r="BR81" s="561"/>
    </row>
    <row r="82" spans="1:70" x14ac:dyDescent="0.2">
      <c r="A82" s="438"/>
      <c r="B82" s="438"/>
      <c r="C82" s="438"/>
      <c r="D82" s="439"/>
      <c r="E82" s="451"/>
      <c r="F82" s="451"/>
      <c r="G82" s="451"/>
      <c r="H82" s="451"/>
      <c r="I82" s="451"/>
      <c r="J82" s="451"/>
      <c r="K82" s="451"/>
      <c r="L82" s="439"/>
      <c r="M82" s="438"/>
      <c r="N82" s="438"/>
      <c r="O82" s="438"/>
      <c r="P82" s="438"/>
      <c r="S82" s="440"/>
      <c r="T82" s="440"/>
      <c r="U82" s="440"/>
      <c r="V82" s="441"/>
      <c r="W82" s="440"/>
      <c r="X82" s="440"/>
      <c r="Y82" s="440"/>
      <c r="Z82" s="440"/>
      <c r="AA82" s="440"/>
      <c r="AB82" s="440"/>
      <c r="AC82" s="440"/>
      <c r="AD82" s="441"/>
      <c r="AE82" s="440"/>
      <c r="AF82" s="440"/>
      <c r="AG82" s="440"/>
      <c r="AH82" s="440"/>
      <c r="AK82" s="435"/>
      <c r="AL82" s="435"/>
      <c r="AM82" s="435"/>
      <c r="AN82" s="436"/>
      <c r="AO82" s="437"/>
      <c r="AP82" s="435"/>
      <c r="AQ82" s="435"/>
      <c r="AR82" s="435"/>
      <c r="AS82" s="435"/>
      <c r="AT82" s="435"/>
      <c r="AU82" s="435"/>
      <c r="AV82" s="436"/>
      <c r="AW82" s="435"/>
      <c r="AX82" s="435"/>
      <c r="AY82" s="435"/>
      <c r="AZ82" s="435"/>
      <c r="BC82" s="442"/>
      <c r="BD82" s="442"/>
      <c r="BE82" s="442"/>
      <c r="BF82" s="443"/>
      <c r="BG82" s="468"/>
      <c r="BH82" s="468"/>
      <c r="BI82" s="468"/>
      <c r="BJ82" s="468"/>
      <c r="BK82" s="468"/>
      <c r="BL82" s="468"/>
      <c r="BM82" s="468"/>
      <c r="BN82" s="469"/>
      <c r="BO82" s="494"/>
      <c r="BP82" s="492"/>
      <c r="BQ82" s="492"/>
      <c r="BR82" s="492"/>
    </row>
    <row r="83" spans="1:70" x14ac:dyDescent="0.2">
      <c r="A83" s="525" t="s">
        <v>216</v>
      </c>
      <c r="B83" s="526"/>
      <c r="C83" s="526"/>
      <c r="D83" s="439"/>
      <c r="E83" s="549" t="str">
        <f>Eagles!E18</f>
        <v>George Clarke</v>
      </c>
      <c r="F83" s="549"/>
      <c r="G83" s="549"/>
      <c r="H83" s="549"/>
      <c r="I83" s="549"/>
      <c r="J83" s="549"/>
      <c r="K83" s="549"/>
      <c r="L83" s="439"/>
      <c r="M83" s="526">
        <f>Eagles!F18</f>
        <v>0</v>
      </c>
      <c r="N83" s="526"/>
      <c r="O83" s="526"/>
      <c r="P83" s="528"/>
      <c r="S83" s="529" t="s">
        <v>216</v>
      </c>
      <c r="T83" s="530"/>
      <c r="U83" s="530"/>
      <c r="V83" s="441"/>
      <c r="W83" s="530" t="str">
        <f>Birdies!E18</f>
        <v>Tom Burton</v>
      </c>
      <c r="X83" s="530"/>
      <c r="Y83" s="530"/>
      <c r="Z83" s="530"/>
      <c r="AA83" s="530"/>
      <c r="AB83" s="530"/>
      <c r="AC83" s="530"/>
      <c r="AD83" s="441"/>
      <c r="AE83" s="530">
        <f>Birdies!F18</f>
        <v>10</v>
      </c>
      <c r="AF83" s="530"/>
      <c r="AG83" s="530"/>
      <c r="AH83" s="553"/>
      <c r="AK83" s="554" t="s">
        <v>216</v>
      </c>
      <c r="AL83" s="555"/>
      <c r="AM83" s="555"/>
      <c r="AN83" s="436"/>
      <c r="AO83" s="556" t="str">
        <f>Pars!E18</f>
        <v>Anthony Harris</v>
      </c>
      <c r="AP83" s="555"/>
      <c r="AQ83" s="555"/>
      <c r="AR83" s="555"/>
      <c r="AS83" s="555"/>
      <c r="AT83" s="555"/>
      <c r="AU83" s="555"/>
      <c r="AV83" s="436"/>
      <c r="AW83" s="555">
        <f>Pars!F18</f>
        <v>55</v>
      </c>
      <c r="AX83" s="555"/>
      <c r="AY83" s="555"/>
      <c r="AZ83" s="557"/>
      <c r="BC83" s="558" t="s">
        <v>216</v>
      </c>
      <c r="BD83" s="550"/>
      <c r="BE83" s="550"/>
      <c r="BF83" s="443"/>
      <c r="BG83" s="562" t="str">
        <f>Blobs!M18</f>
        <v>Max Ball</v>
      </c>
      <c r="BH83" s="562"/>
      <c r="BI83" s="562"/>
      <c r="BJ83" s="562"/>
      <c r="BK83" s="562"/>
      <c r="BL83" s="562"/>
      <c r="BM83" s="562"/>
      <c r="BN83" s="469"/>
      <c r="BO83" s="560">
        <f>Blobs!P18</f>
        <v>0</v>
      </c>
      <c r="BP83" s="559"/>
      <c r="BQ83" s="559"/>
      <c r="BR83" s="561"/>
    </row>
    <row r="84" spans="1:70" x14ac:dyDescent="0.2">
      <c r="A84" s="438"/>
      <c r="B84" s="438"/>
      <c r="C84" s="438"/>
      <c r="D84" s="439"/>
      <c r="E84" s="451"/>
      <c r="F84" s="451"/>
      <c r="G84" s="451"/>
      <c r="H84" s="451"/>
      <c r="I84" s="451"/>
      <c r="J84" s="451"/>
      <c r="K84" s="451"/>
      <c r="L84" s="439"/>
      <c r="M84" s="438"/>
      <c r="N84" s="438"/>
      <c r="O84" s="438"/>
      <c r="P84" s="438"/>
      <c r="S84" s="440"/>
      <c r="T84" s="440"/>
      <c r="U84" s="440"/>
      <c r="V84" s="441"/>
      <c r="W84" s="440"/>
      <c r="X84" s="440"/>
      <c r="Y84" s="440"/>
      <c r="Z84" s="440"/>
      <c r="AA84" s="440"/>
      <c r="AB84" s="440"/>
      <c r="AC84" s="440"/>
      <c r="AD84" s="441"/>
      <c r="AE84" s="440"/>
      <c r="AF84" s="440"/>
      <c r="AG84" s="440"/>
      <c r="AH84" s="440"/>
      <c r="AK84" s="435"/>
      <c r="AL84" s="435"/>
      <c r="AM84" s="435"/>
      <c r="AN84" s="436"/>
      <c r="AO84" s="437"/>
      <c r="AP84" s="435"/>
      <c r="AQ84" s="435"/>
      <c r="AR84" s="435"/>
      <c r="AS84" s="435"/>
      <c r="AT84" s="435"/>
      <c r="AU84" s="435"/>
      <c r="AV84" s="436"/>
      <c r="AW84" s="435"/>
      <c r="AX84" s="435"/>
      <c r="AY84" s="435"/>
      <c r="AZ84" s="435"/>
      <c r="BC84" s="442"/>
      <c r="BD84" s="442"/>
      <c r="BE84" s="442"/>
      <c r="BF84" s="443"/>
      <c r="BG84" s="468"/>
      <c r="BH84" s="468"/>
      <c r="BI84" s="468"/>
      <c r="BJ84" s="468"/>
      <c r="BK84" s="468"/>
      <c r="BL84" s="468"/>
      <c r="BM84" s="468"/>
      <c r="BN84" s="469"/>
      <c r="BO84" s="494"/>
      <c r="BP84" s="492"/>
      <c r="BQ84" s="492"/>
      <c r="BR84" s="492"/>
    </row>
    <row r="85" spans="1:70" x14ac:dyDescent="0.2">
      <c r="A85" s="525" t="s">
        <v>217</v>
      </c>
      <c r="B85" s="526"/>
      <c r="C85" s="526"/>
      <c r="D85" s="439"/>
      <c r="E85" s="549" t="str">
        <f>Eagles!E19</f>
        <v>Paul Clarke</v>
      </c>
      <c r="F85" s="549"/>
      <c r="G85" s="549"/>
      <c r="H85" s="549"/>
      <c r="I85" s="549"/>
      <c r="J85" s="549"/>
      <c r="K85" s="549"/>
      <c r="L85" s="439"/>
      <c r="M85" s="526">
        <f>Eagles!F19</f>
        <v>0</v>
      </c>
      <c r="N85" s="526"/>
      <c r="O85" s="526"/>
      <c r="P85" s="528"/>
      <c r="S85" s="529" t="s">
        <v>217</v>
      </c>
      <c r="T85" s="530"/>
      <c r="U85" s="530"/>
      <c r="V85" s="441"/>
      <c r="W85" s="530" t="str">
        <f>Birdies!E19</f>
        <v>Kevin Tribley</v>
      </c>
      <c r="X85" s="530"/>
      <c r="Y85" s="530"/>
      <c r="Z85" s="530"/>
      <c r="AA85" s="530"/>
      <c r="AB85" s="530"/>
      <c r="AC85" s="530"/>
      <c r="AD85" s="441"/>
      <c r="AE85" s="530">
        <f>Birdies!F19</f>
        <v>10</v>
      </c>
      <c r="AF85" s="530"/>
      <c r="AG85" s="530"/>
      <c r="AH85" s="553"/>
      <c r="AK85" s="554" t="s">
        <v>217</v>
      </c>
      <c r="AL85" s="555"/>
      <c r="AM85" s="555"/>
      <c r="AN85" s="436"/>
      <c r="AO85" s="556" t="str">
        <f>Pars!E19</f>
        <v>Neil Hart</v>
      </c>
      <c r="AP85" s="555"/>
      <c r="AQ85" s="555"/>
      <c r="AR85" s="555"/>
      <c r="AS85" s="555"/>
      <c r="AT85" s="555"/>
      <c r="AU85" s="555"/>
      <c r="AV85" s="436"/>
      <c r="AW85" s="555">
        <f>Pars!F19</f>
        <v>53</v>
      </c>
      <c r="AX85" s="555"/>
      <c r="AY85" s="555"/>
      <c r="AZ85" s="557"/>
      <c r="BC85" s="558" t="s">
        <v>217</v>
      </c>
      <c r="BD85" s="550"/>
      <c r="BE85" s="550"/>
      <c r="BF85" s="443"/>
      <c r="BG85" s="562" t="str">
        <f>Blobs!M19</f>
        <v>Harley Bishop</v>
      </c>
      <c r="BH85" s="562"/>
      <c r="BI85" s="562"/>
      <c r="BJ85" s="562"/>
      <c r="BK85" s="562"/>
      <c r="BL85" s="562"/>
      <c r="BM85" s="562"/>
      <c r="BN85" s="469"/>
      <c r="BO85" s="560">
        <f>Blobs!P19</f>
        <v>0</v>
      </c>
      <c r="BP85" s="559"/>
      <c r="BQ85" s="559"/>
      <c r="BR85" s="561"/>
    </row>
    <row r="86" spans="1:70" x14ac:dyDescent="0.2">
      <c r="A86" s="438"/>
      <c r="B86" s="438"/>
      <c r="C86" s="438"/>
      <c r="D86" s="439"/>
      <c r="E86" s="451"/>
      <c r="F86" s="451"/>
      <c r="G86" s="451"/>
      <c r="H86" s="451"/>
      <c r="I86" s="451"/>
      <c r="J86" s="451"/>
      <c r="K86" s="451"/>
      <c r="L86" s="439"/>
      <c r="M86" s="438"/>
      <c r="N86" s="438"/>
      <c r="O86" s="438"/>
      <c r="P86" s="438"/>
      <c r="S86" s="440"/>
      <c r="T86" s="440"/>
      <c r="U86" s="440"/>
      <c r="V86" s="441"/>
      <c r="W86" s="440"/>
      <c r="X86" s="440"/>
      <c r="Y86" s="440"/>
      <c r="Z86" s="440"/>
      <c r="AA86" s="440"/>
      <c r="AB86" s="440"/>
      <c r="AC86" s="440"/>
      <c r="AD86" s="441"/>
      <c r="AE86" s="440"/>
      <c r="AF86" s="440"/>
      <c r="AG86" s="440"/>
      <c r="AH86" s="440"/>
      <c r="AK86" s="435"/>
      <c r="AL86" s="435"/>
      <c r="AM86" s="435"/>
      <c r="AN86" s="436"/>
      <c r="AO86" s="437"/>
      <c r="AP86" s="435"/>
      <c r="AQ86" s="435"/>
      <c r="AR86" s="435"/>
      <c r="AS86" s="435"/>
      <c r="AT86" s="435"/>
      <c r="AU86" s="435"/>
      <c r="AV86" s="436"/>
      <c r="AW86" s="435"/>
      <c r="AX86" s="435"/>
      <c r="AY86" s="435"/>
      <c r="AZ86" s="435"/>
      <c r="BC86" s="442"/>
      <c r="BD86" s="442"/>
      <c r="BE86" s="442"/>
      <c r="BF86" s="443"/>
      <c r="BG86" s="468"/>
      <c r="BH86" s="468"/>
      <c r="BI86" s="468"/>
      <c r="BJ86" s="468"/>
      <c r="BK86" s="468"/>
      <c r="BL86" s="468"/>
      <c r="BM86" s="468"/>
      <c r="BN86" s="469"/>
      <c r="BO86" s="494"/>
      <c r="BP86" s="492"/>
      <c r="BQ86" s="492"/>
      <c r="BR86" s="492"/>
    </row>
    <row r="87" spans="1:70" x14ac:dyDescent="0.2">
      <c r="A87" s="525" t="s">
        <v>218</v>
      </c>
      <c r="B87" s="526"/>
      <c r="C87" s="526"/>
      <c r="D87" s="439"/>
      <c r="E87" s="549" t="str">
        <f>Eagles!E20</f>
        <v>Martin Coomber</v>
      </c>
      <c r="F87" s="549"/>
      <c r="G87" s="549"/>
      <c r="H87" s="549"/>
      <c r="I87" s="549"/>
      <c r="J87" s="549"/>
      <c r="K87" s="549"/>
      <c r="L87" s="439"/>
      <c r="M87" s="526">
        <f>Eagles!F20</f>
        <v>0</v>
      </c>
      <c r="N87" s="526"/>
      <c r="O87" s="526"/>
      <c r="P87" s="528"/>
      <c r="S87" s="529" t="s">
        <v>218</v>
      </c>
      <c r="T87" s="530"/>
      <c r="U87" s="530"/>
      <c r="V87" s="441"/>
      <c r="W87" s="530" t="str">
        <f>Birdies!E20</f>
        <v>Ben Fleet</v>
      </c>
      <c r="X87" s="530"/>
      <c r="Y87" s="530"/>
      <c r="Z87" s="530"/>
      <c r="AA87" s="530"/>
      <c r="AB87" s="530"/>
      <c r="AC87" s="530"/>
      <c r="AD87" s="441"/>
      <c r="AE87" s="530">
        <f>Birdies!F20</f>
        <v>8</v>
      </c>
      <c r="AF87" s="530"/>
      <c r="AG87" s="530"/>
      <c r="AH87" s="553"/>
      <c r="AK87" s="554" t="s">
        <v>218</v>
      </c>
      <c r="AL87" s="555"/>
      <c r="AM87" s="555"/>
      <c r="AN87" s="436"/>
      <c r="AO87" s="556" t="str">
        <f>Pars!E20</f>
        <v>Tom Burton</v>
      </c>
      <c r="AP87" s="555"/>
      <c r="AQ87" s="555"/>
      <c r="AR87" s="555"/>
      <c r="AS87" s="555"/>
      <c r="AT87" s="555"/>
      <c r="AU87" s="555"/>
      <c r="AV87" s="436"/>
      <c r="AW87" s="555">
        <f>Pars!F20</f>
        <v>50</v>
      </c>
      <c r="AX87" s="555"/>
      <c r="AY87" s="555"/>
      <c r="AZ87" s="557"/>
      <c r="BC87" s="558" t="s">
        <v>218</v>
      </c>
      <c r="BD87" s="550"/>
      <c r="BE87" s="550"/>
      <c r="BF87" s="443"/>
      <c r="BG87" s="562" t="str">
        <f>Blobs!M20</f>
        <v>Chris Burroughs</v>
      </c>
      <c r="BH87" s="562"/>
      <c r="BI87" s="562"/>
      <c r="BJ87" s="562"/>
      <c r="BK87" s="562"/>
      <c r="BL87" s="562"/>
      <c r="BM87" s="562"/>
      <c r="BN87" s="469"/>
      <c r="BO87" s="560">
        <f>Blobs!P20</f>
        <v>0</v>
      </c>
      <c r="BP87" s="559"/>
      <c r="BQ87" s="559"/>
      <c r="BR87" s="561"/>
    </row>
    <row r="110" spans="1:52" ht="15.75" x14ac:dyDescent="0.25">
      <c r="A110" s="500" t="s">
        <v>226</v>
      </c>
      <c r="B110" s="501"/>
      <c r="C110" s="501"/>
      <c r="D110" s="501"/>
      <c r="E110" s="501"/>
      <c r="F110" s="501"/>
      <c r="G110" s="501"/>
      <c r="H110" s="501"/>
      <c r="I110" s="501"/>
      <c r="J110" s="501"/>
      <c r="K110" s="501"/>
      <c r="L110" s="501"/>
      <c r="M110" s="501"/>
      <c r="N110" s="501"/>
      <c r="O110" s="501"/>
      <c r="P110" s="502"/>
      <c r="Q110" s="8"/>
      <c r="R110" s="8"/>
      <c r="S110" s="500" t="s">
        <v>227</v>
      </c>
      <c r="T110" s="501"/>
      <c r="U110" s="501"/>
      <c r="V110" s="501"/>
      <c r="W110" s="501"/>
      <c r="X110" s="501"/>
      <c r="Y110" s="501"/>
      <c r="Z110" s="501"/>
      <c r="AA110" s="501"/>
      <c r="AB110" s="501"/>
      <c r="AC110" s="501"/>
      <c r="AD110" s="501"/>
      <c r="AE110" s="501"/>
      <c r="AF110" s="501"/>
      <c r="AG110" s="501"/>
      <c r="AH110" s="502"/>
      <c r="AI110" s="8"/>
      <c r="AJ110" s="8"/>
      <c r="AK110" s="500" t="s">
        <v>209</v>
      </c>
      <c r="AL110" s="501"/>
      <c r="AM110" s="501"/>
      <c r="AN110" s="501"/>
      <c r="AO110" s="501"/>
      <c r="AP110" s="501"/>
      <c r="AQ110" s="501"/>
      <c r="AR110" s="501"/>
      <c r="AS110" s="501"/>
      <c r="AT110" s="501"/>
      <c r="AU110" s="501"/>
      <c r="AV110" s="501"/>
      <c r="AW110" s="501"/>
      <c r="AX110" s="501"/>
      <c r="AY110" s="501"/>
      <c r="AZ110" s="502"/>
    </row>
    <row r="111" spans="1:52" ht="5.25" customHeight="1" x14ac:dyDescent="0.2">
      <c r="A111" s="449"/>
      <c r="B111" s="449"/>
      <c r="C111" s="449"/>
      <c r="D111" s="449"/>
      <c r="E111" s="449"/>
      <c r="F111" s="449"/>
      <c r="G111" s="449"/>
      <c r="H111" s="449"/>
      <c r="I111" s="449"/>
      <c r="J111" s="449"/>
      <c r="K111" s="449"/>
      <c r="L111" s="449"/>
      <c r="M111" s="449"/>
      <c r="N111" s="449"/>
      <c r="O111" s="449"/>
      <c r="P111" s="449"/>
      <c r="Q111" s="8"/>
      <c r="R111" s="8"/>
      <c r="S111" s="449"/>
      <c r="T111" s="449"/>
      <c r="U111" s="449"/>
      <c r="V111" s="449"/>
      <c r="W111" s="449"/>
      <c r="X111" s="449"/>
      <c r="Y111" s="449"/>
      <c r="Z111" s="449"/>
      <c r="AA111" s="449"/>
      <c r="AB111" s="449"/>
      <c r="AC111" s="449"/>
      <c r="AD111" s="449"/>
      <c r="AE111" s="449"/>
      <c r="AF111" s="449"/>
      <c r="AG111" s="449"/>
      <c r="AH111" s="449"/>
      <c r="AI111" s="8"/>
      <c r="AJ111" s="8"/>
      <c r="AK111" s="449"/>
      <c r="AL111" s="449"/>
      <c r="AM111" s="449"/>
      <c r="AN111" s="449"/>
      <c r="AO111" s="449"/>
      <c r="AP111" s="449"/>
      <c r="AQ111" s="449"/>
      <c r="AR111" s="449"/>
      <c r="AS111" s="449"/>
      <c r="AT111" s="449"/>
      <c r="AU111" s="449"/>
      <c r="AV111" s="449"/>
      <c r="AW111" s="449"/>
      <c r="AX111" s="449"/>
      <c r="AY111" s="449"/>
      <c r="AZ111" s="449"/>
    </row>
    <row r="112" spans="1:52" x14ac:dyDescent="0.2">
      <c r="A112" s="499" t="s">
        <v>198</v>
      </c>
      <c r="B112" s="497"/>
      <c r="C112" s="497"/>
      <c r="D112" s="497" t="s">
        <v>49</v>
      </c>
      <c r="E112" s="497"/>
      <c r="F112" s="497"/>
      <c r="G112" s="497"/>
      <c r="H112" s="497"/>
      <c r="I112" s="497"/>
      <c r="J112" s="497"/>
      <c r="K112" s="497"/>
      <c r="L112" s="497"/>
      <c r="M112" s="497"/>
      <c r="N112" s="497" t="s">
        <v>52</v>
      </c>
      <c r="O112" s="497"/>
      <c r="P112" s="498"/>
      <c r="Q112" s="8"/>
      <c r="R112" s="8"/>
      <c r="S112" s="499" t="s">
        <v>198</v>
      </c>
      <c r="T112" s="497"/>
      <c r="U112" s="497"/>
      <c r="V112" s="497" t="s">
        <v>49</v>
      </c>
      <c r="W112" s="497"/>
      <c r="X112" s="497"/>
      <c r="Y112" s="497"/>
      <c r="Z112" s="497"/>
      <c r="AA112" s="497"/>
      <c r="AB112" s="497"/>
      <c r="AC112" s="497"/>
      <c r="AD112" s="497"/>
      <c r="AE112" s="497"/>
      <c r="AF112" s="497" t="s">
        <v>52</v>
      </c>
      <c r="AG112" s="497"/>
      <c r="AH112" s="498"/>
      <c r="AI112" s="8"/>
      <c r="AJ112" s="8"/>
      <c r="AK112" s="499" t="s">
        <v>198</v>
      </c>
      <c r="AL112" s="497"/>
      <c r="AM112" s="497"/>
      <c r="AN112" s="497" t="s">
        <v>49</v>
      </c>
      <c r="AO112" s="497"/>
      <c r="AP112" s="497"/>
      <c r="AQ112" s="497"/>
      <c r="AR112" s="497"/>
      <c r="AS112" s="497"/>
      <c r="AT112" s="497"/>
      <c r="AU112" s="497"/>
      <c r="AV112" s="497"/>
      <c r="AW112" s="497"/>
      <c r="AX112" s="497" t="s">
        <v>52</v>
      </c>
      <c r="AY112" s="497"/>
      <c r="AZ112" s="498"/>
    </row>
    <row r="113" spans="1:52" x14ac:dyDescent="0.2">
      <c r="A113" s="495" t="s">
        <v>79</v>
      </c>
      <c r="B113" s="495"/>
      <c r="C113" s="495"/>
      <c r="D113" s="495" t="str">
        <f>'Yearly Records'!B42</f>
        <v>Paul Clarke</v>
      </c>
      <c r="E113" s="495"/>
      <c r="F113" s="495"/>
      <c r="G113" s="495"/>
      <c r="H113" s="495"/>
      <c r="I113" s="495"/>
      <c r="J113" s="495"/>
      <c r="K113" s="495"/>
      <c r="L113" s="495"/>
      <c r="M113" s="495"/>
      <c r="N113" s="495">
        <f>'Yearly Records'!E42</f>
        <v>21</v>
      </c>
      <c r="O113" s="495"/>
      <c r="P113" s="495"/>
      <c r="S113" s="495" t="s">
        <v>79</v>
      </c>
      <c r="T113" s="495"/>
      <c r="U113" s="495"/>
      <c r="V113" s="495" t="str">
        <f>'Yearly Records'!H42</f>
        <v>Tony Forsyth-James</v>
      </c>
      <c r="W113" s="495"/>
      <c r="X113" s="495"/>
      <c r="Y113" s="495"/>
      <c r="Z113" s="495"/>
      <c r="AA113" s="495"/>
      <c r="AB113" s="495"/>
      <c r="AC113" s="495"/>
      <c r="AD113" s="495"/>
      <c r="AE113" s="495"/>
      <c r="AF113" s="495">
        <f>'Yearly Records'!K42</f>
        <v>23</v>
      </c>
      <c r="AG113" s="495"/>
      <c r="AH113" s="495"/>
      <c r="AK113" s="495" t="s">
        <v>79</v>
      </c>
      <c r="AL113" s="495"/>
      <c r="AM113" s="495"/>
      <c r="AN113" s="495" t="str">
        <f>'Yearly Records'!N42</f>
        <v>Justin Hunt</v>
      </c>
      <c r="AO113" s="495"/>
      <c r="AP113" s="495"/>
      <c r="AQ113" s="495"/>
      <c r="AR113" s="495"/>
      <c r="AS113" s="495"/>
      <c r="AT113" s="495"/>
      <c r="AU113" s="495"/>
      <c r="AV113" s="495"/>
      <c r="AW113" s="495"/>
      <c r="AX113" s="495">
        <f>'Yearly Records'!Q42</f>
        <v>42</v>
      </c>
      <c r="AY113" s="495"/>
      <c r="AZ113" s="495"/>
    </row>
    <row r="114" spans="1:52" x14ac:dyDescent="0.2">
      <c r="A114" s="496" t="s">
        <v>80</v>
      </c>
      <c r="B114" s="496"/>
      <c r="C114" s="496"/>
      <c r="D114" s="496" t="str">
        <f>'Yearly Records'!B43</f>
        <v>Paul Fitzgerald</v>
      </c>
      <c r="E114" s="496"/>
      <c r="F114" s="496"/>
      <c r="G114" s="496"/>
      <c r="H114" s="496"/>
      <c r="I114" s="496"/>
      <c r="J114" s="496"/>
      <c r="K114" s="496"/>
      <c r="L114" s="496"/>
      <c r="M114" s="496"/>
      <c r="N114" s="496">
        <f>'Yearly Records'!E43</f>
        <v>21</v>
      </c>
      <c r="O114" s="496"/>
      <c r="P114" s="496"/>
      <c r="S114" s="496" t="s">
        <v>80</v>
      </c>
      <c r="T114" s="496"/>
      <c r="U114" s="496"/>
      <c r="V114" s="496" t="str">
        <f>'Yearly Records'!H43</f>
        <v>Justin Hunt</v>
      </c>
      <c r="W114" s="496"/>
      <c r="X114" s="496"/>
      <c r="Y114" s="496"/>
      <c r="Z114" s="496"/>
      <c r="AA114" s="496"/>
      <c r="AB114" s="496"/>
      <c r="AC114" s="496"/>
      <c r="AD114" s="496"/>
      <c r="AE114" s="496"/>
      <c r="AF114" s="496">
        <f>'Yearly Records'!K43</f>
        <v>23</v>
      </c>
      <c r="AG114" s="496"/>
      <c r="AH114" s="496"/>
      <c r="AK114" s="496" t="s">
        <v>80</v>
      </c>
      <c r="AL114" s="496"/>
      <c r="AM114" s="496"/>
      <c r="AN114" s="496" t="str">
        <f>'Yearly Records'!N43</f>
        <v>Max Ball</v>
      </c>
      <c r="AO114" s="496"/>
      <c r="AP114" s="496"/>
      <c r="AQ114" s="496"/>
      <c r="AR114" s="496"/>
      <c r="AS114" s="496"/>
      <c r="AT114" s="496"/>
      <c r="AU114" s="496"/>
      <c r="AV114" s="496"/>
      <c r="AW114" s="496"/>
      <c r="AX114" s="496">
        <f>'Yearly Records'!Q43</f>
        <v>41</v>
      </c>
      <c r="AY114" s="496"/>
      <c r="AZ114" s="496"/>
    </row>
    <row r="115" spans="1:52" x14ac:dyDescent="0.2">
      <c r="A115" s="495" t="s">
        <v>81</v>
      </c>
      <c r="B115" s="495"/>
      <c r="C115" s="495"/>
      <c r="D115" s="495" t="str">
        <f>'Yearly Records'!B44</f>
        <v>Ben Fleet</v>
      </c>
      <c r="E115" s="495"/>
      <c r="F115" s="495"/>
      <c r="G115" s="495"/>
      <c r="H115" s="495"/>
      <c r="I115" s="495"/>
      <c r="J115" s="495"/>
      <c r="K115" s="495"/>
      <c r="L115" s="495"/>
      <c r="M115" s="495"/>
      <c r="N115" s="495">
        <f>'Yearly Records'!E44</f>
        <v>21</v>
      </c>
      <c r="O115" s="495"/>
      <c r="P115" s="495"/>
      <c r="S115" s="495" t="s">
        <v>81</v>
      </c>
      <c r="T115" s="495"/>
      <c r="U115" s="495"/>
      <c r="V115" s="495" t="str">
        <f>'Yearly Records'!H44</f>
        <v>Jason Wale</v>
      </c>
      <c r="W115" s="495"/>
      <c r="X115" s="495"/>
      <c r="Y115" s="495"/>
      <c r="Z115" s="495"/>
      <c r="AA115" s="495"/>
      <c r="AB115" s="495"/>
      <c r="AC115" s="495"/>
      <c r="AD115" s="495"/>
      <c r="AE115" s="495"/>
      <c r="AF115" s="495">
        <f>'Yearly Records'!K44</f>
        <v>23</v>
      </c>
      <c r="AG115" s="495"/>
      <c r="AH115" s="495"/>
      <c r="AK115" s="495" t="s">
        <v>81</v>
      </c>
      <c r="AL115" s="495"/>
      <c r="AM115" s="495"/>
      <c r="AN115" s="495" t="str">
        <f>'Yearly Records'!N44</f>
        <v>Brad Whitehead</v>
      </c>
      <c r="AO115" s="495"/>
      <c r="AP115" s="495"/>
      <c r="AQ115" s="495"/>
      <c r="AR115" s="495"/>
      <c r="AS115" s="495"/>
      <c r="AT115" s="495"/>
      <c r="AU115" s="495"/>
      <c r="AV115" s="495"/>
      <c r="AW115" s="495"/>
      <c r="AX115" s="495">
        <f>'Yearly Records'!Q44</f>
        <v>41</v>
      </c>
      <c r="AY115" s="495"/>
      <c r="AZ115" s="495"/>
    </row>
    <row r="116" spans="1:52" x14ac:dyDescent="0.2">
      <c r="A116" s="496" t="s">
        <v>82</v>
      </c>
      <c r="B116" s="496"/>
      <c r="C116" s="496"/>
      <c r="D116" s="496" t="str">
        <f>'Yearly Records'!B45</f>
        <v>Eoghan Hilton</v>
      </c>
      <c r="E116" s="496"/>
      <c r="F116" s="496"/>
      <c r="G116" s="496"/>
      <c r="H116" s="496"/>
      <c r="I116" s="496"/>
      <c r="J116" s="496"/>
      <c r="K116" s="496"/>
      <c r="L116" s="496"/>
      <c r="M116" s="496"/>
      <c r="N116" s="496">
        <f>'Yearly Records'!E45</f>
        <v>21</v>
      </c>
      <c r="O116" s="496"/>
      <c r="P116" s="496"/>
      <c r="S116" s="496" t="s">
        <v>82</v>
      </c>
      <c r="T116" s="496"/>
      <c r="U116" s="496"/>
      <c r="V116" s="496" t="str">
        <f>'Yearly Records'!H45</f>
        <v>Brad Whitehead</v>
      </c>
      <c r="W116" s="496"/>
      <c r="X116" s="496"/>
      <c r="Y116" s="496"/>
      <c r="Z116" s="496"/>
      <c r="AA116" s="496"/>
      <c r="AB116" s="496"/>
      <c r="AC116" s="496"/>
      <c r="AD116" s="496"/>
      <c r="AE116" s="496"/>
      <c r="AF116" s="496">
        <f>'Yearly Records'!K45</f>
        <v>22</v>
      </c>
      <c r="AG116" s="496"/>
      <c r="AH116" s="496"/>
      <c r="AK116" s="496" t="s">
        <v>82</v>
      </c>
      <c r="AL116" s="496"/>
      <c r="AM116" s="496"/>
      <c r="AN116" s="496" t="str">
        <f>'Yearly Records'!N45</f>
        <v>Tony Forsyth-James</v>
      </c>
      <c r="AO116" s="496"/>
      <c r="AP116" s="496"/>
      <c r="AQ116" s="496"/>
      <c r="AR116" s="496"/>
      <c r="AS116" s="496"/>
      <c r="AT116" s="496"/>
      <c r="AU116" s="496"/>
      <c r="AV116" s="496"/>
      <c r="AW116" s="496"/>
      <c r="AX116" s="496">
        <f>'Yearly Records'!Q45</f>
        <v>40</v>
      </c>
      <c r="AY116" s="496"/>
      <c r="AZ116" s="496"/>
    </row>
    <row r="117" spans="1:52" x14ac:dyDescent="0.2">
      <c r="A117" s="495" t="s">
        <v>83</v>
      </c>
      <c r="B117" s="495"/>
      <c r="C117" s="495"/>
      <c r="D117" s="495" t="str">
        <f>'Yearly Records'!B46</f>
        <v>Justin Hunt</v>
      </c>
      <c r="E117" s="495"/>
      <c r="F117" s="495"/>
      <c r="G117" s="495"/>
      <c r="H117" s="495"/>
      <c r="I117" s="495"/>
      <c r="J117" s="495"/>
      <c r="K117" s="495"/>
      <c r="L117" s="495"/>
      <c r="M117" s="495"/>
      <c r="N117" s="495">
        <f>'Yearly Records'!E46</f>
        <v>21</v>
      </c>
      <c r="O117" s="495"/>
      <c r="P117" s="495"/>
      <c r="S117" s="495" t="s">
        <v>83</v>
      </c>
      <c r="T117" s="495"/>
      <c r="U117" s="495"/>
      <c r="V117" s="495" t="str">
        <f>'Yearly Records'!H46</f>
        <v>Max Ball</v>
      </c>
      <c r="W117" s="495"/>
      <c r="X117" s="495"/>
      <c r="Y117" s="495"/>
      <c r="Z117" s="495"/>
      <c r="AA117" s="495"/>
      <c r="AB117" s="495"/>
      <c r="AC117" s="495"/>
      <c r="AD117" s="495"/>
      <c r="AE117" s="495"/>
      <c r="AF117" s="495">
        <f>'Yearly Records'!K46</f>
        <v>21</v>
      </c>
      <c r="AG117" s="495"/>
      <c r="AH117" s="495"/>
      <c r="AK117" s="495" t="s">
        <v>83</v>
      </c>
      <c r="AL117" s="495"/>
      <c r="AM117" s="495"/>
      <c r="AN117" s="495" t="str">
        <f>'Yearly Records'!N46</f>
        <v>Jason Wale</v>
      </c>
      <c r="AO117" s="495"/>
      <c r="AP117" s="495"/>
      <c r="AQ117" s="495"/>
      <c r="AR117" s="495"/>
      <c r="AS117" s="495"/>
      <c r="AT117" s="495"/>
      <c r="AU117" s="495"/>
      <c r="AV117" s="495"/>
      <c r="AW117" s="495"/>
      <c r="AX117" s="495">
        <f>'Yearly Records'!Q46</f>
        <v>40</v>
      </c>
      <c r="AY117" s="495"/>
      <c r="AZ117" s="495"/>
    </row>
    <row r="118" spans="1:52" x14ac:dyDescent="0.2">
      <c r="A118" s="496" t="s">
        <v>94</v>
      </c>
      <c r="B118" s="496"/>
      <c r="C118" s="496"/>
      <c r="D118" s="496" t="str">
        <f>'Yearly Records'!B47</f>
        <v>Andy Johnson</v>
      </c>
      <c r="E118" s="496"/>
      <c r="F118" s="496"/>
      <c r="G118" s="496"/>
      <c r="H118" s="496"/>
      <c r="I118" s="496"/>
      <c r="J118" s="496"/>
      <c r="K118" s="496"/>
      <c r="L118" s="496"/>
      <c r="M118" s="496"/>
      <c r="N118" s="496">
        <f>'Yearly Records'!E47</f>
        <v>21</v>
      </c>
      <c r="O118" s="496"/>
      <c r="P118" s="496"/>
      <c r="S118" s="496" t="s">
        <v>94</v>
      </c>
      <c r="T118" s="496"/>
      <c r="U118" s="496"/>
      <c r="V118" s="496" t="str">
        <f>'Yearly Records'!H47</f>
        <v>Archie Fraser</v>
      </c>
      <c r="W118" s="496"/>
      <c r="X118" s="496"/>
      <c r="Y118" s="496"/>
      <c r="Z118" s="496"/>
      <c r="AA118" s="496"/>
      <c r="AB118" s="496"/>
      <c r="AC118" s="496"/>
      <c r="AD118" s="496"/>
      <c r="AE118" s="496"/>
      <c r="AF118" s="496">
        <f>'Yearly Records'!K47</f>
        <v>21</v>
      </c>
      <c r="AG118" s="496"/>
      <c r="AH118" s="496"/>
      <c r="AK118" s="496" t="s">
        <v>94</v>
      </c>
      <c r="AL118" s="496"/>
      <c r="AM118" s="496"/>
      <c r="AN118" s="496" t="str">
        <f>'Yearly Records'!N47</f>
        <v>Paul Fitzgerald</v>
      </c>
      <c r="AO118" s="496"/>
      <c r="AP118" s="496"/>
      <c r="AQ118" s="496"/>
      <c r="AR118" s="496"/>
      <c r="AS118" s="496"/>
      <c r="AT118" s="496"/>
      <c r="AU118" s="496"/>
      <c r="AV118" s="496"/>
      <c r="AW118" s="496"/>
      <c r="AX118" s="496">
        <f>'Yearly Records'!Q47</f>
        <v>39</v>
      </c>
      <c r="AY118" s="496"/>
      <c r="AZ118" s="496"/>
    </row>
    <row r="119" spans="1:52" x14ac:dyDescent="0.2">
      <c r="A119" s="495" t="s">
        <v>95</v>
      </c>
      <c r="B119" s="495"/>
      <c r="C119" s="495"/>
      <c r="D119" s="495" t="str">
        <f>'Yearly Records'!B48</f>
        <v>Max Ball</v>
      </c>
      <c r="E119" s="495"/>
      <c r="F119" s="495"/>
      <c r="G119" s="495"/>
      <c r="H119" s="495"/>
      <c r="I119" s="495"/>
      <c r="J119" s="495"/>
      <c r="K119" s="495"/>
      <c r="L119" s="495"/>
      <c r="M119" s="495"/>
      <c r="N119" s="495">
        <f>'Yearly Records'!E48</f>
        <v>20</v>
      </c>
      <c r="O119" s="495"/>
      <c r="P119" s="495"/>
      <c r="S119" s="495" t="s">
        <v>95</v>
      </c>
      <c r="T119" s="495"/>
      <c r="U119" s="495"/>
      <c r="V119" s="495" t="str">
        <f>'Yearly Records'!H48</f>
        <v>Dave Randall</v>
      </c>
      <c r="W119" s="495"/>
      <c r="X119" s="495"/>
      <c r="Y119" s="495"/>
      <c r="Z119" s="495"/>
      <c r="AA119" s="495"/>
      <c r="AB119" s="495"/>
      <c r="AC119" s="495"/>
      <c r="AD119" s="495"/>
      <c r="AE119" s="495"/>
      <c r="AF119" s="495">
        <f>'Yearly Records'!K48</f>
        <v>21</v>
      </c>
      <c r="AG119" s="495"/>
      <c r="AH119" s="495"/>
      <c r="AK119" s="495" t="s">
        <v>95</v>
      </c>
      <c r="AL119" s="495"/>
      <c r="AM119" s="495"/>
      <c r="AN119" s="495" t="str">
        <f>'Yearly Records'!N48</f>
        <v>Dave Randall</v>
      </c>
      <c r="AO119" s="495"/>
      <c r="AP119" s="495"/>
      <c r="AQ119" s="495"/>
      <c r="AR119" s="495"/>
      <c r="AS119" s="495"/>
      <c r="AT119" s="495"/>
      <c r="AU119" s="495"/>
      <c r="AV119" s="495"/>
      <c r="AW119" s="495"/>
      <c r="AX119" s="495">
        <f>'Yearly Records'!Q48</f>
        <v>39</v>
      </c>
      <c r="AY119" s="495"/>
      <c r="AZ119" s="495"/>
    </row>
    <row r="120" spans="1:52" x14ac:dyDescent="0.2">
      <c r="A120" s="496" t="s">
        <v>96</v>
      </c>
      <c r="B120" s="496"/>
      <c r="C120" s="496"/>
      <c r="D120" s="496" t="str">
        <f>'Yearly Records'!B49</f>
        <v>Martin Coomber</v>
      </c>
      <c r="E120" s="496"/>
      <c r="F120" s="496"/>
      <c r="G120" s="496"/>
      <c r="H120" s="496"/>
      <c r="I120" s="496"/>
      <c r="J120" s="496"/>
      <c r="K120" s="496"/>
      <c r="L120" s="496"/>
      <c r="M120" s="496"/>
      <c r="N120" s="496">
        <f>'Yearly Records'!E49</f>
        <v>20</v>
      </c>
      <c r="O120" s="496"/>
      <c r="P120" s="496"/>
      <c r="S120" s="496" t="s">
        <v>96</v>
      </c>
      <c r="T120" s="496"/>
      <c r="U120" s="496"/>
      <c r="V120" s="496" t="str">
        <f>'Yearly Records'!H49</f>
        <v>Peter Vallely</v>
      </c>
      <c r="W120" s="496"/>
      <c r="X120" s="496"/>
      <c r="Y120" s="496"/>
      <c r="Z120" s="496"/>
      <c r="AA120" s="496"/>
      <c r="AB120" s="496"/>
      <c r="AC120" s="496"/>
      <c r="AD120" s="496"/>
      <c r="AE120" s="496"/>
      <c r="AF120" s="496">
        <f>'Yearly Records'!K49</f>
        <v>21</v>
      </c>
      <c r="AG120" s="496"/>
      <c r="AH120" s="496"/>
      <c r="AK120" s="496" t="s">
        <v>96</v>
      </c>
      <c r="AL120" s="496"/>
      <c r="AM120" s="496"/>
      <c r="AN120" s="496" t="str">
        <f>'Yearly Records'!N49</f>
        <v>Peter Vallely</v>
      </c>
      <c r="AO120" s="496"/>
      <c r="AP120" s="496"/>
      <c r="AQ120" s="496"/>
      <c r="AR120" s="496"/>
      <c r="AS120" s="496"/>
      <c r="AT120" s="496"/>
      <c r="AU120" s="496"/>
      <c r="AV120" s="496"/>
      <c r="AW120" s="496"/>
      <c r="AX120" s="496">
        <f>'Yearly Records'!Q49</f>
        <v>39</v>
      </c>
      <c r="AY120" s="496"/>
      <c r="AZ120" s="496"/>
    </row>
    <row r="121" spans="1:52" x14ac:dyDescent="0.2">
      <c r="A121" s="495" t="s">
        <v>97</v>
      </c>
      <c r="B121" s="495"/>
      <c r="C121" s="495"/>
      <c r="D121" s="495" t="str">
        <f>'Yearly Records'!B50</f>
        <v>Nick Garner</v>
      </c>
      <c r="E121" s="495"/>
      <c r="F121" s="495"/>
      <c r="G121" s="495"/>
      <c r="H121" s="495"/>
      <c r="I121" s="495"/>
      <c r="J121" s="495"/>
      <c r="K121" s="495"/>
      <c r="L121" s="495"/>
      <c r="M121" s="495"/>
      <c r="N121" s="495">
        <f>'Yearly Records'!E50</f>
        <v>20</v>
      </c>
      <c r="O121" s="495"/>
      <c r="P121" s="495"/>
      <c r="S121" s="495" t="s">
        <v>97</v>
      </c>
      <c r="T121" s="495"/>
      <c r="U121" s="495"/>
      <c r="V121" s="495" t="str">
        <f>'Yearly Records'!H50</f>
        <v>Martin Coomber</v>
      </c>
      <c r="W121" s="495"/>
      <c r="X121" s="495"/>
      <c r="Y121" s="495"/>
      <c r="Z121" s="495"/>
      <c r="AA121" s="495"/>
      <c r="AB121" s="495"/>
      <c r="AC121" s="495"/>
      <c r="AD121" s="495"/>
      <c r="AE121" s="495"/>
      <c r="AF121" s="495">
        <f>'Yearly Records'!K50</f>
        <v>20</v>
      </c>
      <c r="AG121" s="495"/>
      <c r="AH121" s="495"/>
      <c r="AK121" s="495" t="s">
        <v>97</v>
      </c>
      <c r="AL121" s="495"/>
      <c r="AM121" s="495"/>
      <c r="AN121" s="495" t="str">
        <f>'Yearly Records'!N50</f>
        <v>Jordan Hall</v>
      </c>
      <c r="AO121" s="495"/>
      <c r="AP121" s="495"/>
      <c r="AQ121" s="495"/>
      <c r="AR121" s="495"/>
      <c r="AS121" s="495"/>
      <c r="AT121" s="495"/>
      <c r="AU121" s="495"/>
      <c r="AV121" s="495"/>
      <c r="AW121" s="495"/>
      <c r="AX121" s="495">
        <f>'Yearly Records'!Q50</f>
        <v>38</v>
      </c>
      <c r="AY121" s="495"/>
      <c r="AZ121" s="495"/>
    </row>
    <row r="122" spans="1:52" x14ac:dyDescent="0.2">
      <c r="A122" s="496" t="s">
        <v>98</v>
      </c>
      <c r="B122" s="496"/>
      <c r="C122" s="496"/>
      <c r="D122" s="496" t="str">
        <f>'Yearly Records'!B51</f>
        <v>Anthony Harris</v>
      </c>
      <c r="E122" s="496"/>
      <c r="F122" s="496"/>
      <c r="G122" s="496"/>
      <c r="H122" s="496"/>
      <c r="I122" s="496"/>
      <c r="J122" s="496"/>
      <c r="K122" s="496"/>
      <c r="L122" s="496"/>
      <c r="M122" s="496"/>
      <c r="N122" s="496">
        <f>'Yearly Records'!E51</f>
        <v>20</v>
      </c>
      <c r="O122" s="496"/>
      <c r="P122" s="496"/>
      <c r="S122" s="496" t="s">
        <v>98</v>
      </c>
      <c r="T122" s="496"/>
      <c r="U122" s="496"/>
      <c r="V122" s="496" t="str">
        <f>'Yearly Records'!H51</f>
        <v>Paul Fitzgerald</v>
      </c>
      <c r="W122" s="496"/>
      <c r="X122" s="496"/>
      <c r="Y122" s="496"/>
      <c r="Z122" s="496"/>
      <c r="AA122" s="496"/>
      <c r="AB122" s="496"/>
      <c r="AC122" s="496"/>
      <c r="AD122" s="496"/>
      <c r="AE122" s="496"/>
      <c r="AF122" s="496">
        <f>'Yearly Records'!K51</f>
        <v>20</v>
      </c>
      <c r="AG122" s="496"/>
      <c r="AH122" s="496"/>
      <c r="AK122" s="496" t="s">
        <v>98</v>
      </c>
      <c r="AL122" s="496"/>
      <c r="AM122" s="496"/>
      <c r="AN122" s="496" t="str">
        <f>'Yearly Records'!N51</f>
        <v>Anthony Harris</v>
      </c>
      <c r="AO122" s="496"/>
      <c r="AP122" s="496"/>
      <c r="AQ122" s="496"/>
      <c r="AR122" s="496"/>
      <c r="AS122" s="496"/>
      <c r="AT122" s="496"/>
      <c r="AU122" s="496"/>
      <c r="AV122" s="496"/>
      <c r="AW122" s="496"/>
      <c r="AX122" s="496">
        <f>'Yearly Records'!Q51</f>
        <v>38</v>
      </c>
      <c r="AY122" s="496"/>
      <c r="AZ122" s="496"/>
    </row>
    <row r="123" spans="1:52" x14ac:dyDescent="0.2">
      <c r="A123" s="1"/>
      <c r="B123" s="1"/>
      <c r="C123" s="1"/>
      <c r="D123" s="1"/>
      <c r="E123" s="1"/>
      <c r="F123" s="1"/>
      <c r="G123" s="1"/>
      <c r="H123" s="1"/>
      <c r="I123" s="1"/>
      <c r="J123" s="1"/>
      <c r="K123" s="1"/>
      <c r="L123" s="1"/>
      <c r="M123" s="1"/>
      <c r="N123" s="1"/>
      <c r="O123" s="1"/>
      <c r="P123" s="1"/>
      <c r="S123" s="1"/>
      <c r="T123" s="1"/>
      <c r="U123" s="1"/>
      <c r="V123" s="1"/>
      <c r="W123" s="1"/>
      <c r="X123" s="1"/>
      <c r="Y123" s="1"/>
      <c r="Z123" s="1"/>
      <c r="AA123" s="1"/>
      <c r="AB123" s="1"/>
      <c r="AC123" s="1"/>
      <c r="AD123" s="1"/>
      <c r="AE123" s="1"/>
      <c r="AF123" s="1"/>
      <c r="AG123" s="1"/>
      <c r="AH123" s="1"/>
      <c r="AK123" s="1"/>
      <c r="AL123" s="1"/>
      <c r="AM123" s="1"/>
      <c r="AN123" s="1"/>
      <c r="AO123" s="1"/>
      <c r="AP123" s="1"/>
      <c r="AQ123" s="1"/>
      <c r="AR123" s="1"/>
      <c r="AS123" s="1"/>
      <c r="AT123" s="1"/>
      <c r="AU123" s="1"/>
      <c r="AV123" s="1"/>
      <c r="AW123" s="1"/>
      <c r="AX123" s="1"/>
      <c r="AY123" s="1"/>
      <c r="AZ123" s="1"/>
    </row>
    <row r="124" spans="1:52" x14ac:dyDescent="0.2">
      <c r="A124" s="1"/>
      <c r="B124" s="1"/>
      <c r="C124" s="1"/>
      <c r="D124" s="1"/>
      <c r="E124" s="1"/>
      <c r="F124" s="1"/>
      <c r="G124" s="1"/>
      <c r="H124" s="1"/>
      <c r="I124" s="1"/>
      <c r="J124" s="1"/>
      <c r="K124" s="1"/>
      <c r="L124" s="1"/>
      <c r="M124" s="1"/>
      <c r="N124" s="1"/>
      <c r="O124" s="1"/>
      <c r="P124" s="1"/>
      <c r="S124" s="1"/>
      <c r="T124" s="1"/>
      <c r="U124" s="1"/>
      <c r="V124" s="1"/>
      <c r="W124" s="1"/>
      <c r="X124" s="1"/>
      <c r="Y124" s="1"/>
      <c r="Z124" s="1"/>
      <c r="AA124" s="1"/>
      <c r="AB124" s="1"/>
      <c r="AC124" s="1"/>
      <c r="AD124" s="1"/>
      <c r="AE124" s="1"/>
      <c r="AF124" s="1"/>
      <c r="AG124" s="1"/>
      <c r="AH124" s="1"/>
      <c r="AK124" s="1"/>
      <c r="AL124" s="1"/>
      <c r="AM124" s="1"/>
      <c r="AN124" s="1"/>
      <c r="AO124" s="1"/>
      <c r="AP124" s="1"/>
      <c r="AQ124" s="1"/>
      <c r="AR124" s="1"/>
      <c r="AS124" s="1"/>
      <c r="AT124" s="1"/>
      <c r="AU124" s="1"/>
      <c r="AV124" s="1"/>
      <c r="AW124" s="1"/>
      <c r="AX124" s="1"/>
      <c r="AY124" s="1"/>
      <c r="AZ124" s="1"/>
    </row>
    <row r="126" spans="1:52" ht="15.75" x14ac:dyDescent="0.25">
      <c r="A126" s="500" t="s">
        <v>228</v>
      </c>
      <c r="B126" s="501"/>
      <c r="C126" s="501"/>
      <c r="D126" s="501"/>
      <c r="E126" s="501"/>
      <c r="F126" s="501"/>
      <c r="G126" s="501"/>
      <c r="H126" s="501"/>
      <c r="I126" s="501"/>
      <c r="J126" s="501"/>
      <c r="K126" s="501"/>
      <c r="L126" s="501"/>
      <c r="M126" s="501"/>
      <c r="N126" s="501"/>
      <c r="O126" s="501"/>
      <c r="P126" s="502"/>
      <c r="S126" s="500" t="s">
        <v>229</v>
      </c>
      <c r="T126" s="501"/>
      <c r="U126" s="501"/>
      <c r="V126" s="501"/>
      <c r="W126" s="501"/>
      <c r="X126" s="501"/>
      <c r="Y126" s="501"/>
      <c r="Z126" s="501"/>
      <c r="AA126" s="501"/>
      <c r="AB126" s="501"/>
      <c r="AC126" s="501"/>
      <c r="AD126" s="501"/>
      <c r="AE126" s="501"/>
      <c r="AF126" s="501"/>
      <c r="AG126" s="501"/>
      <c r="AH126" s="502"/>
      <c r="AK126" s="500" t="s">
        <v>210</v>
      </c>
      <c r="AL126" s="501"/>
      <c r="AM126" s="501"/>
      <c r="AN126" s="501"/>
      <c r="AO126" s="501"/>
      <c r="AP126" s="501"/>
      <c r="AQ126" s="501"/>
      <c r="AR126" s="501"/>
      <c r="AS126" s="501"/>
      <c r="AT126" s="501"/>
      <c r="AU126" s="501"/>
      <c r="AV126" s="501"/>
      <c r="AW126" s="501"/>
      <c r="AX126" s="501"/>
      <c r="AY126" s="501"/>
      <c r="AZ126" s="502"/>
    </row>
    <row r="127" spans="1:52" ht="5.25" customHeight="1" x14ac:dyDescent="0.2">
      <c r="A127" s="1"/>
      <c r="B127" s="1"/>
      <c r="C127" s="1"/>
      <c r="D127" s="1"/>
      <c r="E127" s="1"/>
      <c r="F127" s="1"/>
      <c r="G127" s="1"/>
      <c r="H127" s="1"/>
      <c r="I127" s="1"/>
      <c r="J127" s="1"/>
      <c r="K127" s="1"/>
      <c r="L127" s="1"/>
      <c r="M127" s="1"/>
      <c r="N127" s="1"/>
      <c r="O127" s="1"/>
      <c r="P127" s="1"/>
      <c r="S127" s="1"/>
      <c r="T127" s="1"/>
      <c r="U127" s="1"/>
      <c r="V127" s="1"/>
      <c r="W127" s="1"/>
      <c r="X127" s="1"/>
      <c r="Y127" s="1"/>
      <c r="Z127" s="1"/>
      <c r="AA127" s="1"/>
      <c r="AB127" s="1"/>
      <c r="AC127" s="1"/>
      <c r="AD127" s="1"/>
      <c r="AE127" s="1"/>
      <c r="AF127" s="1"/>
      <c r="AG127" s="1"/>
      <c r="AH127" s="1"/>
      <c r="AK127" s="1"/>
      <c r="AL127" s="1"/>
      <c r="AM127" s="1"/>
      <c r="AN127" s="1"/>
      <c r="AO127" s="1"/>
      <c r="AP127" s="1"/>
      <c r="AQ127" s="1"/>
      <c r="AR127" s="1"/>
      <c r="AS127" s="1"/>
      <c r="AT127" s="1"/>
      <c r="AU127" s="1"/>
      <c r="AV127" s="1"/>
      <c r="AW127" s="1"/>
      <c r="AX127" s="1"/>
      <c r="AY127" s="1"/>
      <c r="AZ127" s="1"/>
    </row>
    <row r="128" spans="1:52" x14ac:dyDescent="0.2">
      <c r="A128" s="499" t="s">
        <v>198</v>
      </c>
      <c r="B128" s="497"/>
      <c r="C128" s="497"/>
      <c r="D128" s="497" t="s">
        <v>49</v>
      </c>
      <c r="E128" s="497"/>
      <c r="F128" s="497"/>
      <c r="G128" s="497"/>
      <c r="H128" s="497"/>
      <c r="I128" s="497"/>
      <c r="J128" s="497"/>
      <c r="K128" s="497"/>
      <c r="L128" s="497"/>
      <c r="M128" s="497"/>
      <c r="N128" s="497" t="s">
        <v>52</v>
      </c>
      <c r="O128" s="497"/>
      <c r="P128" s="498"/>
      <c r="S128" s="499" t="s">
        <v>198</v>
      </c>
      <c r="T128" s="497"/>
      <c r="U128" s="497"/>
      <c r="V128" s="497" t="s">
        <v>49</v>
      </c>
      <c r="W128" s="497"/>
      <c r="X128" s="497"/>
      <c r="Y128" s="497"/>
      <c r="Z128" s="497"/>
      <c r="AA128" s="497"/>
      <c r="AB128" s="497"/>
      <c r="AC128" s="497"/>
      <c r="AD128" s="497"/>
      <c r="AE128" s="497"/>
      <c r="AF128" s="497" t="s">
        <v>52</v>
      </c>
      <c r="AG128" s="497"/>
      <c r="AH128" s="498"/>
      <c r="AK128" s="499" t="s">
        <v>198</v>
      </c>
      <c r="AL128" s="497"/>
      <c r="AM128" s="497"/>
      <c r="AN128" s="497" t="s">
        <v>49</v>
      </c>
      <c r="AO128" s="497"/>
      <c r="AP128" s="497"/>
      <c r="AQ128" s="497"/>
      <c r="AR128" s="497"/>
      <c r="AS128" s="497"/>
      <c r="AT128" s="497"/>
      <c r="AU128" s="497"/>
      <c r="AV128" s="497"/>
      <c r="AW128" s="497"/>
      <c r="AX128" s="497" t="s">
        <v>52</v>
      </c>
      <c r="AY128" s="497"/>
      <c r="AZ128" s="498"/>
    </row>
    <row r="129" spans="1:69" x14ac:dyDescent="0.2">
      <c r="A129" s="495" t="s">
        <v>79</v>
      </c>
      <c r="B129" s="495"/>
      <c r="C129" s="495"/>
      <c r="D129" s="495" t="str">
        <f>'Yearly Records'!B56</f>
        <v>Dominic Coughlin</v>
      </c>
      <c r="E129" s="495"/>
      <c r="F129" s="495"/>
      <c r="G129" s="495"/>
      <c r="H129" s="495"/>
      <c r="I129" s="495"/>
      <c r="J129" s="495"/>
      <c r="K129" s="495"/>
      <c r="L129" s="495"/>
      <c r="M129" s="495"/>
      <c r="N129" s="495">
        <f>'Yearly Records'!E56</f>
        <v>3</v>
      </c>
      <c r="O129" s="495"/>
      <c r="P129" s="495"/>
      <c r="S129" s="495" t="s">
        <v>79</v>
      </c>
      <c r="T129" s="495"/>
      <c r="U129" s="495"/>
      <c r="V129" s="495" t="str">
        <f>'Yearly Records'!H56</f>
        <v>Paul Clarke</v>
      </c>
      <c r="W129" s="495"/>
      <c r="X129" s="495"/>
      <c r="Y129" s="495"/>
      <c r="Z129" s="495"/>
      <c r="AA129" s="495"/>
      <c r="AB129" s="495"/>
      <c r="AC129" s="495"/>
      <c r="AD129" s="495"/>
      <c r="AE129" s="495"/>
      <c r="AF129" s="495">
        <f>'Yearly Records'!K56</f>
        <v>4</v>
      </c>
      <c r="AG129" s="495"/>
      <c r="AH129" s="495"/>
      <c r="AK129" s="495" t="s">
        <v>79</v>
      </c>
      <c r="AL129" s="495"/>
      <c r="AM129" s="495"/>
      <c r="AN129" s="495" t="str">
        <f>'Yearly Records'!N56</f>
        <v>Gary Hall</v>
      </c>
      <c r="AO129" s="495"/>
      <c r="AP129" s="495"/>
      <c r="AQ129" s="495"/>
      <c r="AR129" s="495"/>
      <c r="AS129" s="495"/>
      <c r="AT129" s="495"/>
      <c r="AU129" s="495"/>
      <c r="AV129" s="495"/>
      <c r="AW129" s="495"/>
      <c r="AX129" s="495">
        <f>'Yearly Records'!Q56</f>
        <v>9</v>
      </c>
      <c r="AY129" s="495"/>
      <c r="AZ129" s="495"/>
    </row>
    <row r="130" spans="1:69" x14ac:dyDescent="0.2">
      <c r="A130" s="496" t="s">
        <v>80</v>
      </c>
      <c r="B130" s="496"/>
      <c r="C130" s="496"/>
      <c r="D130" s="496" t="str">
        <f>'Yearly Records'!B57</f>
        <v>Sam Cochrane</v>
      </c>
      <c r="E130" s="496"/>
      <c r="F130" s="496"/>
      <c r="G130" s="496"/>
      <c r="H130" s="496"/>
      <c r="I130" s="496"/>
      <c r="J130" s="496"/>
      <c r="K130" s="496"/>
      <c r="L130" s="496"/>
      <c r="M130" s="496"/>
      <c r="N130" s="496">
        <f>'Yearly Records'!E57</f>
        <v>6</v>
      </c>
      <c r="O130" s="496"/>
      <c r="P130" s="496"/>
      <c r="S130" s="496" t="s">
        <v>80</v>
      </c>
      <c r="T130" s="496"/>
      <c r="U130" s="496"/>
      <c r="V130" s="496" t="str">
        <f>'Yearly Records'!H57</f>
        <v>Oliver Proud</v>
      </c>
      <c r="W130" s="496"/>
      <c r="X130" s="496"/>
      <c r="Y130" s="496"/>
      <c r="Z130" s="496"/>
      <c r="AA130" s="496"/>
      <c r="AB130" s="496"/>
      <c r="AC130" s="496"/>
      <c r="AD130" s="496"/>
      <c r="AE130" s="496"/>
      <c r="AF130" s="496">
        <f>'Yearly Records'!K57</f>
        <v>5</v>
      </c>
      <c r="AG130" s="496"/>
      <c r="AH130" s="496"/>
      <c r="AK130" s="496" t="s">
        <v>80</v>
      </c>
      <c r="AL130" s="496"/>
      <c r="AM130" s="496"/>
      <c r="AN130" s="496" t="str">
        <f>'Yearly Records'!N57</f>
        <v>Sam Cochrane</v>
      </c>
      <c r="AO130" s="496"/>
      <c r="AP130" s="496"/>
      <c r="AQ130" s="496"/>
      <c r="AR130" s="496"/>
      <c r="AS130" s="496"/>
      <c r="AT130" s="496"/>
      <c r="AU130" s="496"/>
      <c r="AV130" s="496"/>
      <c r="AW130" s="496"/>
      <c r="AX130" s="496">
        <f>'Yearly Records'!Q57</f>
        <v>16</v>
      </c>
      <c r="AY130" s="496"/>
      <c r="AZ130" s="496"/>
    </row>
    <row r="131" spans="1:69" x14ac:dyDescent="0.2">
      <c r="A131" s="495" t="s">
        <v>81</v>
      </c>
      <c r="B131" s="495"/>
      <c r="C131" s="495"/>
      <c r="D131" s="495" t="str">
        <f>'Yearly Records'!B58</f>
        <v>Harley Bishop</v>
      </c>
      <c r="E131" s="495"/>
      <c r="F131" s="495"/>
      <c r="G131" s="495"/>
      <c r="H131" s="495"/>
      <c r="I131" s="495"/>
      <c r="J131" s="495"/>
      <c r="K131" s="495"/>
      <c r="L131" s="495"/>
      <c r="M131" s="495"/>
      <c r="N131" s="495">
        <f>'Yearly Records'!E58</f>
        <v>9</v>
      </c>
      <c r="O131" s="495"/>
      <c r="P131" s="495"/>
      <c r="S131" s="495" t="s">
        <v>81</v>
      </c>
      <c r="T131" s="495"/>
      <c r="U131" s="495"/>
      <c r="V131" s="495" t="str">
        <f>'Yearly Records'!H58</f>
        <v>Sam Cochrane</v>
      </c>
      <c r="W131" s="495"/>
      <c r="X131" s="495"/>
      <c r="Y131" s="495"/>
      <c r="Z131" s="495"/>
      <c r="AA131" s="495"/>
      <c r="AB131" s="495"/>
      <c r="AC131" s="495"/>
      <c r="AD131" s="495"/>
      <c r="AE131" s="495"/>
      <c r="AF131" s="495">
        <f>'Yearly Records'!K58</f>
        <v>8</v>
      </c>
      <c r="AG131" s="495"/>
      <c r="AH131" s="495"/>
      <c r="AK131" s="495" t="s">
        <v>81</v>
      </c>
      <c r="AL131" s="495"/>
      <c r="AM131" s="495"/>
      <c r="AN131" s="495" t="str">
        <f>'Yearly Records'!N58</f>
        <v>Paul Clarke</v>
      </c>
      <c r="AO131" s="495"/>
      <c r="AP131" s="495"/>
      <c r="AQ131" s="495"/>
      <c r="AR131" s="495"/>
      <c r="AS131" s="495"/>
      <c r="AT131" s="495"/>
      <c r="AU131" s="495"/>
      <c r="AV131" s="495"/>
      <c r="AW131" s="495"/>
      <c r="AX131" s="495">
        <f>'Yearly Records'!Q58</f>
        <v>19</v>
      </c>
      <c r="AY131" s="495"/>
      <c r="AZ131" s="495"/>
    </row>
    <row r="132" spans="1:69" x14ac:dyDescent="0.2">
      <c r="A132" s="496" t="s">
        <v>82</v>
      </c>
      <c r="B132" s="496"/>
      <c r="C132" s="496"/>
      <c r="D132" s="496" t="str">
        <f>'Yearly Records'!B59</f>
        <v>Gary Hall</v>
      </c>
      <c r="E132" s="496"/>
      <c r="F132" s="496"/>
      <c r="G132" s="496"/>
      <c r="H132" s="496"/>
      <c r="I132" s="496"/>
      <c r="J132" s="496"/>
      <c r="K132" s="496"/>
      <c r="L132" s="496"/>
      <c r="M132" s="496"/>
      <c r="N132" s="496">
        <f>'Yearly Records'!E59</f>
        <v>9</v>
      </c>
      <c r="O132" s="496"/>
      <c r="P132" s="496"/>
      <c r="S132" s="496" t="s">
        <v>82</v>
      </c>
      <c r="T132" s="496"/>
      <c r="U132" s="496"/>
      <c r="V132" s="496" t="str">
        <f>'Yearly Records'!H59</f>
        <v>Harley Bishop</v>
      </c>
      <c r="W132" s="496"/>
      <c r="X132" s="496"/>
      <c r="Y132" s="496"/>
      <c r="Z132" s="496"/>
      <c r="AA132" s="496"/>
      <c r="AB132" s="496"/>
      <c r="AC132" s="496"/>
      <c r="AD132" s="496"/>
      <c r="AE132" s="496"/>
      <c r="AF132" s="496">
        <f>'Yearly Records'!K59</f>
        <v>9</v>
      </c>
      <c r="AG132" s="496"/>
      <c r="AH132" s="496"/>
      <c r="AK132" s="496" t="s">
        <v>82</v>
      </c>
      <c r="AL132" s="496"/>
      <c r="AM132" s="496"/>
      <c r="AN132" s="496" t="str">
        <f>'Yearly Records'!N59</f>
        <v>Dominic Coughlin</v>
      </c>
      <c r="AO132" s="496"/>
      <c r="AP132" s="496"/>
      <c r="AQ132" s="496"/>
      <c r="AR132" s="496"/>
      <c r="AS132" s="496"/>
      <c r="AT132" s="496"/>
      <c r="AU132" s="496"/>
      <c r="AV132" s="496"/>
      <c r="AW132" s="496"/>
      <c r="AX132" s="496">
        <f>'Yearly Records'!Q59</f>
        <v>19</v>
      </c>
      <c r="AY132" s="496"/>
      <c r="AZ132" s="496"/>
    </row>
    <row r="133" spans="1:69" x14ac:dyDescent="0.2">
      <c r="A133" s="495" t="s">
        <v>83</v>
      </c>
      <c r="B133" s="495"/>
      <c r="C133" s="495"/>
      <c r="D133" s="495" t="str">
        <f>'Yearly Records'!B60</f>
        <v>Ben Fleet</v>
      </c>
      <c r="E133" s="495"/>
      <c r="F133" s="495"/>
      <c r="G133" s="495"/>
      <c r="H133" s="495"/>
      <c r="I133" s="495"/>
      <c r="J133" s="495"/>
      <c r="K133" s="495"/>
      <c r="L133" s="495"/>
      <c r="M133" s="495"/>
      <c r="N133" s="495">
        <f>'Yearly Records'!E60</f>
        <v>10</v>
      </c>
      <c r="O133" s="495"/>
      <c r="P133" s="495"/>
      <c r="S133" s="495" t="s">
        <v>83</v>
      </c>
      <c r="T133" s="495"/>
      <c r="U133" s="495"/>
      <c r="V133" s="495" t="str">
        <f>'Yearly Records'!H60</f>
        <v>Tony Forsyth-James</v>
      </c>
      <c r="W133" s="495"/>
      <c r="X133" s="495"/>
      <c r="Y133" s="495"/>
      <c r="Z133" s="495"/>
      <c r="AA133" s="495"/>
      <c r="AB133" s="495"/>
      <c r="AC133" s="495"/>
      <c r="AD133" s="495"/>
      <c r="AE133" s="495"/>
      <c r="AF133" s="495">
        <f>'Yearly Records'!K60</f>
        <v>10</v>
      </c>
      <c r="AG133" s="495"/>
      <c r="AH133" s="495"/>
      <c r="AK133" s="495" t="s">
        <v>83</v>
      </c>
      <c r="AL133" s="495"/>
      <c r="AM133" s="495"/>
      <c r="AN133" s="495" t="str">
        <f>'Yearly Records'!N60</f>
        <v>Oliver Proud</v>
      </c>
      <c r="AO133" s="495"/>
      <c r="AP133" s="495"/>
      <c r="AQ133" s="495"/>
      <c r="AR133" s="495"/>
      <c r="AS133" s="495"/>
      <c r="AT133" s="495"/>
      <c r="AU133" s="495"/>
      <c r="AV133" s="495"/>
      <c r="AW133" s="495"/>
      <c r="AX133" s="495">
        <f>'Yearly Records'!Q60</f>
        <v>19</v>
      </c>
      <c r="AY133" s="495"/>
      <c r="AZ133" s="495"/>
    </row>
    <row r="134" spans="1:69" x14ac:dyDescent="0.2">
      <c r="A134" s="496" t="s">
        <v>94</v>
      </c>
      <c r="B134" s="496"/>
      <c r="C134" s="496"/>
      <c r="D134" s="496" t="str">
        <f>'Yearly Records'!B61</f>
        <v>Tony Forsyth-James</v>
      </c>
      <c r="E134" s="496"/>
      <c r="F134" s="496"/>
      <c r="G134" s="496"/>
      <c r="H134" s="496"/>
      <c r="I134" s="496"/>
      <c r="J134" s="496"/>
      <c r="K134" s="496"/>
      <c r="L134" s="496"/>
      <c r="M134" s="496"/>
      <c r="N134" s="496">
        <f>'Yearly Records'!E61</f>
        <v>10</v>
      </c>
      <c r="O134" s="496"/>
      <c r="P134" s="496"/>
      <c r="S134" s="496" t="s">
        <v>94</v>
      </c>
      <c r="T134" s="496"/>
      <c r="U134" s="496"/>
      <c r="V134" s="496" t="str">
        <f>'Yearly Records'!H61</f>
        <v>Neil Hart</v>
      </c>
      <c r="W134" s="496"/>
      <c r="X134" s="496"/>
      <c r="Y134" s="496"/>
      <c r="Z134" s="496"/>
      <c r="AA134" s="496"/>
      <c r="AB134" s="496"/>
      <c r="AC134" s="496"/>
      <c r="AD134" s="496"/>
      <c r="AE134" s="496"/>
      <c r="AF134" s="496">
        <f>'Yearly Records'!K61</f>
        <v>10</v>
      </c>
      <c r="AG134" s="496"/>
      <c r="AH134" s="496"/>
      <c r="AK134" s="496" t="s">
        <v>94</v>
      </c>
      <c r="AL134" s="496"/>
      <c r="AM134" s="496"/>
      <c r="AN134" s="496" t="str">
        <f>'Yearly Records'!N61</f>
        <v>Mike Forrest</v>
      </c>
      <c r="AO134" s="496"/>
      <c r="AP134" s="496"/>
      <c r="AQ134" s="496"/>
      <c r="AR134" s="496"/>
      <c r="AS134" s="496"/>
      <c r="AT134" s="496"/>
      <c r="AU134" s="496"/>
      <c r="AV134" s="496"/>
      <c r="AW134" s="496"/>
      <c r="AX134" s="496">
        <f>'Yearly Records'!Q61</f>
        <v>23</v>
      </c>
      <c r="AY134" s="496"/>
      <c r="AZ134" s="496"/>
    </row>
    <row r="135" spans="1:69" x14ac:dyDescent="0.2">
      <c r="A135" s="495" t="s">
        <v>95</v>
      </c>
      <c r="B135" s="495"/>
      <c r="C135" s="495"/>
      <c r="D135" s="495" t="str">
        <f>'Yearly Records'!B62</f>
        <v>Dave Randall</v>
      </c>
      <c r="E135" s="495"/>
      <c r="F135" s="495"/>
      <c r="G135" s="495"/>
      <c r="H135" s="495"/>
      <c r="I135" s="495"/>
      <c r="J135" s="495"/>
      <c r="K135" s="495"/>
      <c r="L135" s="495"/>
      <c r="M135" s="495"/>
      <c r="N135" s="495">
        <f>'Yearly Records'!E62</f>
        <v>10</v>
      </c>
      <c r="O135" s="495"/>
      <c r="P135" s="495"/>
      <c r="S135" s="495" t="s">
        <v>95</v>
      </c>
      <c r="T135" s="495"/>
      <c r="U135" s="495"/>
      <c r="V135" s="495" t="str">
        <f>'Yearly Records'!H62</f>
        <v>Finn Wheeler</v>
      </c>
      <c r="W135" s="495"/>
      <c r="X135" s="495"/>
      <c r="Y135" s="495"/>
      <c r="Z135" s="495"/>
      <c r="AA135" s="495"/>
      <c r="AB135" s="495"/>
      <c r="AC135" s="495"/>
      <c r="AD135" s="495"/>
      <c r="AE135" s="495"/>
      <c r="AF135" s="495">
        <f>'Yearly Records'!K62</f>
        <v>10</v>
      </c>
      <c r="AG135" s="495"/>
      <c r="AH135" s="495"/>
      <c r="AK135" s="495" t="s">
        <v>95</v>
      </c>
      <c r="AL135" s="495"/>
      <c r="AM135" s="495"/>
      <c r="AN135" s="495" t="str">
        <f>'Yearly Records'!N62</f>
        <v>Tony Forsyth-James</v>
      </c>
      <c r="AO135" s="495"/>
      <c r="AP135" s="495"/>
      <c r="AQ135" s="495"/>
      <c r="AR135" s="495"/>
      <c r="AS135" s="495"/>
      <c r="AT135" s="495"/>
      <c r="AU135" s="495"/>
      <c r="AV135" s="495"/>
      <c r="AW135" s="495"/>
      <c r="AX135" s="495">
        <f>'Yearly Records'!Q62</f>
        <v>23</v>
      </c>
      <c r="AY135" s="495"/>
      <c r="AZ135" s="495"/>
    </row>
    <row r="136" spans="1:69" x14ac:dyDescent="0.2">
      <c r="A136" s="496" t="s">
        <v>96</v>
      </c>
      <c r="B136" s="496"/>
      <c r="C136" s="496"/>
      <c r="D136" s="496" t="str">
        <f>'Yearly Records'!B63</f>
        <v>Steve Wheeler</v>
      </c>
      <c r="E136" s="496"/>
      <c r="F136" s="496"/>
      <c r="G136" s="496"/>
      <c r="H136" s="496"/>
      <c r="I136" s="496"/>
      <c r="J136" s="496"/>
      <c r="K136" s="496"/>
      <c r="L136" s="496"/>
      <c r="M136" s="496"/>
      <c r="N136" s="496">
        <f>'Yearly Records'!E63</f>
        <v>10</v>
      </c>
      <c r="O136" s="496"/>
      <c r="P136" s="496"/>
      <c r="S136" s="496" t="s">
        <v>96</v>
      </c>
      <c r="T136" s="496"/>
      <c r="U136" s="496"/>
      <c r="V136" s="496" t="str">
        <f>'Yearly Records'!H63</f>
        <v>Ben Fleet</v>
      </c>
      <c r="W136" s="496"/>
      <c r="X136" s="496"/>
      <c r="Y136" s="496"/>
      <c r="Z136" s="496"/>
      <c r="AA136" s="496"/>
      <c r="AB136" s="496"/>
      <c r="AC136" s="496"/>
      <c r="AD136" s="496"/>
      <c r="AE136" s="496"/>
      <c r="AF136" s="496">
        <f>'Yearly Records'!K63</f>
        <v>11</v>
      </c>
      <c r="AG136" s="496"/>
      <c r="AH136" s="496"/>
      <c r="AK136" s="496" t="s">
        <v>96</v>
      </c>
      <c r="AL136" s="496"/>
      <c r="AM136" s="496"/>
      <c r="AN136" s="496" t="str">
        <f>'Yearly Records'!N63</f>
        <v>Brad Whitehead</v>
      </c>
      <c r="AO136" s="496"/>
      <c r="AP136" s="496"/>
      <c r="AQ136" s="496"/>
      <c r="AR136" s="496"/>
      <c r="AS136" s="496"/>
      <c r="AT136" s="496"/>
      <c r="AU136" s="496"/>
      <c r="AV136" s="496"/>
      <c r="AW136" s="496"/>
      <c r="AX136" s="496">
        <f>'Yearly Records'!Q63</f>
        <v>23</v>
      </c>
      <c r="AY136" s="496"/>
      <c r="AZ136" s="496"/>
    </row>
    <row r="137" spans="1:69" x14ac:dyDescent="0.2">
      <c r="A137" s="495" t="s">
        <v>97</v>
      </c>
      <c r="B137" s="495"/>
      <c r="C137" s="495"/>
      <c r="D137" s="495" t="str">
        <f>'Yearly Records'!B64</f>
        <v>Jonathan Kanareck</v>
      </c>
      <c r="E137" s="495"/>
      <c r="F137" s="495"/>
      <c r="G137" s="495"/>
      <c r="H137" s="495"/>
      <c r="I137" s="495"/>
      <c r="J137" s="495"/>
      <c r="K137" s="495"/>
      <c r="L137" s="495"/>
      <c r="M137" s="495"/>
      <c r="N137" s="495">
        <f>'Yearly Records'!E64</f>
        <v>10</v>
      </c>
      <c r="O137" s="495"/>
      <c r="P137" s="495"/>
      <c r="S137" s="495" t="s">
        <v>97</v>
      </c>
      <c r="T137" s="495"/>
      <c r="U137" s="495"/>
      <c r="V137" s="495" t="str">
        <f>'Yearly Records'!H64</f>
        <v>Edward Money</v>
      </c>
      <c r="W137" s="495"/>
      <c r="X137" s="495"/>
      <c r="Y137" s="495"/>
      <c r="Z137" s="495"/>
      <c r="AA137" s="495"/>
      <c r="AB137" s="495"/>
      <c r="AC137" s="495"/>
      <c r="AD137" s="495"/>
      <c r="AE137" s="495"/>
      <c r="AF137" s="495">
        <f>'Yearly Records'!K64</f>
        <v>11</v>
      </c>
      <c r="AG137" s="495"/>
      <c r="AH137" s="495"/>
      <c r="AK137" s="495" t="s">
        <v>97</v>
      </c>
      <c r="AL137" s="495"/>
      <c r="AM137" s="495"/>
      <c r="AN137" s="495" t="str">
        <f>'Yearly Records'!N64</f>
        <v>Ben Fleet</v>
      </c>
      <c r="AO137" s="495"/>
      <c r="AP137" s="495"/>
      <c r="AQ137" s="495"/>
      <c r="AR137" s="495"/>
      <c r="AS137" s="495"/>
      <c r="AT137" s="495"/>
      <c r="AU137" s="495"/>
      <c r="AV137" s="495"/>
      <c r="AW137" s="495"/>
      <c r="AX137" s="495">
        <f>'Yearly Records'!Q64</f>
        <v>24</v>
      </c>
      <c r="AY137" s="495"/>
      <c r="AZ137" s="495"/>
    </row>
    <row r="138" spans="1:69" x14ac:dyDescent="0.2">
      <c r="A138" s="496" t="s">
        <v>98</v>
      </c>
      <c r="B138" s="496"/>
      <c r="C138" s="496"/>
      <c r="D138" s="496" t="str">
        <f>'Yearly Records'!B65</f>
        <v>Gareth Davies</v>
      </c>
      <c r="E138" s="496"/>
      <c r="F138" s="496"/>
      <c r="G138" s="496"/>
      <c r="H138" s="496"/>
      <c r="I138" s="496"/>
      <c r="J138" s="496"/>
      <c r="K138" s="496"/>
      <c r="L138" s="496"/>
      <c r="M138" s="496"/>
      <c r="N138" s="496">
        <f>'Yearly Records'!E65</f>
        <v>11</v>
      </c>
      <c r="O138" s="496"/>
      <c r="P138" s="496"/>
      <c r="S138" s="496" t="s">
        <v>98</v>
      </c>
      <c r="T138" s="496"/>
      <c r="U138" s="496"/>
      <c r="V138" s="496" t="str">
        <f>'Yearly Records'!H65</f>
        <v>Dave Randall</v>
      </c>
      <c r="W138" s="496"/>
      <c r="X138" s="496"/>
      <c r="Y138" s="496"/>
      <c r="Z138" s="496"/>
      <c r="AA138" s="496"/>
      <c r="AB138" s="496"/>
      <c r="AC138" s="496"/>
      <c r="AD138" s="496"/>
      <c r="AE138" s="496"/>
      <c r="AF138" s="496">
        <f>'Yearly Records'!K65</f>
        <v>11</v>
      </c>
      <c r="AG138" s="496"/>
      <c r="AH138" s="496"/>
      <c r="AK138" s="496" t="s">
        <v>98</v>
      </c>
      <c r="AL138" s="496"/>
      <c r="AM138" s="496"/>
      <c r="AN138" s="496" t="str">
        <f>'Yearly Records'!N65</f>
        <v>Finn Wheeler</v>
      </c>
      <c r="AO138" s="496"/>
      <c r="AP138" s="496"/>
      <c r="AQ138" s="496"/>
      <c r="AR138" s="496"/>
      <c r="AS138" s="496"/>
      <c r="AT138" s="496"/>
      <c r="AU138" s="496"/>
      <c r="AV138" s="496"/>
      <c r="AW138" s="496"/>
      <c r="AX138" s="496">
        <f>'Yearly Records'!Q65</f>
        <v>24</v>
      </c>
      <c r="AY138" s="496"/>
      <c r="AZ138" s="496"/>
    </row>
    <row r="139" spans="1:69" x14ac:dyDescent="0.2">
      <c r="A139" s="1"/>
      <c r="B139" s="1"/>
      <c r="C139" s="1"/>
      <c r="D139" s="1"/>
      <c r="E139" s="1"/>
      <c r="F139" s="1"/>
      <c r="G139" s="1"/>
      <c r="H139" s="1"/>
      <c r="I139" s="1"/>
      <c r="J139" s="1"/>
      <c r="K139" s="1"/>
      <c r="L139" s="1"/>
      <c r="M139" s="1"/>
      <c r="N139" s="1"/>
      <c r="O139" s="1"/>
      <c r="P139" s="1"/>
      <c r="S139" s="1"/>
      <c r="T139" s="1"/>
      <c r="U139" s="1"/>
      <c r="V139" s="1"/>
      <c r="W139" s="1"/>
      <c r="X139" s="1"/>
      <c r="Y139" s="1"/>
      <c r="Z139" s="1"/>
      <c r="AA139" s="1"/>
      <c r="AB139" s="1"/>
      <c r="AC139" s="1"/>
      <c r="AD139" s="1"/>
      <c r="AE139" s="1"/>
      <c r="AF139" s="1"/>
      <c r="AG139" s="1"/>
      <c r="AH139" s="1"/>
      <c r="AK139" s="1"/>
      <c r="AL139" s="1"/>
      <c r="AM139" s="1"/>
      <c r="AN139" s="1"/>
      <c r="AO139" s="1"/>
      <c r="AP139" s="1"/>
      <c r="AQ139" s="1"/>
      <c r="AR139" s="1"/>
      <c r="AS139" s="1"/>
      <c r="AT139" s="1"/>
      <c r="AU139" s="1"/>
      <c r="AV139" s="1"/>
      <c r="AW139" s="1"/>
      <c r="AX139" s="1"/>
      <c r="AY139" s="1"/>
      <c r="AZ139" s="1"/>
    </row>
    <row r="140" spans="1:69" x14ac:dyDescent="0.2">
      <c r="A140" s="1"/>
      <c r="B140" s="1"/>
      <c r="C140" s="1"/>
      <c r="D140" s="1"/>
      <c r="E140" s="1"/>
      <c r="F140" s="1"/>
      <c r="G140" s="1"/>
      <c r="H140" s="1"/>
      <c r="I140" s="1"/>
      <c r="J140" s="1"/>
      <c r="K140" s="1"/>
      <c r="L140" s="1"/>
      <c r="M140" s="1"/>
      <c r="N140" s="1"/>
      <c r="O140" s="1"/>
      <c r="P140" s="1"/>
      <c r="S140" s="1"/>
      <c r="T140" s="1"/>
      <c r="U140" s="1"/>
      <c r="V140" s="1"/>
      <c r="W140" s="1"/>
      <c r="X140" s="1"/>
      <c r="Y140" s="1"/>
      <c r="Z140" s="1"/>
      <c r="AA140" s="1"/>
      <c r="AB140" s="1"/>
      <c r="AC140" s="1"/>
      <c r="AD140" s="1"/>
      <c r="AE140" s="1"/>
      <c r="AF140" s="1"/>
      <c r="AG140" s="1"/>
      <c r="AH140" s="1"/>
      <c r="AK140" s="1"/>
      <c r="AL140" s="1"/>
      <c r="AM140" s="1"/>
      <c r="AN140" s="1"/>
      <c r="AO140" s="1"/>
      <c r="AP140" s="1"/>
      <c r="AQ140" s="1"/>
      <c r="AR140" s="1"/>
      <c r="AS140" s="1"/>
      <c r="AT140" s="1"/>
      <c r="AU140" s="1"/>
      <c r="AV140" s="1"/>
      <c r="AW140" s="1"/>
      <c r="AX140" s="1"/>
      <c r="AY140" s="1"/>
      <c r="AZ140" s="1"/>
    </row>
    <row r="141" spans="1:69" ht="15.75" x14ac:dyDescent="0.25">
      <c r="W141" s="450"/>
    </row>
    <row r="142" spans="1:69" ht="15.75" x14ac:dyDescent="0.25">
      <c r="A142" s="500" t="s">
        <v>211</v>
      </c>
      <c r="B142" s="501"/>
      <c r="C142" s="501"/>
      <c r="D142" s="501"/>
      <c r="E142" s="501"/>
      <c r="F142" s="501"/>
      <c r="G142" s="501"/>
      <c r="H142" s="501"/>
      <c r="I142" s="501"/>
      <c r="J142" s="501"/>
      <c r="K142" s="501"/>
      <c r="L142" s="501"/>
      <c r="M142" s="501"/>
      <c r="N142" s="501"/>
      <c r="O142" s="501"/>
      <c r="P142" s="502"/>
      <c r="S142" s="500" t="s">
        <v>212</v>
      </c>
      <c r="T142" s="501"/>
      <c r="U142" s="501"/>
      <c r="V142" s="501"/>
      <c r="W142" s="501"/>
      <c r="X142" s="501"/>
      <c r="Y142" s="501"/>
      <c r="Z142" s="501"/>
      <c r="AA142" s="501"/>
      <c r="AB142" s="501"/>
      <c r="AC142" s="501"/>
      <c r="AD142" s="501"/>
      <c r="AE142" s="501"/>
      <c r="AF142" s="501"/>
      <c r="AG142" s="501"/>
      <c r="AH142" s="502"/>
      <c r="AK142" s="500" t="s">
        <v>225</v>
      </c>
      <c r="AL142" s="501"/>
      <c r="AM142" s="501"/>
      <c r="AN142" s="501"/>
      <c r="AO142" s="501"/>
      <c r="AP142" s="501"/>
      <c r="AQ142" s="501"/>
      <c r="AR142" s="501"/>
      <c r="AS142" s="501"/>
      <c r="AT142" s="501"/>
      <c r="AU142" s="501"/>
      <c r="AV142" s="501"/>
      <c r="AW142" s="501"/>
      <c r="AX142" s="501"/>
      <c r="AY142" s="501"/>
      <c r="AZ142" s="502"/>
      <c r="BC142" s="500" t="s">
        <v>213</v>
      </c>
      <c r="BD142" s="501"/>
      <c r="BE142" s="501"/>
      <c r="BF142" s="501"/>
      <c r="BG142" s="501"/>
      <c r="BH142" s="501"/>
      <c r="BI142" s="501"/>
      <c r="BJ142" s="501"/>
      <c r="BK142" s="501"/>
      <c r="BL142" s="501"/>
      <c r="BM142" s="501"/>
      <c r="BN142" s="501"/>
      <c r="BO142" s="501"/>
      <c r="BP142" s="501"/>
      <c r="BQ142" s="501"/>
    </row>
    <row r="143" spans="1:69" ht="5.25" customHeight="1" x14ac:dyDescent="0.2"/>
    <row r="144" spans="1:69" x14ac:dyDescent="0.2">
      <c r="A144" s="499" t="s">
        <v>198</v>
      </c>
      <c r="B144" s="497"/>
      <c r="C144" s="497"/>
      <c r="D144" s="497" t="s">
        <v>49</v>
      </c>
      <c r="E144" s="497"/>
      <c r="F144" s="497"/>
      <c r="G144" s="497"/>
      <c r="H144" s="497"/>
      <c r="I144" s="497"/>
      <c r="J144" s="497"/>
      <c r="K144" s="497"/>
      <c r="L144" s="497"/>
      <c r="M144" s="497"/>
      <c r="N144" s="497" t="s">
        <v>52</v>
      </c>
      <c r="O144" s="497"/>
      <c r="P144" s="498"/>
      <c r="S144" s="499" t="s">
        <v>198</v>
      </c>
      <c r="T144" s="497"/>
      <c r="U144" s="497"/>
      <c r="V144" s="497" t="s">
        <v>49</v>
      </c>
      <c r="W144" s="497"/>
      <c r="X144" s="497"/>
      <c r="Y144" s="497"/>
      <c r="Z144" s="497"/>
      <c r="AA144" s="497"/>
      <c r="AB144" s="497"/>
      <c r="AC144" s="497"/>
      <c r="AD144" s="497"/>
      <c r="AE144" s="497"/>
      <c r="AF144" s="497" t="s">
        <v>52</v>
      </c>
      <c r="AG144" s="497"/>
      <c r="AH144" s="498"/>
      <c r="AK144" s="499" t="s">
        <v>198</v>
      </c>
      <c r="AL144" s="497"/>
      <c r="AM144" s="497"/>
      <c r="AN144" s="497" t="s">
        <v>49</v>
      </c>
      <c r="AO144" s="497"/>
      <c r="AP144" s="497"/>
      <c r="AQ144" s="497"/>
      <c r="AR144" s="497"/>
      <c r="AS144" s="497"/>
      <c r="AT144" s="497"/>
      <c r="AU144" s="497"/>
      <c r="AV144" s="497"/>
      <c r="AW144" s="497"/>
      <c r="AX144" s="497" t="s">
        <v>52</v>
      </c>
      <c r="AY144" s="497"/>
      <c r="AZ144" s="498"/>
      <c r="BC144" s="499" t="s">
        <v>198</v>
      </c>
      <c r="BD144" s="497"/>
      <c r="BE144" s="497"/>
      <c r="BF144" s="497" t="s">
        <v>49</v>
      </c>
      <c r="BG144" s="497"/>
      <c r="BH144" s="497"/>
      <c r="BI144" s="497"/>
      <c r="BJ144" s="497"/>
      <c r="BK144" s="497"/>
      <c r="BL144" s="497"/>
      <c r="BM144" s="497"/>
      <c r="BN144" s="497"/>
      <c r="BO144" s="497"/>
      <c r="BP144" s="497" t="s">
        <v>52</v>
      </c>
      <c r="BQ144" s="498"/>
    </row>
    <row r="145" spans="1:69" x14ac:dyDescent="0.2">
      <c r="A145" s="495" t="s">
        <v>79</v>
      </c>
      <c r="B145" s="495"/>
      <c r="C145" s="495"/>
      <c r="D145" s="495" t="str">
        <f>'Yearly Records'!T42</f>
        <v>Ben Fleet</v>
      </c>
      <c r="E145" s="495"/>
      <c r="F145" s="495"/>
      <c r="G145" s="495"/>
      <c r="H145" s="495"/>
      <c r="I145" s="495"/>
      <c r="J145" s="495"/>
      <c r="K145" s="495"/>
      <c r="L145" s="495"/>
      <c r="M145" s="495"/>
      <c r="N145" s="495">
        <f>'Yearly Records'!W42</f>
        <v>41</v>
      </c>
      <c r="O145" s="495"/>
      <c r="P145" s="495"/>
      <c r="S145" s="495" t="s">
        <v>79</v>
      </c>
      <c r="T145" s="495"/>
      <c r="U145" s="495"/>
      <c r="V145" s="495" t="str">
        <f>'Yearly Records'!B79</f>
        <v>Danny Jones</v>
      </c>
      <c r="W145" s="495"/>
      <c r="X145" s="495"/>
      <c r="Y145" s="495"/>
      <c r="Z145" s="495"/>
      <c r="AA145" s="495"/>
      <c r="AB145" s="495"/>
      <c r="AC145" s="495"/>
      <c r="AD145" s="495"/>
      <c r="AE145" s="495"/>
      <c r="AF145" s="495">
        <f>'Yearly Records'!E79</f>
        <v>75</v>
      </c>
      <c r="AG145" s="495"/>
      <c r="AH145" s="495"/>
      <c r="AK145" s="495" t="s">
        <v>79</v>
      </c>
      <c r="AL145" s="495"/>
      <c r="AM145" s="495"/>
      <c r="AN145" s="495" t="str">
        <f>'Yearly Records'!T56</f>
        <v>Ben Fleet</v>
      </c>
      <c r="AO145" s="495"/>
      <c r="AP145" s="495"/>
      <c r="AQ145" s="495"/>
      <c r="AR145" s="495"/>
      <c r="AS145" s="495"/>
      <c r="AT145" s="495"/>
      <c r="AU145" s="495"/>
      <c r="AV145" s="495"/>
      <c r="AW145" s="495"/>
      <c r="AX145" s="495">
        <f>'Yearly Records'!W56</f>
        <v>22</v>
      </c>
      <c r="AY145" s="495"/>
      <c r="AZ145" s="495"/>
      <c r="BC145" s="495" t="s">
        <v>79</v>
      </c>
      <c r="BD145" s="495"/>
      <c r="BE145" s="495"/>
      <c r="BF145" s="495" t="str">
        <f>'Yearly Records'!H79</f>
        <v>Tony Forsyth-James</v>
      </c>
      <c r="BG145" s="495"/>
      <c r="BH145" s="495"/>
      <c r="BI145" s="495"/>
      <c r="BJ145" s="495"/>
      <c r="BK145" s="495"/>
      <c r="BL145" s="495"/>
      <c r="BM145" s="495"/>
      <c r="BN145" s="495"/>
      <c r="BO145" s="495"/>
      <c r="BP145" s="495">
        <f>'Yearly Records'!K79</f>
        <v>102</v>
      </c>
      <c r="BQ145" s="495"/>
    </row>
    <row r="146" spans="1:69" x14ac:dyDescent="0.2">
      <c r="A146" s="496" t="s">
        <v>80</v>
      </c>
      <c r="B146" s="496"/>
      <c r="C146" s="496"/>
      <c r="D146" s="496" t="str">
        <f>'Yearly Records'!T43</f>
        <v>Stuart Gay</v>
      </c>
      <c r="E146" s="496"/>
      <c r="F146" s="496"/>
      <c r="G146" s="496"/>
      <c r="H146" s="496"/>
      <c r="I146" s="496"/>
      <c r="J146" s="496"/>
      <c r="K146" s="496"/>
      <c r="L146" s="496"/>
      <c r="M146" s="496"/>
      <c r="N146" s="496">
        <f>'Yearly Records'!W43</f>
        <v>39</v>
      </c>
      <c r="O146" s="496"/>
      <c r="P146" s="496"/>
      <c r="S146" s="496" t="s">
        <v>80</v>
      </c>
      <c r="T146" s="496"/>
      <c r="U146" s="496"/>
      <c r="V146" s="496" t="str">
        <f>'Yearly Records'!B80</f>
        <v>Dan Thomas</v>
      </c>
      <c r="W146" s="496"/>
      <c r="X146" s="496"/>
      <c r="Y146" s="496"/>
      <c r="Z146" s="496"/>
      <c r="AA146" s="496"/>
      <c r="AB146" s="496"/>
      <c r="AC146" s="496"/>
      <c r="AD146" s="496"/>
      <c r="AE146" s="496"/>
      <c r="AF146" s="496">
        <f>'Yearly Records'!E80</f>
        <v>78</v>
      </c>
      <c r="AG146" s="496"/>
      <c r="AH146" s="496"/>
      <c r="AK146" s="496" t="s">
        <v>80</v>
      </c>
      <c r="AL146" s="496"/>
      <c r="AM146" s="496"/>
      <c r="AN146" s="496" t="str">
        <f>'Yearly Records'!T57</f>
        <v>Tony Forsyth-James</v>
      </c>
      <c r="AO146" s="496"/>
      <c r="AP146" s="496"/>
      <c r="AQ146" s="496"/>
      <c r="AR146" s="496"/>
      <c r="AS146" s="496"/>
      <c r="AT146" s="496"/>
      <c r="AU146" s="496"/>
      <c r="AV146" s="496"/>
      <c r="AW146" s="496"/>
      <c r="AX146" s="496">
        <f>'Yearly Records'!W57</f>
        <v>24</v>
      </c>
      <c r="AY146" s="496"/>
      <c r="AZ146" s="496"/>
      <c r="BC146" s="496" t="s">
        <v>80</v>
      </c>
      <c r="BD146" s="496"/>
      <c r="BE146" s="496"/>
      <c r="BF146" s="496" t="str">
        <f>'Yearly Records'!H80</f>
        <v>Anthony Harris</v>
      </c>
      <c r="BG146" s="496"/>
      <c r="BH146" s="496"/>
      <c r="BI146" s="496"/>
      <c r="BJ146" s="496"/>
      <c r="BK146" s="496"/>
      <c r="BL146" s="496"/>
      <c r="BM146" s="496"/>
      <c r="BN146" s="496"/>
      <c r="BO146" s="496"/>
      <c r="BP146" s="496">
        <f>'Yearly Records'!K80</f>
        <v>95</v>
      </c>
      <c r="BQ146" s="496"/>
    </row>
    <row r="147" spans="1:69" x14ac:dyDescent="0.2">
      <c r="A147" s="495" t="s">
        <v>81</v>
      </c>
      <c r="B147" s="495"/>
      <c r="C147" s="495"/>
      <c r="D147" s="495" t="str">
        <f>'Yearly Records'!T44</f>
        <v>Martin Coomber</v>
      </c>
      <c r="E147" s="495"/>
      <c r="F147" s="495"/>
      <c r="G147" s="495"/>
      <c r="H147" s="495"/>
      <c r="I147" s="495"/>
      <c r="J147" s="495"/>
      <c r="K147" s="495"/>
      <c r="L147" s="495"/>
      <c r="M147" s="495"/>
      <c r="N147" s="495">
        <f>'Yearly Records'!W44</f>
        <v>38</v>
      </c>
      <c r="O147" s="495"/>
      <c r="P147" s="495"/>
      <c r="S147" s="495" t="s">
        <v>81</v>
      </c>
      <c r="T147" s="495"/>
      <c r="U147" s="495"/>
      <c r="V147" s="495" t="str">
        <f>'Yearly Records'!B81</f>
        <v>Chris Smith</v>
      </c>
      <c r="W147" s="495"/>
      <c r="X147" s="495"/>
      <c r="Y147" s="495"/>
      <c r="Z147" s="495"/>
      <c r="AA147" s="495"/>
      <c r="AB147" s="495"/>
      <c r="AC147" s="495"/>
      <c r="AD147" s="495"/>
      <c r="AE147" s="495"/>
      <c r="AF147" s="495">
        <f>'Yearly Records'!E81</f>
        <v>79</v>
      </c>
      <c r="AG147" s="495"/>
      <c r="AH147" s="495"/>
      <c r="AK147" s="495" t="s">
        <v>81</v>
      </c>
      <c r="AL147" s="495"/>
      <c r="AM147" s="495"/>
      <c r="AN147" s="495" t="str">
        <f>'Yearly Records'!T58</f>
        <v>Terry Walker</v>
      </c>
      <c r="AO147" s="495"/>
      <c r="AP147" s="495"/>
      <c r="AQ147" s="495"/>
      <c r="AR147" s="495"/>
      <c r="AS147" s="495"/>
      <c r="AT147" s="495"/>
      <c r="AU147" s="495"/>
      <c r="AV147" s="495"/>
      <c r="AW147" s="495"/>
      <c r="AX147" s="495">
        <f>'Yearly Records'!W58</f>
        <v>24</v>
      </c>
      <c r="AY147" s="495"/>
      <c r="AZ147" s="495"/>
      <c r="BC147" s="495" t="s">
        <v>81</v>
      </c>
      <c r="BD147" s="495"/>
      <c r="BE147" s="495"/>
      <c r="BF147" s="495" t="str">
        <f>'Yearly Records'!H81</f>
        <v>Dave Randall</v>
      </c>
      <c r="BG147" s="495"/>
      <c r="BH147" s="495"/>
      <c r="BI147" s="495"/>
      <c r="BJ147" s="495"/>
      <c r="BK147" s="495"/>
      <c r="BL147" s="495"/>
      <c r="BM147" s="495"/>
      <c r="BN147" s="495"/>
      <c r="BO147" s="495"/>
      <c r="BP147" s="495">
        <f>'Yearly Records'!K81</f>
        <v>95</v>
      </c>
      <c r="BQ147" s="495"/>
    </row>
    <row r="148" spans="1:69" x14ac:dyDescent="0.2">
      <c r="A148" s="496" t="s">
        <v>82</v>
      </c>
      <c r="B148" s="496"/>
      <c r="C148" s="496"/>
      <c r="D148" s="496" t="str">
        <f>'Yearly Records'!T45</f>
        <v>Tony Forsyth-James</v>
      </c>
      <c r="E148" s="496"/>
      <c r="F148" s="496"/>
      <c r="G148" s="496"/>
      <c r="H148" s="496"/>
      <c r="I148" s="496"/>
      <c r="J148" s="496"/>
      <c r="K148" s="496"/>
      <c r="L148" s="496"/>
      <c r="M148" s="496"/>
      <c r="N148" s="496">
        <f>'Yearly Records'!W45</f>
        <v>38</v>
      </c>
      <c r="O148" s="496"/>
      <c r="P148" s="496"/>
      <c r="S148" s="496" t="s">
        <v>82</v>
      </c>
      <c r="T148" s="496"/>
      <c r="U148" s="496"/>
      <c r="V148" s="496" t="str">
        <f>'Yearly Records'!B82</f>
        <v>Shaun Alexander</v>
      </c>
      <c r="W148" s="496"/>
      <c r="X148" s="496"/>
      <c r="Y148" s="496"/>
      <c r="Z148" s="496"/>
      <c r="AA148" s="496"/>
      <c r="AB148" s="496"/>
      <c r="AC148" s="496"/>
      <c r="AD148" s="496"/>
      <c r="AE148" s="496"/>
      <c r="AF148" s="496">
        <f>'Yearly Records'!E82</f>
        <v>80</v>
      </c>
      <c r="AG148" s="496"/>
      <c r="AH148" s="496"/>
      <c r="AK148" s="496" t="s">
        <v>82</v>
      </c>
      <c r="AL148" s="496"/>
      <c r="AM148" s="496"/>
      <c r="AN148" s="496" t="str">
        <f>'Yearly Records'!T59</f>
        <v>Harley Bishop</v>
      </c>
      <c r="AO148" s="496"/>
      <c r="AP148" s="496"/>
      <c r="AQ148" s="496"/>
      <c r="AR148" s="496"/>
      <c r="AS148" s="496"/>
      <c r="AT148" s="496"/>
      <c r="AU148" s="496"/>
      <c r="AV148" s="496"/>
      <c r="AW148" s="496"/>
      <c r="AX148" s="496">
        <f>'Yearly Records'!W59</f>
        <v>25</v>
      </c>
      <c r="AY148" s="496"/>
      <c r="AZ148" s="496"/>
      <c r="BC148" s="496" t="s">
        <v>82</v>
      </c>
      <c r="BD148" s="496"/>
      <c r="BE148" s="496"/>
      <c r="BF148" s="496" t="str">
        <f>'Yearly Records'!H82</f>
        <v>Andy Johnson</v>
      </c>
      <c r="BG148" s="496"/>
      <c r="BH148" s="496"/>
      <c r="BI148" s="496"/>
      <c r="BJ148" s="496"/>
      <c r="BK148" s="496"/>
      <c r="BL148" s="496"/>
      <c r="BM148" s="496"/>
      <c r="BN148" s="496"/>
      <c r="BO148" s="496"/>
      <c r="BP148" s="496">
        <f>'Yearly Records'!K82</f>
        <v>93</v>
      </c>
      <c r="BQ148" s="496"/>
    </row>
    <row r="149" spans="1:69" x14ac:dyDescent="0.2">
      <c r="A149" s="495" t="s">
        <v>83</v>
      </c>
      <c r="B149" s="495"/>
      <c r="C149" s="495"/>
      <c r="D149" s="495" t="str">
        <f>'Yearly Records'!T46</f>
        <v>Chris Smith</v>
      </c>
      <c r="E149" s="495"/>
      <c r="F149" s="495"/>
      <c r="G149" s="495"/>
      <c r="H149" s="495"/>
      <c r="I149" s="495"/>
      <c r="J149" s="495"/>
      <c r="K149" s="495"/>
      <c r="L149" s="495"/>
      <c r="M149" s="495"/>
      <c r="N149" s="495">
        <f>'Yearly Records'!W46</f>
        <v>38</v>
      </c>
      <c r="O149" s="495"/>
      <c r="P149" s="495"/>
      <c r="S149" s="495" t="s">
        <v>83</v>
      </c>
      <c r="T149" s="495"/>
      <c r="U149" s="495"/>
      <c r="V149" s="495" t="str">
        <f>'Yearly Records'!B83</f>
        <v>Gareth Davies</v>
      </c>
      <c r="W149" s="495"/>
      <c r="X149" s="495"/>
      <c r="Y149" s="495"/>
      <c r="Z149" s="495"/>
      <c r="AA149" s="495"/>
      <c r="AB149" s="495"/>
      <c r="AC149" s="495"/>
      <c r="AD149" s="495"/>
      <c r="AE149" s="495"/>
      <c r="AF149" s="495">
        <f>'Yearly Records'!E83</f>
        <v>82</v>
      </c>
      <c r="AG149" s="495"/>
      <c r="AH149" s="495"/>
      <c r="AK149" s="495" t="s">
        <v>83</v>
      </c>
      <c r="AL149" s="495"/>
      <c r="AM149" s="495"/>
      <c r="AN149" s="495" t="str">
        <f>'Yearly Records'!T60</f>
        <v>Dave Randall</v>
      </c>
      <c r="AO149" s="495"/>
      <c r="AP149" s="495"/>
      <c r="AQ149" s="495"/>
      <c r="AR149" s="495"/>
      <c r="AS149" s="495"/>
      <c r="AT149" s="495"/>
      <c r="AU149" s="495"/>
      <c r="AV149" s="495"/>
      <c r="AW149" s="495"/>
      <c r="AX149" s="495">
        <f>'Yearly Records'!W60</f>
        <v>25</v>
      </c>
      <c r="AY149" s="495"/>
      <c r="AZ149" s="495"/>
      <c r="BC149" s="495" t="s">
        <v>83</v>
      </c>
      <c r="BD149" s="495"/>
      <c r="BE149" s="495"/>
      <c r="BF149" s="495" t="str">
        <f>'Yearly Records'!H83</f>
        <v>Ben Fleet</v>
      </c>
      <c r="BG149" s="495"/>
      <c r="BH149" s="495"/>
      <c r="BI149" s="495"/>
      <c r="BJ149" s="495"/>
      <c r="BK149" s="495"/>
      <c r="BL149" s="495"/>
      <c r="BM149" s="495"/>
      <c r="BN149" s="495"/>
      <c r="BO149" s="495"/>
      <c r="BP149" s="495">
        <f>'Yearly Records'!K83</f>
        <v>89</v>
      </c>
      <c r="BQ149" s="495"/>
    </row>
    <row r="150" spans="1:69" x14ac:dyDescent="0.2">
      <c r="A150" s="496" t="s">
        <v>94</v>
      </c>
      <c r="B150" s="496"/>
      <c r="C150" s="496"/>
      <c r="D150" s="496" t="str">
        <f>'Yearly Records'!T47</f>
        <v>Max Ball</v>
      </c>
      <c r="E150" s="496"/>
      <c r="F150" s="496"/>
      <c r="G150" s="496"/>
      <c r="H150" s="496"/>
      <c r="I150" s="496"/>
      <c r="J150" s="496"/>
      <c r="K150" s="496"/>
      <c r="L150" s="496"/>
      <c r="M150" s="496"/>
      <c r="N150" s="496">
        <f>'Yearly Records'!W47</f>
        <v>37</v>
      </c>
      <c r="O150" s="496"/>
      <c r="P150" s="496"/>
      <c r="S150" s="496" t="s">
        <v>94</v>
      </c>
      <c r="T150" s="496"/>
      <c r="U150" s="496"/>
      <c r="V150" s="496" t="str">
        <f>'Yearly Records'!B84</f>
        <v>Justin Hunt</v>
      </c>
      <c r="W150" s="496"/>
      <c r="X150" s="496"/>
      <c r="Y150" s="496"/>
      <c r="Z150" s="496"/>
      <c r="AA150" s="496"/>
      <c r="AB150" s="496"/>
      <c r="AC150" s="496"/>
      <c r="AD150" s="496"/>
      <c r="AE150" s="496"/>
      <c r="AF150" s="496">
        <f>'Yearly Records'!E84</f>
        <v>82</v>
      </c>
      <c r="AG150" s="496"/>
      <c r="AH150" s="496"/>
      <c r="AK150" s="496" t="s">
        <v>94</v>
      </c>
      <c r="AL150" s="496"/>
      <c r="AM150" s="496"/>
      <c r="AN150" s="496" t="str">
        <f>'Yearly Records'!T61</f>
        <v>Gareth Davies</v>
      </c>
      <c r="AO150" s="496"/>
      <c r="AP150" s="496"/>
      <c r="AQ150" s="496"/>
      <c r="AR150" s="496"/>
      <c r="AS150" s="496"/>
      <c r="AT150" s="496"/>
      <c r="AU150" s="496"/>
      <c r="AV150" s="496"/>
      <c r="AW150" s="496"/>
      <c r="AX150" s="496">
        <f>'Yearly Records'!W61</f>
        <v>26</v>
      </c>
      <c r="AY150" s="496"/>
      <c r="AZ150" s="496"/>
      <c r="BC150" s="496" t="s">
        <v>94</v>
      </c>
      <c r="BD150" s="496"/>
      <c r="BE150" s="496"/>
      <c r="BF150" s="496" t="str">
        <f>'Yearly Records'!H84</f>
        <v>Brad Whitehead</v>
      </c>
      <c r="BG150" s="496"/>
      <c r="BH150" s="496"/>
      <c r="BI150" s="496"/>
      <c r="BJ150" s="496"/>
      <c r="BK150" s="496"/>
      <c r="BL150" s="496"/>
      <c r="BM150" s="496"/>
      <c r="BN150" s="496"/>
      <c r="BO150" s="496"/>
      <c r="BP150" s="496">
        <f>'Yearly Records'!K84</f>
        <v>85</v>
      </c>
      <c r="BQ150" s="496"/>
    </row>
    <row r="151" spans="1:69" x14ac:dyDescent="0.2">
      <c r="A151" s="495" t="s">
        <v>95</v>
      </c>
      <c r="B151" s="495"/>
      <c r="C151" s="495"/>
      <c r="D151" s="495" t="str">
        <f>'Yearly Records'!T48</f>
        <v>Andy Johnson</v>
      </c>
      <c r="E151" s="495"/>
      <c r="F151" s="495"/>
      <c r="G151" s="495"/>
      <c r="H151" s="495"/>
      <c r="I151" s="495"/>
      <c r="J151" s="495"/>
      <c r="K151" s="495"/>
      <c r="L151" s="495"/>
      <c r="M151" s="495"/>
      <c r="N151" s="495">
        <f>'Yearly Records'!W48</f>
        <v>37</v>
      </c>
      <c r="O151" s="495"/>
      <c r="P151" s="495"/>
      <c r="S151" s="495" t="s">
        <v>95</v>
      </c>
      <c r="T151" s="495"/>
      <c r="U151" s="495"/>
      <c r="V151" s="495" t="str">
        <f>'Yearly Records'!B85</f>
        <v>Max Ball</v>
      </c>
      <c r="W151" s="495"/>
      <c r="X151" s="495"/>
      <c r="Y151" s="495"/>
      <c r="Z151" s="495"/>
      <c r="AA151" s="495"/>
      <c r="AB151" s="495"/>
      <c r="AC151" s="495"/>
      <c r="AD151" s="495"/>
      <c r="AE151" s="495"/>
      <c r="AF151" s="495">
        <f>'Yearly Records'!E85</f>
        <v>83</v>
      </c>
      <c r="AG151" s="495"/>
      <c r="AH151" s="495"/>
      <c r="AK151" s="495" t="s">
        <v>95</v>
      </c>
      <c r="AL151" s="495"/>
      <c r="AM151" s="495"/>
      <c r="AN151" s="495" t="str">
        <f>'Yearly Records'!T62</f>
        <v>Nick Garner</v>
      </c>
      <c r="AO151" s="495"/>
      <c r="AP151" s="495"/>
      <c r="AQ151" s="495"/>
      <c r="AR151" s="495"/>
      <c r="AS151" s="495"/>
      <c r="AT151" s="495"/>
      <c r="AU151" s="495"/>
      <c r="AV151" s="495"/>
      <c r="AW151" s="495"/>
      <c r="AX151" s="495">
        <f>'Yearly Records'!W62</f>
        <v>27</v>
      </c>
      <c r="AY151" s="495"/>
      <c r="AZ151" s="495"/>
      <c r="BC151" s="495" t="s">
        <v>95</v>
      </c>
      <c r="BD151" s="495"/>
      <c r="BE151" s="495"/>
      <c r="BF151" s="495" t="str">
        <f>'Yearly Records'!H85</f>
        <v>Paul Martin</v>
      </c>
      <c r="BG151" s="495"/>
      <c r="BH151" s="495"/>
      <c r="BI151" s="495"/>
      <c r="BJ151" s="495"/>
      <c r="BK151" s="495"/>
      <c r="BL151" s="495"/>
      <c r="BM151" s="495"/>
      <c r="BN151" s="495"/>
      <c r="BO151" s="495"/>
      <c r="BP151" s="495">
        <f>'Yearly Records'!K85</f>
        <v>84</v>
      </c>
      <c r="BQ151" s="495"/>
    </row>
    <row r="152" spans="1:69" x14ac:dyDescent="0.2">
      <c r="A152" s="496" t="s">
        <v>96</v>
      </c>
      <c r="B152" s="496"/>
      <c r="C152" s="496"/>
      <c r="D152" s="496" t="str">
        <f>'Yearly Records'!T49</f>
        <v>Chris Burroughs</v>
      </c>
      <c r="E152" s="496"/>
      <c r="F152" s="496"/>
      <c r="G152" s="496"/>
      <c r="H152" s="496"/>
      <c r="I152" s="496"/>
      <c r="J152" s="496"/>
      <c r="K152" s="496"/>
      <c r="L152" s="496"/>
      <c r="M152" s="496"/>
      <c r="N152" s="496">
        <f>'Yearly Records'!W49</f>
        <v>36</v>
      </c>
      <c r="O152" s="496"/>
      <c r="P152" s="496"/>
      <c r="S152" s="496" t="s">
        <v>96</v>
      </c>
      <c r="T152" s="496"/>
      <c r="U152" s="496"/>
      <c r="V152" s="496" t="str">
        <f>'Yearly Records'!B86</f>
        <v>Paul Martin</v>
      </c>
      <c r="W152" s="496"/>
      <c r="X152" s="496"/>
      <c r="Y152" s="496"/>
      <c r="Z152" s="496"/>
      <c r="AA152" s="496"/>
      <c r="AB152" s="496"/>
      <c r="AC152" s="496"/>
      <c r="AD152" s="496"/>
      <c r="AE152" s="496"/>
      <c r="AF152" s="496">
        <f>'Yearly Records'!E86</f>
        <v>84</v>
      </c>
      <c r="AG152" s="496"/>
      <c r="AH152" s="496"/>
      <c r="AK152" s="496" t="s">
        <v>96</v>
      </c>
      <c r="AL152" s="496"/>
      <c r="AM152" s="496"/>
      <c r="AN152" s="496" t="str">
        <f>'Yearly Records'!T63</f>
        <v>Andy Johnson</v>
      </c>
      <c r="AO152" s="496"/>
      <c r="AP152" s="496"/>
      <c r="AQ152" s="496"/>
      <c r="AR152" s="496"/>
      <c r="AS152" s="496"/>
      <c r="AT152" s="496"/>
      <c r="AU152" s="496"/>
      <c r="AV152" s="496"/>
      <c r="AW152" s="496"/>
      <c r="AX152" s="496">
        <f>'Yearly Records'!W63</f>
        <v>27</v>
      </c>
      <c r="AY152" s="496"/>
      <c r="AZ152" s="496"/>
      <c r="BC152" s="496" t="s">
        <v>96</v>
      </c>
      <c r="BD152" s="496"/>
      <c r="BE152" s="496"/>
      <c r="BF152" s="496" t="str">
        <f>'Yearly Records'!H86</f>
        <v>Max Ball</v>
      </c>
      <c r="BG152" s="496"/>
      <c r="BH152" s="496"/>
      <c r="BI152" s="496"/>
      <c r="BJ152" s="496"/>
      <c r="BK152" s="496"/>
      <c r="BL152" s="496"/>
      <c r="BM152" s="496"/>
      <c r="BN152" s="496"/>
      <c r="BO152" s="496"/>
      <c r="BP152" s="496">
        <f>'Yearly Records'!K86</f>
        <v>83</v>
      </c>
      <c r="BQ152" s="496"/>
    </row>
    <row r="153" spans="1:69" x14ac:dyDescent="0.2">
      <c r="A153" s="495" t="s">
        <v>97</v>
      </c>
      <c r="B153" s="495"/>
      <c r="C153" s="495"/>
      <c r="D153" s="495" t="str">
        <f>'Yearly Records'!T50</f>
        <v>Jason Wale</v>
      </c>
      <c r="E153" s="495"/>
      <c r="F153" s="495"/>
      <c r="G153" s="495"/>
      <c r="H153" s="495"/>
      <c r="I153" s="495"/>
      <c r="J153" s="495"/>
      <c r="K153" s="495"/>
      <c r="L153" s="495"/>
      <c r="M153" s="495"/>
      <c r="N153" s="495">
        <f>'Yearly Records'!W50</f>
        <v>36</v>
      </c>
      <c r="O153" s="495"/>
      <c r="P153" s="495"/>
      <c r="S153" s="495" t="s">
        <v>97</v>
      </c>
      <c r="T153" s="495"/>
      <c r="U153" s="495"/>
      <c r="V153" s="495" t="str">
        <f>'Yearly Records'!B87</f>
        <v>Brad Whitehead</v>
      </c>
      <c r="W153" s="495"/>
      <c r="X153" s="495"/>
      <c r="Y153" s="495"/>
      <c r="Z153" s="495"/>
      <c r="AA153" s="495"/>
      <c r="AB153" s="495"/>
      <c r="AC153" s="495"/>
      <c r="AD153" s="495"/>
      <c r="AE153" s="495"/>
      <c r="AF153" s="495">
        <f>'Yearly Records'!E87</f>
        <v>85</v>
      </c>
      <c r="AG153" s="495"/>
      <c r="AH153" s="495"/>
      <c r="AK153" s="495" t="s">
        <v>97</v>
      </c>
      <c r="AL153" s="495"/>
      <c r="AM153" s="495"/>
      <c r="AN153" s="495" t="str">
        <f>'Yearly Records'!T64</f>
        <v>Dickie Moxham</v>
      </c>
      <c r="AO153" s="495"/>
      <c r="AP153" s="495"/>
      <c r="AQ153" s="495"/>
      <c r="AR153" s="495"/>
      <c r="AS153" s="495"/>
      <c r="AT153" s="495"/>
      <c r="AU153" s="495"/>
      <c r="AV153" s="495"/>
      <c r="AW153" s="495"/>
      <c r="AX153" s="495">
        <f>'Yearly Records'!W64</f>
        <v>28</v>
      </c>
      <c r="AY153" s="495"/>
      <c r="AZ153" s="495"/>
      <c r="BC153" s="495" t="s">
        <v>97</v>
      </c>
      <c r="BD153" s="495"/>
      <c r="BE153" s="495"/>
      <c r="BF153" s="495" t="str">
        <f>'Yearly Records'!H87</f>
        <v>Gareth Davies</v>
      </c>
      <c r="BG153" s="495"/>
      <c r="BH153" s="495"/>
      <c r="BI153" s="495"/>
      <c r="BJ153" s="495"/>
      <c r="BK153" s="495"/>
      <c r="BL153" s="495"/>
      <c r="BM153" s="495"/>
      <c r="BN153" s="495"/>
      <c r="BO153" s="495"/>
      <c r="BP153" s="495">
        <f>'Yearly Records'!K87</f>
        <v>82</v>
      </c>
      <c r="BQ153" s="495"/>
    </row>
    <row r="154" spans="1:69" x14ac:dyDescent="0.2">
      <c r="A154" s="496" t="s">
        <v>98</v>
      </c>
      <c r="B154" s="496"/>
      <c r="C154" s="496"/>
      <c r="D154" s="496" t="str">
        <f>'Yearly Records'!T51</f>
        <v>Neil Hart</v>
      </c>
      <c r="E154" s="496"/>
      <c r="F154" s="496"/>
      <c r="G154" s="496"/>
      <c r="H154" s="496"/>
      <c r="I154" s="496"/>
      <c r="J154" s="496"/>
      <c r="K154" s="496"/>
      <c r="L154" s="496"/>
      <c r="M154" s="496"/>
      <c r="N154" s="496">
        <f>'Yearly Records'!W51</f>
        <v>35</v>
      </c>
      <c r="O154" s="496"/>
      <c r="P154" s="496"/>
      <c r="S154" s="496" t="s">
        <v>98</v>
      </c>
      <c r="T154" s="496"/>
      <c r="U154" s="496"/>
      <c r="V154" s="496" t="str">
        <f>'Yearly Records'!B88</f>
        <v>Ben Fleet</v>
      </c>
      <c r="W154" s="496"/>
      <c r="X154" s="496"/>
      <c r="Y154" s="496"/>
      <c r="Z154" s="496"/>
      <c r="AA154" s="496"/>
      <c r="AB154" s="496"/>
      <c r="AC154" s="496"/>
      <c r="AD154" s="496"/>
      <c r="AE154" s="496"/>
      <c r="AF154" s="496">
        <f>'Yearly Records'!E88</f>
        <v>89</v>
      </c>
      <c r="AG154" s="496"/>
      <c r="AH154" s="496"/>
      <c r="AK154" s="496" t="s">
        <v>98</v>
      </c>
      <c r="AL154" s="496"/>
      <c r="AM154" s="496"/>
      <c r="AN154" s="496" t="str">
        <f>'Yearly Records'!T65</f>
        <v>Kevin Tribley</v>
      </c>
      <c r="AO154" s="496"/>
      <c r="AP154" s="496"/>
      <c r="AQ154" s="496"/>
      <c r="AR154" s="496"/>
      <c r="AS154" s="496"/>
      <c r="AT154" s="496"/>
      <c r="AU154" s="496"/>
      <c r="AV154" s="496"/>
      <c r="AW154" s="496"/>
      <c r="AX154" s="496">
        <f>'Yearly Records'!W65</f>
        <v>28</v>
      </c>
      <c r="AY154" s="496"/>
      <c r="AZ154" s="496"/>
      <c r="BC154" s="496" t="s">
        <v>98</v>
      </c>
      <c r="BD154" s="496"/>
      <c r="BE154" s="496"/>
      <c r="BF154" s="496" t="str">
        <f>'Yearly Records'!H88</f>
        <v>Justin Hunt</v>
      </c>
      <c r="BG154" s="496"/>
      <c r="BH154" s="496"/>
      <c r="BI154" s="496"/>
      <c r="BJ154" s="496"/>
      <c r="BK154" s="496"/>
      <c r="BL154" s="496"/>
      <c r="BM154" s="496"/>
      <c r="BN154" s="496"/>
      <c r="BO154" s="496"/>
      <c r="BP154" s="496">
        <f>'Yearly Records'!K88</f>
        <v>82</v>
      </c>
      <c r="BQ154" s="496"/>
    </row>
    <row r="155" spans="1:69" x14ac:dyDescent="0.2">
      <c r="A155" s="1"/>
      <c r="B155" s="1"/>
      <c r="C155" s="1"/>
      <c r="D155" s="1"/>
      <c r="E155" s="1"/>
      <c r="F155" s="1"/>
      <c r="G155" s="1"/>
      <c r="H155" s="1"/>
      <c r="I155" s="1"/>
      <c r="J155" s="1"/>
      <c r="K155" s="1"/>
      <c r="L155" s="1"/>
      <c r="M155" s="1"/>
      <c r="N155" s="1"/>
      <c r="O155" s="1"/>
      <c r="P155" s="1"/>
    </row>
    <row r="156" spans="1:69" x14ac:dyDescent="0.2">
      <c r="A156" s="1"/>
      <c r="B156" s="1"/>
      <c r="C156" s="1"/>
      <c r="D156" s="1"/>
      <c r="E156" s="1"/>
      <c r="F156" s="1"/>
      <c r="G156" s="1"/>
      <c r="H156" s="1"/>
      <c r="I156" s="1"/>
      <c r="J156" s="1"/>
      <c r="K156" s="1"/>
      <c r="L156" s="1"/>
      <c r="M156" s="1"/>
      <c r="N156" s="1"/>
      <c r="O156" s="1"/>
      <c r="P156" s="1"/>
    </row>
    <row r="157" spans="1:69" x14ac:dyDescent="0.2">
      <c r="A157" s="1"/>
      <c r="B157" s="1"/>
      <c r="C157" s="1"/>
      <c r="D157" s="1"/>
      <c r="E157" s="1"/>
      <c r="F157" s="1"/>
      <c r="G157" s="1"/>
      <c r="H157" s="1"/>
      <c r="I157" s="1"/>
      <c r="J157" s="1"/>
      <c r="K157" s="1"/>
      <c r="L157" s="1"/>
      <c r="M157" s="1"/>
      <c r="N157" s="1"/>
      <c r="O157" s="1"/>
      <c r="P157" s="1"/>
    </row>
    <row r="158" spans="1:69" x14ac:dyDescent="0.2">
      <c r="A158" s="1"/>
      <c r="B158" s="1"/>
      <c r="C158" s="1"/>
      <c r="D158" s="1"/>
      <c r="E158" s="1"/>
      <c r="F158" s="1"/>
      <c r="G158" s="1"/>
      <c r="H158" s="1"/>
      <c r="I158" s="1"/>
      <c r="J158" s="1"/>
      <c r="K158" s="1"/>
      <c r="L158" s="1"/>
      <c r="M158" s="1"/>
      <c r="N158" s="1"/>
      <c r="O158" s="1"/>
      <c r="P158" s="1"/>
    </row>
    <row r="159" spans="1:69" x14ac:dyDescent="0.2">
      <c r="A159" s="1"/>
      <c r="B159" s="1"/>
      <c r="C159" s="1"/>
      <c r="D159" s="1"/>
      <c r="E159" s="1"/>
      <c r="F159" s="1"/>
      <c r="G159" s="1"/>
      <c r="H159" s="1"/>
      <c r="I159" s="1"/>
      <c r="J159" s="1"/>
      <c r="K159" s="1"/>
      <c r="L159" s="1"/>
      <c r="M159" s="1"/>
      <c r="N159" s="1"/>
      <c r="O159" s="1"/>
      <c r="P159" s="1"/>
    </row>
    <row r="160" spans="1:69" ht="12.75" customHeight="1" x14ac:dyDescent="0.2">
      <c r="A160" s="518" t="s">
        <v>296</v>
      </c>
      <c r="B160" s="518"/>
      <c r="C160" s="518"/>
      <c r="D160" s="518"/>
      <c r="E160" s="518"/>
      <c r="F160" s="518"/>
      <c r="G160" s="518"/>
      <c r="H160" s="518"/>
      <c r="I160" s="518"/>
      <c r="J160" s="518"/>
      <c r="K160" s="518"/>
      <c r="L160" s="518"/>
      <c r="M160" s="518"/>
      <c r="N160" s="518"/>
      <c r="O160" s="518"/>
      <c r="P160" s="518"/>
      <c r="R160" s="518" t="s">
        <v>206</v>
      </c>
      <c r="S160" s="518"/>
      <c r="T160" s="518"/>
      <c r="U160" s="518"/>
      <c r="V160" s="518"/>
      <c r="W160" s="518"/>
      <c r="X160" s="518"/>
      <c r="Y160" s="518"/>
      <c r="Z160" s="518"/>
      <c r="AA160" s="518"/>
      <c r="AB160" s="518"/>
      <c r="AC160" s="518"/>
      <c r="AD160" s="518"/>
      <c r="AE160" s="518"/>
      <c r="AF160" s="518"/>
      <c r="AH160" s="518" t="s">
        <v>207</v>
      </c>
      <c r="AI160" s="518"/>
      <c r="AJ160" s="518"/>
      <c r="AK160" s="518"/>
      <c r="AL160" s="518"/>
      <c r="AM160" s="518"/>
      <c r="AN160" s="518"/>
      <c r="AO160" s="518"/>
      <c r="AP160" s="518"/>
      <c r="AQ160" s="518"/>
      <c r="AR160" s="518"/>
      <c r="AS160" s="518"/>
      <c r="AT160" s="518"/>
      <c r="AU160" s="518"/>
      <c r="AV160" s="518"/>
      <c r="AX160" s="518" t="s">
        <v>224</v>
      </c>
      <c r="AY160" s="518"/>
      <c r="AZ160" s="518"/>
      <c r="BA160" s="518"/>
      <c r="BB160" s="518"/>
      <c r="BC160" s="518"/>
      <c r="BD160" s="518"/>
      <c r="BE160" s="518"/>
      <c r="BF160" s="518"/>
      <c r="BG160" s="518"/>
      <c r="BH160" s="518"/>
      <c r="BI160" s="518"/>
      <c r="BJ160" s="518"/>
      <c r="BK160" s="518"/>
      <c r="BL160" s="518"/>
      <c r="BM160" s="518"/>
      <c r="BN160" s="518"/>
      <c r="BO160" s="518"/>
      <c r="BP160" s="518"/>
      <c r="BQ160" s="518"/>
    </row>
    <row r="161" spans="1:69" ht="57.75" customHeight="1" x14ac:dyDescent="0.2">
      <c r="A161" s="518" t="s">
        <v>49</v>
      </c>
      <c r="B161" s="518"/>
      <c r="C161" s="518"/>
      <c r="D161" s="518"/>
      <c r="E161" s="518"/>
      <c r="F161" s="518"/>
      <c r="G161" s="515" t="s">
        <v>167</v>
      </c>
      <c r="H161" s="515"/>
      <c r="I161" s="515"/>
      <c r="J161" s="515"/>
      <c r="K161" s="518" t="s">
        <v>203</v>
      </c>
      <c r="L161" s="518"/>
      <c r="M161" s="518"/>
      <c r="N161" s="518" t="s">
        <v>204</v>
      </c>
      <c r="O161" s="518"/>
      <c r="P161" s="518"/>
      <c r="R161" s="518" t="s">
        <v>205</v>
      </c>
      <c r="S161" s="518"/>
      <c r="T161" s="518"/>
      <c r="U161" s="518" t="s">
        <v>33</v>
      </c>
      <c r="V161" s="518"/>
      <c r="W161" s="518"/>
      <c r="X161" s="518" t="s">
        <v>34</v>
      </c>
      <c r="Y161" s="518"/>
      <c r="Z161" s="518"/>
      <c r="AA161" s="518" t="s">
        <v>31</v>
      </c>
      <c r="AB161" s="518"/>
      <c r="AC161" s="518"/>
      <c r="AD161" s="518" t="s">
        <v>35</v>
      </c>
      <c r="AE161" s="518"/>
      <c r="AF161" s="518"/>
      <c r="AH161" s="518" t="s">
        <v>205</v>
      </c>
      <c r="AI161" s="518"/>
      <c r="AJ161" s="518"/>
      <c r="AK161" s="518" t="s">
        <v>33</v>
      </c>
      <c r="AL161" s="518"/>
      <c r="AM161" s="518"/>
      <c r="AN161" s="518" t="s">
        <v>34</v>
      </c>
      <c r="AO161" s="518"/>
      <c r="AP161" s="518"/>
      <c r="AQ161" s="518" t="s">
        <v>31</v>
      </c>
      <c r="AR161" s="518"/>
      <c r="AS161" s="518"/>
      <c r="AT161" s="518" t="s">
        <v>35</v>
      </c>
      <c r="AU161" s="518"/>
      <c r="AV161" s="518"/>
      <c r="AX161" s="515" t="s">
        <v>208</v>
      </c>
      <c r="AY161" s="515"/>
      <c r="AZ161" s="515"/>
      <c r="BA161" s="515"/>
      <c r="BB161" s="515" t="s">
        <v>199</v>
      </c>
      <c r="BC161" s="515"/>
      <c r="BD161" s="515"/>
      <c r="BE161" s="515"/>
      <c r="BF161" s="515" t="s">
        <v>200</v>
      </c>
      <c r="BG161" s="515"/>
      <c r="BH161" s="515"/>
      <c r="BI161" s="515"/>
      <c r="BJ161" s="515" t="s">
        <v>201</v>
      </c>
      <c r="BK161" s="515"/>
      <c r="BL161" s="515"/>
      <c r="BM161" s="515"/>
      <c r="BN161" s="515" t="s">
        <v>202</v>
      </c>
      <c r="BO161" s="515"/>
      <c r="BP161" s="515"/>
      <c r="BQ161" s="515"/>
    </row>
    <row r="162" spans="1:69" x14ac:dyDescent="0.2">
      <c r="A162" s="495" t="str">
        <f>'Name List'!B6</f>
        <v>Stuart Anderson</v>
      </c>
      <c r="B162" s="495"/>
      <c r="C162" s="495"/>
      <c r="D162" s="495"/>
      <c r="E162" s="495"/>
      <c r="F162" s="495"/>
      <c r="G162" s="584">
        <f>'Scores and stats'!QY6</f>
        <v>0</v>
      </c>
      <c r="H162" s="495"/>
      <c r="I162" s="495"/>
      <c r="J162" s="495"/>
      <c r="K162" s="495">
        <f>'Scores and stats'!RP6</f>
        <v>0</v>
      </c>
      <c r="L162" s="495"/>
      <c r="M162" s="495"/>
      <c r="N162" s="584">
        <f>SUM(G162:M162)</f>
        <v>0</v>
      </c>
      <c r="O162" s="495"/>
      <c r="P162" s="495"/>
      <c r="R162" s="584">
        <v>0</v>
      </c>
      <c r="S162" s="584"/>
      <c r="T162" s="584"/>
      <c r="U162" s="584">
        <f>'Scores and stats'!QT6</f>
        <v>0</v>
      </c>
      <c r="V162" s="584"/>
      <c r="W162" s="584"/>
      <c r="X162" s="584">
        <f>'Scores and stats'!QU6</f>
        <v>0</v>
      </c>
      <c r="Y162" s="584"/>
      <c r="Z162" s="584"/>
      <c r="AA162" s="584">
        <f>'Scores and stats'!QV6</f>
        <v>0</v>
      </c>
      <c r="AB162" s="584"/>
      <c r="AC162" s="584"/>
      <c r="AD162" s="584">
        <f>'Scores and stats'!QW6</f>
        <v>0</v>
      </c>
      <c r="AE162" s="584"/>
      <c r="AF162" s="584"/>
      <c r="AH162" s="584">
        <f>IFERROR(R162/N162,0)</f>
        <v>0</v>
      </c>
      <c r="AI162" s="495"/>
      <c r="AJ162" s="495"/>
      <c r="AK162" s="495">
        <f>IFERROR(U162/N162,0)</f>
        <v>0</v>
      </c>
      <c r="AL162" s="495"/>
      <c r="AM162" s="495"/>
      <c r="AN162" s="586">
        <f>IFERROR(X162/N162,0)</f>
        <v>0</v>
      </c>
      <c r="AO162" s="586"/>
      <c r="AP162" s="586"/>
      <c r="AQ162" s="586">
        <f>IFERROR(AA162/N162,0)</f>
        <v>0</v>
      </c>
      <c r="AR162" s="586"/>
      <c r="AS162" s="586"/>
      <c r="AT162" s="585">
        <f>IFERROR(AD162/G162,0)</f>
        <v>0</v>
      </c>
      <c r="AU162" s="585"/>
      <c r="AV162" s="585"/>
      <c r="AX162" s="584">
        <f>'Scores and stats'!RC6</f>
        <v>0</v>
      </c>
      <c r="AY162" s="584"/>
      <c r="AZ162" s="584"/>
      <c r="BA162" s="584"/>
      <c r="BB162" s="584">
        <f>'Scores and stats'!RF6</f>
        <v>0</v>
      </c>
      <c r="BC162" s="584"/>
      <c r="BD162" s="584"/>
      <c r="BE162" s="584"/>
      <c r="BF162" s="584">
        <f>'Scores and stats'!RK6</f>
        <v>0</v>
      </c>
      <c r="BG162" s="584"/>
      <c r="BH162" s="584"/>
      <c r="BI162" s="584"/>
      <c r="BJ162" s="584">
        <f>'Scores and stats'!RH6</f>
        <v>0</v>
      </c>
      <c r="BK162" s="584"/>
      <c r="BL162" s="584"/>
      <c r="BM162" s="584"/>
      <c r="BN162" s="584">
        <f>'Scores and stats'!RM6</f>
        <v>0</v>
      </c>
      <c r="BO162" s="584"/>
      <c r="BP162" s="584"/>
      <c r="BQ162" s="584"/>
    </row>
    <row r="163" spans="1:69" x14ac:dyDescent="0.2">
      <c r="A163" s="496" t="str">
        <f>'Name List'!B7</f>
        <v>Max Ball</v>
      </c>
      <c r="B163" s="496"/>
      <c r="C163" s="496"/>
      <c r="D163" s="496"/>
      <c r="E163" s="496"/>
      <c r="F163" s="496"/>
      <c r="G163" s="587">
        <f>'Scores and stats'!QY7</f>
        <v>9</v>
      </c>
      <c r="H163" s="496"/>
      <c r="I163" s="496"/>
      <c r="J163" s="496"/>
      <c r="K163" s="496">
        <f>'Scores and stats'!RP7</f>
        <v>1</v>
      </c>
      <c r="L163" s="496"/>
      <c r="M163" s="496"/>
      <c r="N163" s="587">
        <f t="shared" ref="N163:N170" si="0">SUM(G163:M163)</f>
        <v>10</v>
      </c>
      <c r="O163" s="496"/>
      <c r="P163" s="496"/>
      <c r="R163" s="587">
        <v>0</v>
      </c>
      <c r="S163" s="587"/>
      <c r="T163" s="587"/>
      <c r="U163" s="587">
        <f>'Scores and stats'!QT7</f>
        <v>0</v>
      </c>
      <c r="V163" s="587"/>
      <c r="W163" s="587"/>
      <c r="X163" s="587">
        <f>'Scores and stats'!QU7</f>
        <v>16</v>
      </c>
      <c r="Y163" s="587"/>
      <c r="Z163" s="587"/>
      <c r="AA163" s="587">
        <f>'Scores and stats'!QV7</f>
        <v>85</v>
      </c>
      <c r="AB163" s="587"/>
      <c r="AC163" s="587"/>
      <c r="AD163" s="587">
        <f>'Scores and stats'!QW7</f>
        <v>7</v>
      </c>
      <c r="AE163" s="587"/>
      <c r="AF163" s="587"/>
      <c r="AH163" s="587">
        <f t="shared" ref="AH163:AH207" si="1">IFERROR(R163/N163,0)</f>
        <v>0</v>
      </c>
      <c r="AI163" s="496"/>
      <c r="AJ163" s="496"/>
      <c r="AK163" s="496">
        <f t="shared" ref="AK163:AK207" si="2">IFERROR(U163/N163,0)</f>
        <v>0</v>
      </c>
      <c r="AL163" s="496"/>
      <c r="AM163" s="496"/>
      <c r="AN163" s="588">
        <f t="shared" ref="AN163:AN207" si="3">IFERROR(X163/N163,0)</f>
        <v>1.6</v>
      </c>
      <c r="AO163" s="588"/>
      <c r="AP163" s="588"/>
      <c r="AQ163" s="588">
        <f t="shared" ref="AQ163:AQ207" si="4">IFERROR(AA163/N163,0)</f>
        <v>8.5</v>
      </c>
      <c r="AR163" s="588"/>
      <c r="AS163" s="588"/>
      <c r="AT163" s="589">
        <f t="shared" ref="AT163:AT207" si="5">IFERROR(AD163/G163,0)</f>
        <v>0.77777777777777779</v>
      </c>
      <c r="AU163" s="589"/>
      <c r="AV163" s="589"/>
      <c r="AX163" s="587">
        <f>'Scores and stats'!RC7</f>
        <v>41</v>
      </c>
      <c r="AY163" s="587"/>
      <c r="AZ163" s="587"/>
      <c r="BA163" s="587"/>
      <c r="BB163" s="587">
        <f>'Scores and stats'!RF7</f>
        <v>34</v>
      </c>
      <c r="BC163" s="587"/>
      <c r="BD163" s="587"/>
      <c r="BE163" s="587"/>
      <c r="BF163" s="587">
        <f>'Scores and stats'!RK7</f>
        <v>36.111111111111114</v>
      </c>
      <c r="BG163" s="587"/>
      <c r="BH163" s="587"/>
      <c r="BI163" s="587"/>
      <c r="BJ163" s="587">
        <f>'Scores and stats'!RH7</f>
        <v>37</v>
      </c>
      <c r="BK163" s="587"/>
      <c r="BL163" s="587"/>
      <c r="BM163" s="587"/>
      <c r="BN163" s="587">
        <f>'Scores and stats'!RM7</f>
        <v>83</v>
      </c>
      <c r="BO163" s="587"/>
      <c r="BP163" s="587"/>
      <c r="BQ163" s="587"/>
    </row>
    <row r="164" spans="1:69" x14ac:dyDescent="0.2">
      <c r="A164" s="495" t="str">
        <f>'Name List'!B8</f>
        <v>Harley Bishop</v>
      </c>
      <c r="B164" s="495"/>
      <c r="C164" s="495"/>
      <c r="D164" s="495"/>
      <c r="E164" s="495"/>
      <c r="F164" s="495"/>
      <c r="G164" s="584">
        <f>'Scores and stats'!QY8</f>
        <v>7</v>
      </c>
      <c r="H164" s="495"/>
      <c r="I164" s="495"/>
      <c r="J164" s="495"/>
      <c r="K164" s="495">
        <f>'Scores and stats'!RP8</f>
        <v>0</v>
      </c>
      <c r="L164" s="495"/>
      <c r="M164" s="495"/>
      <c r="N164" s="584">
        <f t="shared" si="0"/>
        <v>7</v>
      </c>
      <c r="O164" s="495"/>
      <c r="P164" s="495"/>
      <c r="R164" s="584">
        <v>0</v>
      </c>
      <c r="S164" s="584"/>
      <c r="T164" s="584"/>
      <c r="U164" s="584">
        <f>'Scores and stats'!QT8</f>
        <v>0</v>
      </c>
      <c r="V164" s="584"/>
      <c r="W164" s="584"/>
      <c r="X164" s="584">
        <f>'Scores and stats'!QU8</f>
        <v>4</v>
      </c>
      <c r="Y164" s="584"/>
      <c r="Z164" s="584"/>
      <c r="AA164" s="584">
        <f>'Scores and stats'!QV8</f>
        <v>30</v>
      </c>
      <c r="AB164" s="584"/>
      <c r="AC164" s="584"/>
      <c r="AD164" s="584">
        <f>'Scores and stats'!QW8</f>
        <v>19</v>
      </c>
      <c r="AE164" s="584"/>
      <c r="AF164" s="584"/>
      <c r="AH164" s="584">
        <f t="shared" si="1"/>
        <v>0</v>
      </c>
      <c r="AI164" s="495"/>
      <c r="AJ164" s="495"/>
      <c r="AK164" s="495">
        <f t="shared" si="2"/>
        <v>0</v>
      </c>
      <c r="AL164" s="495"/>
      <c r="AM164" s="495"/>
      <c r="AN164" s="586">
        <f t="shared" si="3"/>
        <v>0.5714285714285714</v>
      </c>
      <c r="AO164" s="586"/>
      <c r="AP164" s="586"/>
      <c r="AQ164" s="586">
        <f t="shared" si="4"/>
        <v>4.2857142857142856</v>
      </c>
      <c r="AR164" s="586"/>
      <c r="AS164" s="586"/>
      <c r="AT164" s="585">
        <f t="shared" si="5"/>
        <v>2.7142857142857144</v>
      </c>
      <c r="AU164" s="585"/>
      <c r="AV164" s="585"/>
      <c r="AX164" s="584">
        <f>'Scores and stats'!RC8</f>
        <v>33</v>
      </c>
      <c r="AY164" s="584"/>
      <c r="AZ164" s="584"/>
      <c r="BA164" s="584"/>
      <c r="BB164" s="584">
        <f>'Scores and stats'!RF8</f>
        <v>26</v>
      </c>
      <c r="BC164" s="584"/>
      <c r="BD164" s="584"/>
      <c r="BE164" s="584"/>
      <c r="BF164" s="584">
        <f>'Scores and stats'!RK8</f>
        <v>28.571428571428573</v>
      </c>
      <c r="BG164" s="584"/>
      <c r="BH164" s="584"/>
      <c r="BI164" s="584"/>
      <c r="BJ164" s="584">
        <f>'Scores and stats'!RH8</f>
        <v>34</v>
      </c>
      <c r="BK164" s="584"/>
      <c r="BL164" s="584"/>
      <c r="BM164" s="584"/>
      <c r="BN164" s="584">
        <f>'Scores and stats'!RM8</f>
        <v>0</v>
      </c>
      <c r="BO164" s="584"/>
      <c r="BP164" s="584"/>
      <c r="BQ164" s="584"/>
    </row>
    <row r="165" spans="1:69" x14ac:dyDescent="0.2">
      <c r="A165" s="496" t="str">
        <f>'Name List'!B9</f>
        <v>Chris Burroughs</v>
      </c>
      <c r="B165" s="496"/>
      <c r="C165" s="496"/>
      <c r="D165" s="496"/>
      <c r="E165" s="496"/>
      <c r="F165" s="496"/>
      <c r="G165" s="587">
        <f>'Scores and stats'!QY9</f>
        <v>2</v>
      </c>
      <c r="H165" s="496"/>
      <c r="I165" s="496"/>
      <c r="J165" s="496"/>
      <c r="K165" s="496">
        <f>'Scores and stats'!RP9</f>
        <v>0</v>
      </c>
      <c r="L165" s="496"/>
      <c r="M165" s="496"/>
      <c r="N165" s="587">
        <f t="shared" si="0"/>
        <v>2</v>
      </c>
      <c r="O165" s="496"/>
      <c r="P165" s="496"/>
      <c r="R165" s="587">
        <v>0</v>
      </c>
      <c r="S165" s="587"/>
      <c r="T165" s="587"/>
      <c r="U165" s="587">
        <f>'Scores and stats'!QT9</f>
        <v>0</v>
      </c>
      <c r="V165" s="587"/>
      <c r="W165" s="587"/>
      <c r="X165" s="587">
        <f>'Scores and stats'!QU9</f>
        <v>2</v>
      </c>
      <c r="Y165" s="587"/>
      <c r="Z165" s="587"/>
      <c r="AA165" s="587">
        <f>'Scores and stats'!QV9</f>
        <v>17</v>
      </c>
      <c r="AB165" s="587"/>
      <c r="AC165" s="587"/>
      <c r="AD165" s="587">
        <f>'Scores and stats'!QW9</f>
        <v>2</v>
      </c>
      <c r="AE165" s="587"/>
      <c r="AF165" s="587"/>
      <c r="AH165" s="587">
        <f t="shared" si="1"/>
        <v>0</v>
      </c>
      <c r="AI165" s="496"/>
      <c r="AJ165" s="496"/>
      <c r="AK165" s="496">
        <f t="shared" si="2"/>
        <v>0</v>
      </c>
      <c r="AL165" s="496"/>
      <c r="AM165" s="496"/>
      <c r="AN165" s="588">
        <f t="shared" si="3"/>
        <v>1</v>
      </c>
      <c r="AO165" s="588"/>
      <c r="AP165" s="588"/>
      <c r="AQ165" s="588">
        <f t="shared" si="4"/>
        <v>8.5</v>
      </c>
      <c r="AR165" s="588"/>
      <c r="AS165" s="588"/>
      <c r="AT165" s="589">
        <f t="shared" si="5"/>
        <v>1</v>
      </c>
      <c r="AU165" s="589"/>
      <c r="AV165" s="589"/>
      <c r="AX165" s="587">
        <f>'Scores and stats'!RC9</f>
        <v>29</v>
      </c>
      <c r="AY165" s="587"/>
      <c r="AZ165" s="587"/>
      <c r="BA165" s="587"/>
      <c r="BB165" s="587">
        <f>'Scores and stats'!RF9</f>
        <v>29</v>
      </c>
      <c r="BC165" s="587"/>
      <c r="BD165" s="587"/>
      <c r="BE165" s="587"/>
      <c r="BF165" s="587">
        <f>'Scores and stats'!RK9</f>
        <v>32.5</v>
      </c>
      <c r="BG165" s="587"/>
      <c r="BH165" s="587"/>
      <c r="BI165" s="587"/>
      <c r="BJ165" s="587">
        <f>'Scores and stats'!RH9</f>
        <v>36</v>
      </c>
      <c r="BK165" s="587"/>
      <c r="BL165" s="587"/>
      <c r="BM165" s="587"/>
      <c r="BN165" s="587">
        <f>'Scores and stats'!RM9</f>
        <v>0</v>
      </c>
      <c r="BO165" s="587"/>
      <c r="BP165" s="587"/>
      <c r="BQ165" s="587"/>
    </row>
    <row r="166" spans="1:69" x14ac:dyDescent="0.2">
      <c r="A166" s="495" t="str">
        <f>'Name List'!B10</f>
        <v>George Burton</v>
      </c>
      <c r="B166" s="495"/>
      <c r="C166" s="495"/>
      <c r="D166" s="495"/>
      <c r="E166" s="495"/>
      <c r="F166" s="495"/>
      <c r="G166" s="584">
        <f>'Scores and stats'!QY10</f>
        <v>2</v>
      </c>
      <c r="H166" s="495"/>
      <c r="I166" s="495"/>
      <c r="J166" s="495"/>
      <c r="K166" s="495">
        <f>'Scores and stats'!RP10</f>
        <v>0</v>
      </c>
      <c r="L166" s="495"/>
      <c r="M166" s="495"/>
      <c r="N166" s="584">
        <f t="shared" si="0"/>
        <v>2</v>
      </c>
      <c r="O166" s="495"/>
      <c r="P166" s="495"/>
      <c r="R166" s="584">
        <v>0</v>
      </c>
      <c r="S166" s="584"/>
      <c r="T166" s="584"/>
      <c r="U166" s="584">
        <f>'Scores and stats'!QT10</f>
        <v>0</v>
      </c>
      <c r="V166" s="584"/>
      <c r="W166" s="584"/>
      <c r="X166" s="584">
        <f>'Scores and stats'!QU10</f>
        <v>5</v>
      </c>
      <c r="Y166" s="584"/>
      <c r="Z166" s="584"/>
      <c r="AA166" s="584">
        <f>'Scores and stats'!QV10</f>
        <v>14</v>
      </c>
      <c r="AB166" s="584"/>
      <c r="AC166" s="584"/>
      <c r="AD166" s="584">
        <f>'Scores and stats'!QW10</f>
        <v>2</v>
      </c>
      <c r="AE166" s="584"/>
      <c r="AF166" s="584"/>
      <c r="AH166" s="584">
        <f t="shared" si="1"/>
        <v>0</v>
      </c>
      <c r="AI166" s="495"/>
      <c r="AJ166" s="495"/>
      <c r="AK166" s="495">
        <f t="shared" si="2"/>
        <v>0</v>
      </c>
      <c r="AL166" s="495"/>
      <c r="AM166" s="495"/>
      <c r="AN166" s="586">
        <f t="shared" si="3"/>
        <v>2.5</v>
      </c>
      <c r="AO166" s="586"/>
      <c r="AP166" s="586"/>
      <c r="AQ166" s="586">
        <f t="shared" si="4"/>
        <v>7</v>
      </c>
      <c r="AR166" s="586"/>
      <c r="AS166" s="586"/>
      <c r="AT166" s="585">
        <f t="shared" si="5"/>
        <v>1</v>
      </c>
      <c r="AU166" s="585"/>
      <c r="AV166" s="585"/>
      <c r="AX166" s="584">
        <f>'Scores and stats'!RC10</f>
        <v>27</v>
      </c>
      <c r="AY166" s="584"/>
      <c r="AZ166" s="584"/>
      <c r="BA166" s="584"/>
      <c r="BB166" s="584">
        <f>'Scores and stats'!RF10</f>
        <v>27</v>
      </c>
      <c r="BC166" s="584"/>
      <c r="BD166" s="584"/>
      <c r="BE166" s="584"/>
      <c r="BF166" s="584">
        <f>'Scores and stats'!RK10</f>
        <v>28</v>
      </c>
      <c r="BG166" s="584"/>
      <c r="BH166" s="584"/>
      <c r="BI166" s="584"/>
      <c r="BJ166" s="584">
        <f>'Scores and stats'!RH10</f>
        <v>29</v>
      </c>
      <c r="BK166" s="584"/>
      <c r="BL166" s="584"/>
      <c r="BM166" s="584"/>
      <c r="BN166" s="584">
        <f>'Scores and stats'!RM10</f>
        <v>0</v>
      </c>
      <c r="BO166" s="584"/>
      <c r="BP166" s="584"/>
      <c r="BQ166" s="584"/>
    </row>
    <row r="167" spans="1:69" x14ac:dyDescent="0.2">
      <c r="A167" s="496" t="str">
        <f>'Name List'!B11</f>
        <v>Tom Burton</v>
      </c>
      <c r="B167" s="496"/>
      <c r="C167" s="496"/>
      <c r="D167" s="496"/>
      <c r="E167" s="496"/>
      <c r="F167" s="496"/>
      <c r="G167" s="587">
        <f>'Scores and stats'!QY11</f>
        <v>5</v>
      </c>
      <c r="H167" s="496"/>
      <c r="I167" s="496"/>
      <c r="J167" s="496"/>
      <c r="K167" s="496">
        <f>'Scores and stats'!RP11</f>
        <v>0</v>
      </c>
      <c r="L167" s="496"/>
      <c r="M167" s="496"/>
      <c r="N167" s="587">
        <f t="shared" si="0"/>
        <v>5</v>
      </c>
      <c r="O167" s="496"/>
      <c r="P167" s="496"/>
      <c r="R167" s="587">
        <v>0</v>
      </c>
      <c r="S167" s="587"/>
      <c r="T167" s="587"/>
      <c r="U167" s="587">
        <f>'Scores and stats'!QT11</f>
        <v>0</v>
      </c>
      <c r="V167" s="587"/>
      <c r="W167" s="587"/>
      <c r="X167" s="587">
        <f>'Scores and stats'!QU11</f>
        <v>10</v>
      </c>
      <c r="Y167" s="587"/>
      <c r="Z167" s="587"/>
      <c r="AA167" s="587">
        <f>'Scores and stats'!QV11</f>
        <v>50</v>
      </c>
      <c r="AB167" s="587"/>
      <c r="AC167" s="587"/>
      <c r="AD167" s="587">
        <f>'Scores and stats'!QW11</f>
        <v>9</v>
      </c>
      <c r="AE167" s="587"/>
      <c r="AF167" s="587"/>
      <c r="AH167" s="587">
        <f t="shared" si="1"/>
        <v>0</v>
      </c>
      <c r="AI167" s="496"/>
      <c r="AJ167" s="496"/>
      <c r="AK167" s="496">
        <f t="shared" si="2"/>
        <v>0</v>
      </c>
      <c r="AL167" s="496"/>
      <c r="AM167" s="496"/>
      <c r="AN167" s="588">
        <f t="shared" si="3"/>
        <v>2</v>
      </c>
      <c r="AO167" s="588"/>
      <c r="AP167" s="588"/>
      <c r="AQ167" s="588">
        <f t="shared" si="4"/>
        <v>10</v>
      </c>
      <c r="AR167" s="588"/>
      <c r="AS167" s="588"/>
      <c r="AT167" s="589">
        <f t="shared" si="5"/>
        <v>1.8</v>
      </c>
      <c r="AU167" s="589"/>
      <c r="AV167" s="589"/>
      <c r="AX167" s="587">
        <f>'Scores and stats'!RC11</f>
        <v>36</v>
      </c>
      <c r="AY167" s="587"/>
      <c r="AZ167" s="587"/>
      <c r="BA167" s="587"/>
      <c r="BB167" s="587">
        <f>'Scores and stats'!RF11</f>
        <v>29</v>
      </c>
      <c r="BC167" s="587"/>
      <c r="BD167" s="587"/>
      <c r="BE167" s="587"/>
      <c r="BF167" s="587">
        <f>'Scores and stats'!RK11</f>
        <v>32.200000000000003</v>
      </c>
      <c r="BG167" s="587"/>
      <c r="BH167" s="587"/>
      <c r="BI167" s="587"/>
      <c r="BJ167" s="587">
        <f>'Scores and stats'!RH11</f>
        <v>33</v>
      </c>
      <c r="BK167" s="587"/>
      <c r="BL167" s="587"/>
      <c r="BM167" s="587"/>
      <c r="BN167" s="587">
        <f>'Scores and stats'!RM11</f>
        <v>0</v>
      </c>
      <c r="BO167" s="587"/>
      <c r="BP167" s="587"/>
      <c r="BQ167" s="587"/>
    </row>
    <row r="168" spans="1:69" x14ac:dyDescent="0.2">
      <c r="A168" s="495" t="str">
        <f>'Name List'!B12</f>
        <v>Mike Chubb</v>
      </c>
      <c r="B168" s="495"/>
      <c r="C168" s="495"/>
      <c r="D168" s="495"/>
      <c r="E168" s="495"/>
      <c r="F168" s="495"/>
      <c r="G168" s="584">
        <f>'Scores and stats'!QY12</f>
        <v>1</v>
      </c>
      <c r="H168" s="495"/>
      <c r="I168" s="495"/>
      <c r="J168" s="495"/>
      <c r="K168" s="495">
        <f>'Scores and stats'!RP12</f>
        <v>0</v>
      </c>
      <c r="L168" s="495"/>
      <c r="M168" s="495"/>
      <c r="N168" s="584">
        <f t="shared" si="0"/>
        <v>1</v>
      </c>
      <c r="O168" s="495"/>
      <c r="P168" s="495"/>
      <c r="R168" s="584">
        <v>0</v>
      </c>
      <c r="S168" s="584"/>
      <c r="T168" s="584"/>
      <c r="U168" s="584">
        <f>'Scores and stats'!QT12</f>
        <v>0</v>
      </c>
      <c r="V168" s="584"/>
      <c r="W168" s="584"/>
      <c r="X168" s="584">
        <f>'Scores and stats'!QU12</f>
        <v>0</v>
      </c>
      <c r="Y168" s="584"/>
      <c r="Z168" s="584"/>
      <c r="AA168" s="584">
        <f>'Scores and stats'!QV12</f>
        <v>3</v>
      </c>
      <c r="AB168" s="584"/>
      <c r="AC168" s="584"/>
      <c r="AD168" s="584">
        <f>'Scores and stats'!QW12</f>
        <v>2</v>
      </c>
      <c r="AE168" s="584"/>
      <c r="AF168" s="584"/>
      <c r="AH168" s="584">
        <f t="shared" si="1"/>
        <v>0</v>
      </c>
      <c r="AI168" s="495"/>
      <c r="AJ168" s="495"/>
      <c r="AK168" s="495">
        <f t="shared" si="2"/>
        <v>0</v>
      </c>
      <c r="AL168" s="495"/>
      <c r="AM168" s="495"/>
      <c r="AN168" s="586">
        <f t="shared" si="3"/>
        <v>0</v>
      </c>
      <c r="AO168" s="586"/>
      <c r="AP168" s="586"/>
      <c r="AQ168" s="586">
        <f t="shared" si="4"/>
        <v>3</v>
      </c>
      <c r="AR168" s="586"/>
      <c r="AS168" s="586"/>
      <c r="AT168" s="585">
        <f t="shared" si="5"/>
        <v>2</v>
      </c>
      <c r="AU168" s="585"/>
      <c r="AV168" s="585"/>
      <c r="AX168" s="584">
        <f>'Scores and stats'!RC12</f>
        <v>34</v>
      </c>
      <c r="AY168" s="584"/>
      <c r="AZ168" s="584"/>
      <c r="BA168" s="584"/>
      <c r="BB168" s="584">
        <f>'Scores and stats'!RF12</f>
        <v>34</v>
      </c>
      <c r="BC168" s="584"/>
      <c r="BD168" s="584"/>
      <c r="BE168" s="584"/>
      <c r="BF168" s="584">
        <f>'Scores and stats'!RK12</f>
        <v>34</v>
      </c>
      <c r="BG168" s="584"/>
      <c r="BH168" s="584"/>
      <c r="BI168" s="584"/>
      <c r="BJ168" s="584">
        <f>'Scores and stats'!RH12</f>
        <v>0</v>
      </c>
      <c r="BK168" s="584"/>
      <c r="BL168" s="584"/>
      <c r="BM168" s="584"/>
      <c r="BN168" s="584">
        <f>'Scores and stats'!RM12</f>
        <v>0</v>
      </c>
      <c r="BO168" s="584"/>
      <c r="BP168" s="584"/>
      <c r="BQ168" s="584"/>
    </row>
    <row r="169" spans="1:69" x14ac:dyDescent="0.2">
      <c r="A169" s="496" t="str">
        <f>'Name List'!B13</f>
        <v>George Clarke</v>
      </c>
      <c r="B169" s="496"/>
      <c r="C169" s="496"/>
      <c r="D169" s="496"/>
      <c r="E169" s="496"/>
      <c r="F169" s="496"/>
      <c r="G169" s="587">
        <f>'Scores and stats'!QY13</f>
        <v>1</v>
      </c>
      <c r="H169" s="496"/>
      <c r="I169" s="496"/>
      <c r="J169" s="496"/>
      <c r="K169" s="496">
        <f>'Scores and stats'!RP13</f>
        <v>0</v>
      </c>
      <c r="L169" s="496"/>
      <c r="M169" s="496"/>
      <c r="N169" s="587">
        <f t="shared" si="0"/>
        <v>1</v>
      </c>
      <c r="O169" s="496"/>
      <c r="P169" s="496"/>
      <c r="R169" s="587">
        <v>0</v>
      </c>
      <c r="S169" s="587"/>
      <c r="T169" s="587"/>
      <c r="U169" s="587">
        <f>'Scores and stats'!QT13</f>
        <v>0</v>
      </c>
      <c r="V169" s="587"/>
      <c r="W169" s="587"/>
      <c r="X169" s="587">
        <f>'Scores and stats'!QU13</f>
        <v>1</v>
      </c>
      <c r="Y169" s="587"/>
      <c r="Z169" s="587"/>
      <c r="AA169" s="587">
        <f>'Scores and stats'!QV13</f>
        <v>7</v>
      </c>
      <c r="AB169" s="587"/>
      <c r="AC169" s="587"/>
      <c r="AD169" s="587">
        <f>'Scores and stats'!QW13</f>
        <v>1</v>
      </c>
      <c r="AE169" s="587"/>
      <c r="AF169" s="587"/>
      <c r="AH169" s="587">
        <f t="shared" si="1"/>
        <v>0</v>
      </c>
      <c r="AI169" s="496"/>
      <c r="AJ169" s="496"/>
      <c r="AK169" s="496">
        <f t="shared" si="2"/>
        <v>0</v>
      </c>
      <c r="AL169" s="496"/>
      <c r="AM169" s="496"/>
      <c r="AN169" s="588">
        <f t="shared" si="3"/>
        <v>1</v>
      </c>
      <c r="AO169" s="588"/>
      <c r="AP169" s="588"/>
      <c r="AQ169" s="588">
        <f t="shared" si="4"/>
        <v>7</v>
      </c>
      <c r="AR169" s="588"/>
      <c r="AS169" s="588"/>
      <c r="AT169" s="589">
        <f t="shared" si="5"/>
        <v>1</v>
      </c>
      <c r="AU169" s="589"/>
      <c r="AV169" s="589"/>
      <c r="AX169" s="587">
        <f>'Scores and stats'!RC13</f>
        <v>35</v>
      </c>
      <c r="AY169" s="587"/>
      <c r="AZ169" s="587"/>
      <c r="BA169" s="587"/>
      <c r="BB169" s="587">
        <f>'Scores and stats'!RF13</f>
        <v>35</v>
      </c>
      <c r="BC169" s="587"/>
      <c r="BD169" s="587"/>
      <c r="BE169" s="587"/>
      <c r="BF169" s="587">
        <f>'Scores and stats'!RK13</f>
        <v>35</v>
      </c>
      <c r="BG169" s="587"/>
      <c r="BH169" s="587"/>
      <c r="BI169" s="587"/>
      <c r="BJ169" s="587">
        <f>'Scores and stats'!RH13</f>
        <v>0</v>
      </c>
      <c r="BK169" s="587"/>
      <c r="BL169" s="587"/>
      <c r="BM169" s="587"/>
      <c r="BN169" s="587">
        <f>'Scores and stats'!RM13</f>
        <v>0</v>
      </c>
      <c r="BO169" s="587"/>
      <c r="BP169" s="587"/>
      <c r="BQ169" s="587"/>
    </row>
    <row r="170" spans="1:69" x14ac:dyDescent="0.2">
      <c r="A170" s="495" t="str">
        <f>'Name List'!B14</f>
        <v>Paul Clarke</v>
      </c>
      <c r="B170" s="495"/>
      <c r="C170" s="495"/>
      <c r="D170" s="495"/>
      <c r="E170" s="495"/>
      <c r="F170" s="495"/>
      <c r="G170" s="584">
        <f>'Scores and stats'!QY14</f>
        <v>8</v>
      </c>
      <c r="H170" s="495"/>
      <c r="I170" s="495"/>
      <c r="J170" s="495"/>
      <c r="K170" s="495">
        <f>'Scores and stats'!RP14</f>
        <v>0</v>
      </c>
      <c r="L170" s="495"/>
      <c r="M170" s="495"/>
      <c r="N170" s="584">
        <f t="shared" si="0"/>
        <v>8</v>
      </c>
      <c r="O170" s="495"/>
      <c r="P170" s="495"/>
      <c r="R170" s="584">
        <v>0</v>
      </c>
      <c r="S170" s="584"/>
      <c r="T170" s="584"/>
      <c r="U170" s="584">
        <f>'Scores and stats'!QT14</f>
        <v>0</v>
      </c>
      <c r="V170" s="584"/>
      <c r="W170" s="584"/>
      <c r="X170" s="584">
        <f>'Scores and stats'!QU14</f>
        <v>5</v>
      </c>
      <c r="Y170" s="584"/>
      <c r="Z170" s="584"/>
      <c r="AA170" s="584">
        <f>'Scores and stats'!QV14</f>
        <v>36</v>
      </c>
      <c r="AB170" s="584"/>
      <c r="AC170" s="584"/>
      <c r="AD170" s="584">
        <f>'Scores and stats'!QW14</f>
        <v>18</v>
      </c>
      <c r="AE170" s="584"/>
      <c r="AF170" s="584"/>
      <c r="AH170" s="584">
        <f t="shared" si="1"/>
        <v>0</v>
      </c>
      <c r="AI170" s="495"/>
      <c r="AJ170" s="495"/>
      <c r="AK170" s="495">
        <f t="shared" si="2"/>
        <v>0</v>
      </c>
      <c r="AL170" s="495"/>
      <c r="AM170" s="495"/>
      <c r="AN170" s="586">
        <f t="shared" si="3"/>
        <v>0.625</v>
      </c>
      <c r="AO170" s="586"/>
      <c r="AP170" s="586"/>
      <c r="AQ170" s="586">
        <f t="shared" si="4"/>
        <v>4.5</v>
      </c>
      <c r="AR170" s="586"/>
      <c r="AS170" s="586"/>
      <c r="AT170" s="585">
        <f t="shared" si="5"/>
        <v>2.25</v>
      </c>
      <c r="AU170" s="585"/>
      <c r="AV170" s="585"/>
      <c r="AX170" s="584">
        <f>'Scores and stats'!RC14</f>
        <v>37</v>
      </c>
      <c r="AY170" s="584"/>
      <c r="AZ170" s="584"/>
      <c r="BA170" s="584"/>
      <c r="BB170" s="584">
        <f>'Scores and stats'!RF14</f>
        <v>19</v>
      </c>
      <c r="BC170" s="584"/>
      <c r="BD170" s="584"/>
      <c r="BE170" s="584"/>
      <c r="BF170" s="584">
        <f>'Scores and stats'!RK14</f>
        <v>26.625</v>
      </c>
      <c r="BG170" s="584"/>
      <c r="BH170" s="584"/>
      <c r="BI170" s="584"/>
      <c r="BJ170" s="584">
        <f>'Scores and stats'!RH14</f>
        <v>31</v>
      </c>
      <c r="BK170" s="584"/>
      <c r="BL170" s="584"/>
      <c r="BM170" s="584"/>
      <c r="BN170" s="584">
        <f>'Scores and stats'!RM14</f>
        <v>0</v>
      </c>
      <c r="BO170" s="584"/>
      <c r="BP170" s="584"/>
      <c r="BQ170" s="584"/>
    </row>
    <row r="171" spans="1:69" x14ac:dyDescent="0.2">
      <c r="A171" s="496" t="str">
        <f>'Name List'!B15</f>
        <v>Martin Coomber</v>
      </c>
      <c r="B171" s="496"/>
      <c r="C171" s="496"/>
      <c r="D171" s="496"/>
      <c r="E171" s="496"/>
      <c r="F171" s="496"/>
      <c r="G171" s="587">
        <f>'Scores and stats'!QY15</f>
        <v>13</v>
      </c>
      <c r="H171" s="496"/>
      <c r="I171" s="496"/>
      <c r="J171" s="496"/>
      <c r="K171" s="496">
        <f>'Scores and stats'!RP15</f>
        <v>0</v>
      </c>
      <c r="L171" s="496"/>
      <c r="M171" s="496"/>
      <c r="N171" s="587">
        <f t="shared" ref="N171:N207" si="6">SUM(G171:M171)</f>
        <v>13</v>
      </c>
      <c r="O171" s="496"/>
      <c r="P171" s="496"/>
      <c r="R171" s="587">
        <v>0</v>
      </c>
      <c r="S171" s="587"/>
      <c r="T171" s="587"/>
      <c r="U171" s="587">
        <f>'Scores and stats'!QT15</f>
        <v>0</v>
      </c>
      <c r="V171" s="587"/>
      <c r="W171" s="587"/>
      <c r="X171" s="587">
        <f>'Scores and stats'!QU15</f>
        <v>18</v>
      </c>
      <c r="Y171" s="587"/>
      <c r="Z171" s="587"/>
      <c r="AA171" s="587">
        <f>'Scores and stats'!QV15</f>
        <v>102</v>
      </c>
      <c r="AB171" s="587"/>
      <c r="AC171" s="587"/>
      <c r="AD171" s="587">
        <f>'Scores and stats'!QW15</f>
        <v>20</v>
      </c>
      <c r="AE171" s="587"/>
      <c r="AF171" s="587"/>
      <c r="AH171" s="587">
        <f t="shared" si="1"/>
        <v>0</v>
      </c>
      <c r="AI171" s="496"/>
      <c r="AJ171" s="496"/>
      <c r="AK171" s="496">
        <f t="shared" si="2"/>
        <v>0</v>
      </c>
      <c r="AL171" s="496"/>
      <c r="AM171" s="496"/>
      <c r="AN171" s="588">
        <f t="shared" si="3"/>
        <v>1.3846153846153846</v>
      </c>
      <c r="AO171" s="588"/>
      <c r="AP171" s="588"/>
      <c r="AQ171" s="588">
        <f t="shared" si="4"/>
        <v>7.8461538461538458</v>
      </c>
      <c r="AR171" s="588"/>
      <c r="AS171" s="588"/>
      <c r="AT171" s="589">
        <f t="shared" si="5"/>
        <v>1.5384615384615385</v>
      </c>
      <c r="AU171" s="589"/>
      <c r="AV171" s="589"/>
      <c r="AX171" s="587">
        <f>'Scores and stats'!RC15</f>
        <v>36</v>
      </c>
      <c r="AY171" s="587"/>
      <c r="AZ171" s="587"/>
      <c r="BA171" s="587"/>
      <c r="BB171" s="587">
        <f>'Scores and stats'!RF15</f>
        <v>29</v>
      </c>
      <c r="BC171" s="587"/>
      <c r="BD171" s="587"/>
      <c r="BE171" s="587"/>
      <c r="BF171" s="587">
        <f>'Scores and stats'!RK15</f>
        <v>33.92307692307692</v>
      </c>
      <c r="BG171" s="587"/>
      <c r="BH171" s="587"/>
      <c r="BI171" s="587"/>
      <c r="BJ171" s="587">
        <f>'Scores and stats'!RH15</f>
        <v>38</v>
      </c>
      <c r="BK171" s="587"/>
      <c r="BL171" s="587"/>
      <c r="BM171" s="587"/>
      <c r="BN171" s="587">
        <f>'Scores and stats'!RM15</f>
        <v>0</v>
      </c>
      <c r="BO171" s="587"/>
      <c r="BP171" s="587"/>
      <c r="BQ171" s="587"/>
    </row>
    <row r="172" spans="1:69" x14ac:dyDescent="0.2">
      <c r="A172" s="495" t="str">
        <f>'Name List'!B16</f>
        <v>Dominic Coughlin</v>
      </c>
      <c r="B172" s="495"/>
      <c r="C172" s="495"/>
      <c r="D172" s="495"/>
      <c r="E172" s="495"/>
      <c r="F172" s="495"/>
      <c r="G172" s="584">
        <f>'Scores and stats'!QY16</f>
        <v>1</v>
      </c>
      <c r="H172" s="495"/>
      <c r="I172" s="495"/>
      <c r="J172" s="495"/>
      <c r="K172" s="495">
        <f>'Scores and stats'!RP16</f>
        <v>0</v>
      </c>
      <c r="L172" s="495"/>
      <c r="M172" s="495"/>
      <c r="N172" s="584">
        <f t="shared" si="6"/>
        <v>1</v>
      </c>
      <c r="O172" s="495"/>
      <c r="P172" s="495"/>
      <c r="R172" s="584">
        <v>0</v>
      </c>
      <c r="S172" s="584"/>
      <c r="T172" s="584"/>
      <c r="U172" s="584">
        <f>'Scores and stats'!QT16</f>
        <v>0</v>
      </c>
      <c r="V172" s="584"/>
      <c r="W172" s="584"/>
      <c r="X172" s="584">
        <f>'Scores and stats'!QU16</f>
        <v>0</v>
      </c>
      <c r="Y172" s="584"/>
      <c r="Z172" s="584"/>
      <c r="AA172" s="584">
        <f>'Scores and stats'!QV16</f>
        <v>2</v>
      </c>
      <c r="AB172" s="584"/>
      <c r="AC172" s="584"/>
      <c r="AD172" s="584">
        <f>'Scores and stats'!QW16</f>
        <v>8</v>
      </c>
      <c r="AE172" s="584"/>
      <c r="AF172" s="584"/>
      <c r="AH172" s="584">
        <f t="shared" si="1"/>
        <v>0</v>
      </c>
      <c r="AI172" s="495"/>
      <c r="AJ172" s="495"/>
      <c r="AK172" s="495">
        <f t="shared" si="2"/>
        <v>0</v>
      </c>
      <c r="AL172" s="495"/>
      <c r="AM172" s="495"/>
      <c r="AN172" s="586">
        <f t="shared" si="3"/>
        <v>0</v>
      </c>
      <c r="AO172" s="586"/>
      <c r="AP172" s="586"/>
      <c r="AQ172" s="586">
        <f t="shared" si="4"/>
        <v>2</v>
      </c>
      <c r="AR172" s="586"/>
      <c r="AS172" s="586"/>
      <c r="AT172" s="585">
        <f t="shared" si="5"/>
        <v>8</v>
      </c>
      <c r="AU172" s="585"/>
      <c r="AV172" s="585"/>
      <c r="AX172" s="584">
        <f>'Scores and stats'!RC16</f>
        <v>19</v>
      </c>
      <c r="AY172" s="584"/>
      <c r="AZ172" s="584"/>
      <c r="BA172" s="584"/>
      <c r="BB172" s="584">
        <f>'Scores and stats'!RF16</f>
        <v>19</v>
      </c>
      <c r="BC172" s="584"/>
      <c r="BD172" s="584"/>
      <c r="BE172" s="584"/>
      <c r="BF172" s="584">
        <f>'Scores and stats'!RK16</f>
        <v>19</v>
      </c>
      <c r="BG172" s="584"/>
      <c r="BH172" s="584"/>
      <c r="BI172" s="584"/>
      <c r="BJ172" s="584">
        <f>'Scores and stats'!RH16</f>
        <v>0</v>
      </c>
      <c r="BK172" s="584"/>
      <c r="BL172" s="584"/>
      <c r="BM172" s="584"/>
      <c r="BN172" s="584">
        <f>'Scores and stats'!RM16</f>
        <v>0</v>
      </c>
      <c r="BO172" s="584"/>
      <c r="BP172" s="584"/>
      <c r="BQ172" s="584"/>
    </row>
    <row r="173" spans="1:69" x14ac:dyDescent="0.2">
      <c r="A173" s="496" t="str">
        <f>'Name List'!B17</f>
        <v>Gareth Davies</v>
      </c>
      <c r="B173" s="496"/>
      <c r="C173" s="496"/>
      <c r="D173" s="496"/>
      <c r="E173" s="496"/>
      <c r="F173" s="496"/>
      <c r="G173" s="587">
        <f>'Scores and stats'!QY17</f>
        <v>4</v>
      </c>
      <c r="H173" s="496"/>
      <c r="I173" s="496"/>
      <c r="J173" s="496"/>
      <c r="K173" s="496">
        <f>'Scores and stats'!RP17</f>
        <v>1</v>
      </c>
      <c r="L173" s="496"/>
      <c r="M173" s="496"/>
      <c r="N173" s="587">
        <f t="shared" si="6"/>
        <v>5</v>
      </c>
      <c r="O173" s="496"/>
      <c r="P173" s="496"/>
      <c r="R173" s="587">
        <v>0</v>
      </c>
      <c r="S173" s="587"/>
      <c r="T173" s="587"/>
      <c r="U173" s="587">
        <f>'Scores and stats'!QT17</f>
        <v>0</v>
      </c>
      <c r="V173" s="587"/>
      <c r="W173" s="587"/>
      <c r="X173" s="587">
        <f>'Scores and stats'!QU17</f>
        <v>3</v>
      </c>
      <c r="Y173" s="587"/>
      <c r="Z173" s="587"/>
      <c r="AA173" s="587">
        <f>'Scores and stats'!QV17</f>
        <v>31</v>
      </c>
      <c r="AB173" s="587"/>
      <c r="AC173" s="587"/>
      <c r="AD173" s="587">
        <f>'Scores and stats'!QW17</f>
        <v>12</v>
      </c>
      <c r="AE173" s="587"/>
      <c r="AF173" s="587"/>
      <c r="AH173" s="587">
        <f t="shared" si="1"/>
        <v>0</v>
      </c>
      <c r="AI173" s="496"/>
      <c r="AJ173" s="496"/>
      <c r="AK173" s="496">
        <f t="shared" si="2"/>
        <v>0</v>
      </c>
      <c r="AL173" s="496"/>
      <c r="AM173" s="496"/>
      <c r="AN173" s="588">
        <f t="shared" si="3"/>
        <v>0.6</v>
      </c>
      <c r="AO173" s="588"/>
      <c r="AP173" s="588"/>
      <c r="AQ173" s="588">
        <f t="shared" si="4"/>
        <v>6.2</v>
      </c>
      <c r="AR173" s="588"/>
      <c r="AS173" s="588"/>
      <c r="AT173" s="589">
        <f t="shared" si="5"/>
        <v>3</v>
      </c>
      <c r="AU173" s="589"/>
      <c r="AV173" s="589"/>
      <c r="AX173" s="587">
        <f>'Scores and stats'!RC17</f>
        <v>30</v>
      </c>
      <c r="AY173" s="587"/>
      <c r="AZ173" s="587"/>
      <c r="BA173" s="587"/>
      <c r="BB173" s="587">
        <f>'Scores and stats'!RF17</f>
        <v>26</v>
      </c>
      <c r="BC173" s="587"/>
      <c r="BD173" s="587"/>
      <c r="BE173" s="587"/>
      <c r="BF173" s="587">
        <f>'Scores and stats'!RK17</f>
        <v>27.75</v>
      </c>
      <c r="BG173" s="587"/>
      <c r="BH173" s="587"/>
      <c r="BI173" s="587"/>
      <c r="BJ173" s="587">
        <f>'Scores and stats'!RH17</f>
        <v>26</v>
      </c>
      <c r="BK173" s="587"/>
      <c r="BL173" s="587"/>
      <c r="BM173" s="587"/>
      <c r="BN173" s="587">
        <f>'Scores and stats'!RM17</f>
        <v>82</v>
      </c>
      <c r="BO173" s="587"/>
      <c r="BP173" s="587"/>
      <c r="BQ173" s="587"/>
    </row>
    <row r="174" spans="1:69" x14ac:dyDescent="0.2">
      <c r="A174" s="495" t="str">
        <f>'Name List'!B18</f>
        <v>Peter Donovan</v>
      </c>
      <c r="B174" s="495"/>
      <c r="C174" s="495"/>
      <c r="D174" s="495"/>
      <c r="E174" s="495"/>
      <c r="F174" s="495"/>
      <c r="G174" s="584">
        <f>'Scores and stats'!QY18</f>
        <v>0</v>
      </c>
      <c r="H174" s="495"/>
      <c r="I174" s="495"/>
      <c r="J174" s="495"/>
      <c r="K174" s="495">
        <f>'Scores and stats'!RP18</f>
        <v>0</v>
      </c>
      <c r="L174" s="495"/>
      <c r="M174" s="495"/>
      <c r="N174" s="584">
        <f t="shared" si="6"/>
        <v>0</v>
      </c>
      <c r="O174" s="495"/>
      <c r="P174" s="495"/>
      <c r="R174" s="584">
        <v>0</v>
      </c>
      <c r="S174" s="584"/>
      <c r="T174" s="584"/>
      <c r="U174" s="584">
        <f>'Scores and stats'!QT18</f>
        <v>0</v>
      </c>
      <c r="V174" s="584"/>
      <c r="W174" s="584"/>
      <c r="X174" s="584">
        <f>'Scores and stats'!QU18</f>
        <v>0</v>
      </c>
      <c r="Y174" s="584"/>
      <c r="Z174" s="584"/>
      <c r="AA174" s="584">
        <f>'Scores and stats'!QV18</f>
        <v>0</v>
      </c>
      <c r="AB174" s="584"/>
      <c r="AC174" s="584"/>
      <c r="AD174" s="584">
        <f>'Scores and stats'!QW18</f>
        <v>0</v>
      </c>
      <c r="AE174" s="584"/>
      <c r="AF174" s="584"/>
      <c r="AH174" s="584">
        <f t="shared" si="1"/>
        <v>0</v>
      </c>
      <c r="AI174" s="495"/>
      <c r="AJ174" s="495"/>
      <c r="AK174" s="495">
        <f t="shared" si="2"/>
        <v>0</v>
      </c>
      <c r="AL174" s="495"/>
      <c r="AM174" s="495"/>
      <c r="AN174" s="586">
        <f t="shared" si="3"/>
        <v>0</v>
      </c>
      <c r="AO174" s="586"/>
      <c r="AP174" s="586"/>
      <c r="AQ174" s="586">
        <f t="shared" si="4"/>
        <v>0</v>
      </c>
      <c r="AR174" s="586"/>
      <c r="AS174" s="586"/>
      <c r="AT174" s="585">
        <f t="shared" si="5"/>
        <v>0</v>
      </c>
      <c r="AU174" s="585"/>
      <c r="AV174" s="585"/>
      <c r="AX174" s="584">
        <f>'Scores and stats'!RC18</f>
        <v>0</v>
      </c>
      <c r="AY174" s="584"/>
      <c r="AZ174" s="584"/>
      <c r="BA174" s="584"/>
      <c r="BB174" s="584">
        <f>'Scores and stats'!RF18</f>
        <v>0</v>
      </c>
      <c r="BC174" s="584"/>
      <c r="BD174" s="584"/>
      <c r="BE174" s="584"/>
      <c r="BF174" s="584">
        <f>'Scores and stats'!RK18</f>
        <v>0</v>
      </c>
      <c r="BG174" s="584"/>
      <c r="BH174" s="584"/>
      <c r="BI174" s="584"/>
      <c r="BJ174" s="584">
        <f>'Scores and stats'!RH18</f>
        <v>0</v>
      </c>
      <c r="BK174" s="584"/>
      <c r="BL174" s="584"/>
      <c r="BM174" s="584"/>
      <c r="BN174" s="584">
        <f>'Scores and stats'!RM18</f>
        <v>0</v>
      </c>
      <c r="BO174" s="584"/>
      <c r="BP174" s="584"/>
      <c r="BQ174" s="584"/>
    </row>
    <row r="175" spans="1:69" x14ac:dyDescent="0.2">
      <c r="A175" s="496" t="str">
        <f>'Name List'!B19</f>
        <v>James Dunn</v>
      </c>
      <c r="B175" s="496"/>
      <c r="C175" s="496"/>
      <c r="D175" s="496"/>
      <c r="E175" s="496"/>
      <c r="F175" s="496"/>
      <c r="G175" s="587">
        <f>'Scores and stats'!QY19</f>
        <v>1</v>
      </c>
      <c r="H175" s="496"/>
      <c r="I175" s="496"/>
      <c r="J175" s="496"/>
      <c r="K175" s="496">
        <f>'Scores and stats'!RP19</f>
        <v>0</v>
      </c>
      <c r="L175" s="496"/>
      <c r="M175" s="496"/>
      <c r="N175" s="587">
        <f t="shared" si="6"/>
        <v>1</v>
      </c>
      <c r="O175" s="496"/>
      <c r="P175" s="496"/>
      <c r="R175" s="587">
        <v>0</v>
      </c>
      <c r="S175" s="587"/>
      <c r="T175" s="587"/>
      <c r="U175" s="587">
        <f>'Scores and stats'!QT19</f>
        <v>1</v>
      </c>
      <c r="V175" s="587"/>
      <c r="W175" s="587"/>
      <c r="X175" s="587">
        <f>'Scores and stats'!QU19</f>
        <v>2</v>
      </c>
      <c r="Y175" s="587"/>
      <c r="Z175" s="587"/>
      <c r="AA175" s="587">
        <f>'Scores and stats'!QV19</f>
        <v>15</v>
      </c>
      <c r="AB175" s="587"/>
      <c r="AC175" s="587"/>
      <c r="AD175" s="587">
        <f>'Scores and stats'!QW19</f>
        <v>0</v>
      </c>
      <c r="AE175" s="587"/>
      <c r="AF175" s="587"/>
      <c r="AH175" s="587">
        <f t="shared" si="1"/>
        <v>0</v>
      </c>
      <c r="AI175" s="496"/>
      <c r="AJ175" s="496"/>
      <c r="AK175" s="496">
        <f t="shared" si="2"/>
        <v>1</v>
      </c>
      <c r="AL175" s="496"/>
      <c r="AM175" s="496"/>
      <c r="AN175" s="588">
        <f t="shared" si="3"/>
        <v>2</v>
      </c>
      <c r="AO175" s="588"/>
      <c r="AP175" s="588"/>
      <c r="AQ175" s="588">
        <f t="shared" si="4"/>
        <v>15</v>
      </c>
      <c r="AR175" s="588"/>
      <c r="AS175" s="588"/>
      <c r="AT175" s="589">
        <f t="shared" si="5"/>
        <v>0</v>
      </c>
      <c r="AU175" s="589"/>
      <c r="AV175" s="589"/>
      <c r="AX175" s="587">
        <f>'Scores and stats'!RC19</f>
        <v>37</v>
      </c>
      <c r="AY175" s="587"/>
      <c r="AZ175" s="587"/>
      <c r="BA175" s="587"/>
      <c r="BB175" s="587">
        <f>'Scores and stats'!RF19</f>
        <v>37</v>
      </c>
      <c r="BC175" s="587"/>
      <c r="BD175" s="587"/>
      <c r="BE175" s="587"/>
      <c r="BF175" s="587">
        <f>'Scores and stats'!RK19</f>
        <v>37</v>
      </c>
      <c r="BG175" s="587"/>
      <c r="BH175" s="587"/>
      <c r="BI175" s="587"/>
      <c r="BJ175" s="587">
        <f>'Scores and stats'!RH19</f>
        <v>0</v>
      </c>
      <c r="BK175" s="587"/>
      <c r="BL175" s="587"/>
      <c r="BM175" s="587"/>
      <c r="BN175" s="587">
        <f>'Scores and stats'!RM19</f>
        <v>0</v>
      </c>
      <c r="BO175" s="587"/>
      <c r="BP175" s="587"/>
      <c r="BQ175" s="587"/>
    </row>
    <row r="176" spans="1:69" x14ac:dyDescent="0.2">
      <c r="A176" s="495" t="str">
        <f>'Name List'!B20</f>
        <v>Gordon Fielding</v>
      </c>
      <c r="B176" s="495"/>
      <c r="C176" s="495"/>
      <c r="D176" s="495"/>
      <c r="E176" s="495"/>
      <c r="F176" s="495"/>
      <c r="G176" s="584">
        <f>'Scores and stats'!QY20</f>
        <v>0</v>
      </c>
      <c r="H176" s="495"/>
      <c r="I176" s="495"/>
      <c r="J176" s="495"/>
      <c r="K176" s="495">
        <f>'Scores and stats'!RP20</f>
        <v>0</v>
      </c>
      <c r="L176" s="495"/>
      <c r="M176" s="495"/>
      <c r="N176" s="584">
        <f t="shared" si="6"/>
        <v>0</v>
      </c>
      <c r="O176" s="495"/>
      <c r="P176" s="495"/>
      <c r="R176" s="584">
        <v>0</v>
      </c>
      <c r="S176" s="584"/>
      <c r="T176" s="584"/>
      <c r="U176" s="584">
        <f>'Scores and stats'!QT20</f>
        <v>0</v>
      </c>
      <c r="V176" s="584"/>
      <c r="W176" s="584"/>
      <c r="X176" s="584">
        <f>'Scores and stats'!QU20</f>
        <v>0</v>
      </c>
      <c r="Y176" s="584"/>
      <c r="Z176" s="584"/>
      <c r="AA176" s="584">
        <f>'Scores and stats'!QV20</f>
        <v>0</v>
      </c>
      <c r="AB176" s="584"/>
      <c r="AC176" s="584"/>
      <c r="AD176" s="584">
        <f>'Scores and stats'!QW20</f>
        <v>0</v>
      </c>
      <c r="AE176" s="584"/>
      <c r="AF176" s="584"/>
      <c r="AH176" s="584">
        <f t="shared" si="1"/>
        <v>0</v>
      </c>
      <c r="AI176" s="495"/>
      <c r="AJ176" s="495"/>
      <c r="AK176" s="495">
        <f t="shared" si="2"/>
        <v>0</v>
      </c>
      <c r="AL176" s="495"/>
      <c r="AM176" s="495"/>
      <c r="AN176" s="586">
        <f t="shared" si="3"/>
        <v>0</v>
      </c>
      <c r="AO176" s="586"/>
      <c r="AP176" s="586"/>
      <c r="AQ176" s="586">
        <f t="shared" si="4"/>
        <v>0</v>
      </c>
      <c r="AR176" s="586"/>
      <c r="AS176" s="586"/>
      <c r="AT176" s="585">
        <f t="shared" si="5"/>
        <v>0</v>
      </c>
      <c r="AU176" s="585"/>
      <c r="AV176" s="585"/>
      <c r="AX176" s="584">
        <f>'Scores and stats'!RC20</f>
        <v>0</v>
      </c>
      <c r="AY176" s="584"/>
      <c r="AZ176" s="584"/>
      <c r="BA176" s="584"/>
      <c r="BB176" s="584">
        <f>'Scores and stats'!RF20</f>
        <v>0</v>
      </c>
      <c r="BC176" s="584"/>
      <c r="BD176" s="584"/>
      <c r="BE176" s="584"/>
      <c r="BF176" s="584">
        <f>'Scores and stats'!RK20</f>
        <v>0</v>
      </c>
      <c r="BG176" s="584"/>
      <c r="BH176" s="584"/>
      <c r="BI176" s="584"/>
      <c r="BJ176" s="584">
        <f>'Scores and stats'!RH20</f>
        <v>0</v>
      </c>
      <c r="BK176" s="584"/>
      <c r="BL176" s="584"/>
      <c r="BM176" s="584"/>
      <c r="BN176" s="584">
        <f>'Scores and stats'!RM20</f>
        <v>0</v>
      </c>
      <c r="BO176" s="584"/>
      <c r="BP176" s="584"/>
      <c r="BQ176" s="584"/>
    </row>
    <row r="177" spans="1:69" x14ac:dyDescent="0.2">
      <c r="A177" s="496" t="str">
        <f>'Name List'!B21</f>
        <v>Paul Fitzgerald</v>
      </c>
      <c r="B177" s="496"/>
      <c r="C177" s="496"/>
      <c r="D177" s="496"/>
      <c r="E177" s="496"/>
      <c r="F177" s="496"/>
      <c r="G177" s="587">
        <f>'Scores and stats'!QY21</f>
        <v>4</v>
      </c>
      <c r="H177" s="496"/>
      <c r="I177" s="496"/>
      <c r="J177" s="496"/>
      <c r="K177" s="496">
        <f>'Scores and stats'!RP21</f>
        <v>0</v>
      </c>
      <c r="L177" s="496"/>
      <c r="M177" s="496"/>
      <c r="N177" s="587">
        <f t="shared" si="6"/>
        <v>4</v>
      </c>
      <c r="O177" s="496"/>
      <c r="P177" s="496"/>
      <c r="R177" s="587">
        <v>0</v>
      </c>
      <c r="S177" s="587"/>
      <c r="T177" s="587"/>
      <c r="U177" s="587">
        <f>'Scores and stats'!QT21</f>
        <v>0</v>
      </c>
      <c r="V177" s="587"/>
      <c r="W177" s="587"/>
      <c r="X177" s="587">
        <f>'Scores and stats'!QU21</f>
        <v>3</v>
      </c>
      <c r="Y177" s="587"/>
      <c r="Z177" s="587"/>
      <c r="AA177" s="587">
        <f>'Scores and stats'!QV21</f>
        <v>21</v>
      </c>
      <c r="AB177" s="587"/>
      <c r="AC177" s="587"/>
      <c r="AD177" s="587">
        <f>'Scores and stats'!QW21</f>
        <v>7</v>
      </c>
      <c r="AE177" s="587"/>
      <c r="AF177" s="587"/>
      <c r="AH177" s="587">
        <f t="shared" si="1"/>
        <v>0</v>
      </c>
      <c r="AI177" s="496"/>
      <c r="AJ177" s="496"/>
      <c r="AK177" s="496">
        <f t="shared" si="2"/>
        <v>0</v>
      </c>
      <c r="AL177" s="496"/>
      <c r="AM177" s="496"/>
      <c r="AN177" s="588">
        <f t="shared" si="3"/>
        <v>0.75</v>
      </c>
      <c r="AO177" s="588"/>
      <c r="AP177" s="588"/>
      <c r="AQ177" s="588">
        <f t="shared" si="4"/>
        <v>5.25</v>
      </c>
      <c r="AR177" s="588"/>
      <c r="AS177" s="588"/>
      <c r="AT177" s="589">
        <f t="shared" si="5"/>
        <v>1.75</v>
      </c>
      <c r="AU177" s="589"/>
      <c r="AV177" s="589"/>
      <c r="AX177" s="587">
        <f>'Scores and stats'!RC21</f>
        <v>39</v>
      </c>
      <c r="AY177" s="587"/>
      <c r="AZ177" s="587"/>
      <c r="BA177" s="587"/>
      <c r="BB177" s="587">
        <f>'Scores and stats'!RF21</f>
        <v>27</v>
      </c>
      <c r="BC177" s="587"/>
      <c r="BD177" s="587"/>
      <c r="BE177" s="587"/>
      <c r="BF177" s="587">
        <f>'Scores and stats'!RK21</f>
        <v>32.75</v>
      </c>
      <c r="BG177" s="587"/>
      <c r="BH177" s="587"/>
      <c r="BI177" s="587"/>
      <c r="BJ177" s="587">
        <f>'Scores and stats'!RH21</f>
        <v>0</v>
      </c>
      <c r="BK177" s="587"/>
      <c r="BL177" s="587"/>
      <c r="BM177" s="587"/>
      <c r="BN177" s="587">
        <f>'Scores and stats'!RM21</f>
        <v>0</v>
      </c>
      <c r="BO177" s="587"/>
      <c r="BP177" s="587"/>
      <c r="BQ177" s="587"/>
    </row>
    <row r="178" spans="1:69" x14ac:dyDescent="0.2">
      <c r="A178" s="495" t="str">
        <f>'Name List'!B22</f>
        <v>Ben Fleet</v>
      </c>
      <c r="B178" s="495"/>
      <c r="C178" s="495"/>
      <c r="D178" s="495"/>
      <c r="E178" s="495"/>
      <c r="F178" s="495"/>
      <c r="G178" s="584">
        <f>'Scores and stats'!QY22</f>
        <v>13</v>
      </c>
      <c r="H178" s="495"/>
      <c r="I178" s="495"/>
      <c r="J178" s="495"/>
      <c r="K178" s="495">
        <f>'Scores and stats'!RP22</f>
        <v>1</v>
      </c>
      <c r="L178" s="495"/>
      <c r="M178" s="495"/>
      <c r="N178" s="584">
        <f t="shared" si="6"/>
        <v>14</v>
      </c>
      <c r="O178" s="495"/>
      <c r="P178" s="495"/>
      <c r="R178" s="584">
        <v>0</v>
      </c>
      <c r="S178" s="584"/>
      <c r="T178" s="584"/>
      <c r="U178" s="584">
        <f>'Scores and stats'!QT22</f>
        <v>0</v>
      </c>
      <c r="V178" s="584"/>
      <c r="W178" s="584"/>
      <c r="X178" s="584">
        <f>'Scores and stats'!QU22</f>
        <v>8</v>
      </c>
      <c r="Y178" s="584"/>
      <c r="Z178" s="584"/>
      <c r="AA178" s="584">
        <f>'Scores and stats'!QV22</f>
        <v>77</v>
      </c>
      <c r="AB178" s="584"/>
      <c r="AC178" s="584"/>
      <c r="AD178" s="584">
        <f>'Scores and stats'!QW22</f>
        <v>27</v>
      </c>
      <c r="AE178" s="584"/>
      <c r="AF178" s="584"/>
      <c r="AH178" s="584">
        <f t="shared" si="1"/>
        <v>0</v>
      </c>
      <c r="AI178" s="495"/>
      <c r="AJ178" s="495"/>
      <c r="AK178" s="495">
        <f t="shared" si="2"/>
        <v>0</v>
      </c>
      <c r="AL178" s="495"/>
      <c r="AM178" s="495"/>
      <c r="AN178" s="586">
        <f t="shared" si="3"/>
        <v>0.5714285714285714</v>
      </c>
      <c r="AO178" s="586"/>
      <c r="AP178" s="586"/>
      <c r="AQ178" s="586">
        <f t="shared" si="4"/>
        <v>5.5</v>
      </c>
      <c r="AR178" s="586"/>
      <c r="AS178" s="586"/>
      <c r="AT178" s="585">
        <f t="shared" si="5"/>
        <v>2.0769230769230771</v>
      </c>
      <c r="AU178" s="585"/>
      <c r="AV178" s="585"/>
      <c r="AX178" s="584">
        <f>'Scores and stats'!RC22</f>
        <v>35</v>
      </c>
      <c r="AY178" s="584"/>
      <c r="AZ178" s="584"/>
      <c r="BA178" s="584"/>
      <c r="BB178" s="584">
        <f>'Scores and stats'!RF22</f>
        <v>24</v>
      </c>
      <c r="BC178" s="584"/>
      <c r="BD178" s="584"/>
      <c r="BE178" s="584"/>
      <c r="BF178" s="584">
        <f>'Scores and stats'!RK22</f>
        <v>28</v>
      </c>
      <c r="BG178" s="584"/>
      <c r="BH178" s="584"/>
      <c r="BI178" s="584"/>
      <c r="BJ178" s="584">
        <f>'Scores and stats'!RH22</f>
        <v>41</v>
      </c>
      <c r="BK178" s="584"/>
      <c r="BL178" s="584"/>
      <c r="BM178" s="584"/>
      <c r="BN178" s="584">
        <f>'Scores and stats'!RM22</f>
        <v>89</v>
      </c>
      <c r="BO178" s="584"/>
      <c r="BP178" s="584"/>
      <c r="BQ178" s="584"/>
    </row>
    <row r="179" spans="1:69" x14ac:dyDescent="0.2">
      <c r="A179" s="496" t="str">
        <f>'Name List'!B23</f>
        <v>Mike Forrest</v>
      </c>
      <c r="B179" s="496"/>
      <c r="C179" s="496"/>
      <c r="D179" s="496"/>
      <c r="E179" s="496"/>
      <c r="F179" s="496"/>
      <c r="G179" s="587">
        <f>'Scores and stats'!QY23</f>
        <v>10</v>
      </c>
      <c r="H179" s="496"/>
      <c r="I179" s="496"/>
      <c r="J179" s="496"/>
      <c r="K179" s="496">
        <f>'Scores and stats'!RP23</f>
        <v>0</v>
      </c>
      <c r="L179" s="496"/>
      <c r="M179" s="496"/>
      <c r="N179" s="587">
        <f t="shared" si="6"/>
        <v>10</v>
      </c>
      <c r="O179" s="496"/>
      <c r="P179" s="496"/>
      <c r="R179" s="587">
        <v>0</v>
      </c>
      <c r="S179" s="587"/>
      <c r="T179" s="587"/>
      <c r="U179" s="587">
        <f>'Scores and stats'!QT23</f>
        <v>0</v>
      </c>
      <c r="V179" s="587"/>
      <c r="W179" s="587"/>
      <c r="X179" s="587">
        <f>'Scores and stats'!QU23</f>
        <v>0</v>
      </c>
      <c r="Y179" s="587"/>
      <c r="Z179" s="587"/>
      <c r="AA179" s="587">
        <f>'Scores and stats'!QV23</f>
        <v>26</v>
      </c>
      <c r="AB179" s="587"/>
      <c r="AC179" s="587"/>
      <c r="AD179" s="587">
        <f>'Scores and stats'!QW23</f>
        <v>27</v>
      </c>
      <c r="AE179" s="587"/>
      <c r="AF179" s="587"/>
      <c r="AH179" s="587">
        <f t="shared" si="1"/>
        <v>0</v>
      </c>
      <c r="AI179" s="496"/>
      <c r="AJ179" s="496"/>
      <c r="AK179" s="496">
        <f t="shared" si="2"/>
        <v>0</v>
      </c>
      <c r="AL179" s="496"/>
      <c r="AM179" s="496"/>
      <c r="AN179" s="588">
        <f t="shared" si="3"/>
        <v>0</v>
      </c>
      <c r="AO179" s="588"/>
      <c r="AP179" s="588"/>
      <c r="AQ179" s="588">
        <f t="shared" si="4"/>
        <v>2.6</v>
      </c>
      <c r="AR179" s="588"/>
      <c r="AS179" s="588"/>
      <c r="AT179" s="589">
        <f t="shared" si="5"/>
        <v>2.7</v>
      </c>
      <c r="AU179" s="589"/>
      <c r="AV179" s="589"/>
      <c r="AX179" s="587">
        <f>'Scores and stats'!RC23</f>
        <v>34</v>
      </c>
      <c r="AY179" s="587"/>
      <c r="AZ179" s="587"/>
      <c r="BA179" s="587"/>
      <c r="BB179" s="587">
        <f>'Scores and stats'!RF23</f>
        <v>23</v>
      </c>
      <c r="BC179" s="587"/>
      <c r="BD179" s="587"/>
      <c r="BE179" s="587"/>
      <c r="BF179" s="587">
        <f>'Scores and stats'!RK23</f>
        <v>28.8</v>
      </c>
      <c r="BG179" s="587"/>
      <c r="BH179" s="587"/>
      <c r="BI179" s="587"/>
      <c r="BJ179" s="587">
        <f>'Scores and stats'!RH23</f>
        <v>30</v>
      </c>
      <c r="BK179" s="587"/>
      <c r="BL179" s="587"/>
      <c r="BM179" s="587"/>
      <c r="BN179" s="587">
        <f>'Scores and stats'!RM23</f>
        <v>0</v>
      </c>
      <c r="BO179" s="587"/>
      <c r="BP179" s="587"/>
      <c r="BQ179" s="587"/>
    </row>
    <row r="180" spans="1:69" x14ac:dyDescent="0.2">
      <c r="A180" s="495" t="str">
        <f>'Name List'!B24</f>
        <v>Tony Forsyth-James</v>
      </c>
      <c r="B180" s="495"/>
      <c r="C180" s="495"/>
      <c r="D180" s="495"/>
      <c r="E180" s="495"/>
      <c r="F180" s="495"/>
      <c r="G180" s="584">
        <f>'Scores and stats'!QY24</f>
        <v>16</v>
      </c>
      <c r="H180" s="495"/>
      <c r="I180" s="495"/>
      <c r="J180" s="495"/>
      <c r="K180" s="495">
        <f>'Scores and stats'!RP24</f>
        <v>1</v>
      </c>
      <c r="L180" s="495"/>
      <c r="M180" s="495"/>
      <c r="N180" s="584">
        <f t="shared" si="6"/>
        <v>17</v>
      </c>
      <c r="O180" s="495"/>
      <c r="P180" s="495"/>
      <c r="R180" s="584">
        <v>0</v>
      </c>
      <c r="S180" s="584"/>
      <c r="T180" s="584"/>
      <c r="U180" s="584">
        <f>'Scores and stats'!QT24</f>
        <v>0</v>
      </c>
      <c r="V180" s="584"/>
      <c r="W180" s="584"/>
      <c r="X180" s="584">
        <f>'Scores and stats'!QU24</f>
        <v>6</v>
      </c>
      <c r="Y180" s="584"/>
      <c r="Z180" s="584"/>
      <c r="AA180" s="584">
        <f>'Scores and stats'!QV24</f>
        <v>82</v>
      </c>
      <c r="AB180" s="584"/>
      <c r="AC180" s="584"/>
      <c r="AD180" s="584">
        <f>'Scores and stats'!QW24</f>
        <v>38</v>
      </c>
      <c r="AE180" s="584"/>
      <c r="AF180" s="584"/>
      <c r="AH180" s="584">
        <f t="shared" si="1"/>
        <v>0</v>
      </c>
      <c r="AI180" s="495"/>
      <c r="AJ180" s="495"/>
      <c r="AK180" s="495">
        <f t="shared" si="2"/>
        <v>0</v>
      </c>
      <c r="AL180" s="495"/>
      <c r="AM180" s="495"/>
      <c r="AN180" s="586">
        <f t="shared" si="3"/>
        <v>0.35294117647058826</v>
      </c>
      <c r="AO180" s="586"/>
      <c r="AP180" s="586"/>
      <c r="AQ180" s="586">
        <f t="shared" si="4"/>
        <v>4.8235294117647056</v>
      </c>
      <c r="AR180" s="586"/>
      <c r="AS180" s="586"/>
      <c r="AT180" s="585">
        <f t="shared" si="5"/>
        <v>2.375</v>
      </c>
      <c r="AU180" s="585"/>
      <c r="AV180" s="585"/>
      <c r="AX180" s="584">
        <f>'Scores and stats'!RC24</f>
        <v>40</v>
      </c>
      <c r="AY180" s="584"/>
      <c r="AZ180" s="584"/>
      <c r="BA180" s="584"/>
      <c r="BB180" s="584">
        <f>'Scores and stats'!RF24</f>
        <v>23</v>
      </c>
      <c r="BC180" s="584"/>
      <c r="BD180" s="584"/>
      <c r="BE180" s="584"/>
      <c r="BF180" s="584">
        <f>'Scores and stats'!RK24</f>
        <v>29.8125</v>
      </c>
      <c r="BG180" s="584"/>
      <c r="BH180" s="584"/>
      <c r="BI180" s="584"/>
      <c r="BJ180" s="584">
        <f>'Scores and stats'!RH24</f>
        <v>38</v>
      </c>
      <c r="BK180" s="584"/>
      <c r="BL180" s="584"/>
      <c r="BM180" s="584"/>
      <c r="BN180" s="584">
        <f>'Scores and stats'!RM24</f>
        <v>102</v>
      </c>
      <c r="BO180" s="584"/>
      <c r="BP180" s="584"/>
      <c r="BQ180" s="584"/>
    </row>
    <row r="181" spans="1:69" x14ac:dyDescent="0.2">
      <c r="A181" s="496" t="str">
        <f>'Name List'!B25</f>
        <v>Archie Fraser</v>
      </c>
      <c r="B181" s="496"/>
      <c r="C181" s="496"/>
      <c r="D181" s="496"/>
      <c r="E181" s="496"/>
      <c r="F181" s="496"/>
      <c r="G181" s="587">
        <f>'Scores and stats'!QY25</f>
        <v>2</v>
      </c>
      <c r="H181" s="496"/>
      <c r="I181" s="496"/>
      <c r="J181" s="496"/>
      <c r="K181" s="496">
        <f>'Scores and stats'!RP25</f>
        <v>0</v>
      </c>
      <c r="L181" s="496"/>
      <c r="M181" s="496"/>
      <c r="N181" s="587">
        <f t="shared" si="6"/>
        <v>2</v>
      </c>
      <c r="O181" s="496"/>
      <c r="P181" s="496"/>
      <c r="R181" s="587">
        <v>0</v>
      </c>
      <c r="S181" s="587"/>
      <c r="T181" s="587"/>
      <c r="U181" s="587">
        <f>'Scores and stats'!QT25</f>
        <v>0</v>
      </c>
      <c r="V181" s="587"/>
      <c r="W181" s="587"/>
      <c r="X181" s="587">
        <f>'Scores and stats'!QU25</f>
        <v>3</v>
      </c>
      <c r="Y181" s="587"/>
      <c r="Z181" s="587"/>
      <c r="AA181" s="587">
        <f>'Scores and stats'!QV25</f>
        <v>13</v>
      </c>
      <c r="AB181" s="587"/>
      <c r="AC181" s="587"/>
      <c r="AD181" s="587">
        <f>'Scores and stats'!QW25</f>
        <v>3</v>
      </c>
      <c r="AE181" s="587"/>
      <c r="AF181" s="587"/>
      <c r="AH181" s="587">
        <f t="shared" si="1"/>
        <v>0</v>
      </c>
      <c r="AI181" s="496"/>
      <c r="AJ181" s="496"/>
      <c r="AK181" s="496">
        <f t="shared" si="2"/>
        <v>0</v>
      </c>
      <c r="AL181" s="496"/>
      <c r="AM181" s="496"/>
      <c r="AN181" s="588">
        <f t="shared" si="3"/>
        <v>1.5</v>
      </c>
      <c r="AO181" s="588"/>
      <c r="AP181" s="588"/>
      <c r="AQ181" s="588">
        <f t="shared" si="4"/>
        <v>6.5</v>
      </c>
      <c r="AR181" s="588"/>
      <c r="AS181" s="588"/>
      <c r="AT181" s="589">
        <f t="shared" si="5"/>
        <v>1.5</v>
      </c>
      <c r="AU181" s="589"/>
      <c r="AV181" s="589"/>
      <c r="AX181" s="587">
        <f>'Scores and stats'!RC25</f>
        <v>37</v>
      </c>
      <c r="AY181" s="587"/>
      <c r="AZ181" s="587"/>
      <c r="BA181" s="587"/>
      <c r="BB181" s="587">
        <f>'Scores and stats'!RF25</f>
        <v>36</v>
      </c>
      <c r="BC181" s="587"/>
      <c r="BD181" s="587"/>
      <c r="BE181" s="587"/>
      <c r="BF181" s="587">
        <f>'Scores and stats'!RK25</f>
        <v>36.5</v>
      </c>
      <c r="BG181" s="587"/>
      <c r="BH181" s="587"/>
      <c r="BI181" s="587"/>
      <c r="BJ181" s="587">
        <f>'Scores and stats'!RH25</f>
        <v>0</v>
      </c>
      <c r="BK181" s="587"/>
      <c r="BL181" s="587"/>
      <c r="BM181" s="587"/>
      <c r="BN181" s="587">
        <f>'Scores and stats'!RM25</f>
        <v>0</v>
      </c>
      <c r="BO181" s="587"/>
      <c r="BP181" s="587"/>
      <c r="BQ181" s="587"/>
    </row>
    <row r="182" spans="1:69" x14ac:dyDescent="0.2">
      <c r="A182" s="495" t="str">
        <f>'Name List'!B26</f>
        <v>Ross Fraser</v>
      </c>
      <c r="B182" s="495"/>
      <c r="C182" s="495"/>
      <c r="D182" s="495"/>
      <c r="E182" s="495"/>
      <c r="F182" s="495"/>
      <c r="G182" s="584">
        <f>'Scores and stats'!QY26</f>
        <v>3</v>
      </c>
      <c r="H182" s="495"/>
      <c r="I182" s="495"/>
      <c r="J182" s="495"/>
      <c r="K182" s="495">
        <f>'Scores and stats'!RP26</f>
        <v>0</v>
      </c>
      <c r="L182" s="495"/>
      <c r="M182" s="495"/>
      <c r="N182" s="584">
        <f t="shared" si="6"/>
        <v>3</v>
      </c>
      <c r="O182" s="495"/>
      <c r="P182" s="495"/>
      <c r="R182" s="584">
        <v>0</v>
      </c>
      <c r="S182" s="584"/>
      <c r="T182" s="584"/>
      <c r="U182" s="584">
        <f>'Scores and stats'!QT26</f>
        <v>0</v>
      </c>
      <c r="V182" s="584"/>
      <c r="W182" s="584"/>
      <c r="X182" s="584">
        <f>'Scores and stats'!QU26</f>
        <v>2</v>
      </c>
      <c r="Y182" s="584"/>
      <c r="Z182" s="584"/>
      <c r="AA182" s="584">
        <f>'Scores and stats'!QV26</f>
        <v>15</v>
      </c>
      <c r="AB182" s="584"/>
      <c r="AC182" s="584"/>
      <c r="AD182" s="584">
        <f>'Scores and stats'!QW26</f>
        <v>6</v>
      </c>
      <c r="AE182" s="584"/>
      <c r="AF182" s="584"/>
      <c r="AH182" s="584">
        <f t="shared" si="1"/>
        <v>0</v>
      </c>
      <c r="AI182" s="495"/>
      <c r="AJ182" s="495"/>
      <c r="AK182" s="495">
        <f t="shared" si="2"/>
        <v>0</v>
      </c>
      <c r="AL182" s="495"/>
      <c r="AM182" s="495"/>
      <c r="AN182" s="586">
        <f t="shared" si="3"/>
        <v>0.66666666666666663</v>
      </c>
      <c r="AO182" s="586"/>
      <c r="AP182" s="586"/>
      <c r="AQ182" s="586">
        <f t="shared" si="4"/>
        <v>5</v>
      </c>
      <c r="AR182" s="586"/>
      <c r="AS182" s="586"/>
      <c r="AT182" s="585">
        <f t="shared" si="5"/>
        <v>2</v>
      </c>
      <c r="AU182" s="585"/>
      <c r="AV182" s="585"/>
      <c r="AX182" s="584">
        <f>'Scores and stats'!RC26</f>
        <v>31</v>
      </c>
      <c r="AY182" s="584"/>
      <c r="AZ182" s="584"/>
      <c r="BA182" s="584"/>
      <c r="BB182" s="584">
        <f>'Scores and stats'!RF26</f>
        <v>29</v>
      </c>
      <c r="BC182" s="584"/>
      <c r="BD182" s="584"/>
      <c r="BE182" s="584"/>
      <c r="BF182" s="584">
        <f>'Scores and stats'!RK26</f>
        <v>31</v>
      </c>
      <c r="BG182" s="584"/>
      <c r="BH182" s="584"/>
      <c r="BI182" s="584"/>
      <c r="BJ182" s="584">
        <f>'Scores and stats'!RH26</f>
        <v>33</v>
      </c>
      <c r="BK182" s="584"/>
      <c r="BL182" s="584"/>
      <c r="BM182" s="584"/>
      <c r="BN182" s="584">
        <f>'Scores and stats'!RM26</f>
        <v>0</v>
      </c>
      <c r="BO182" s="584"/>
      <c r="BP182" s="584"/>
      <c r="BQ182" s="584"/>
    </row>
    <row r="183" spans="1:69" x14ac:dyDescent="0.2">
      <c r="A183" s="496" t="str">
        <f>'Name List'!B27</f>
        <v>Nick Garner</v>
      </c>
      <c r="B183" s="496"/>
      <c r="C183" s="496"/>
      <c r="D183" s="496"/>
      <c r="E183" s="496"/>
      <c r="F183" s="496"/>
      <c r="G183" s="587">
        <f>'Scores and stats'!QY27</f>
        <v>7</v>
      </c>
      <c r="H183" s="496"/>
      <c r="I183" s="496"/>
      <c r="J183" s="496"/>
      <c r="K183" s="496">
        <f>'Scores and stats'!RP27</f>
        <v>0</v>
      </c>
      <c r="L183" s="496"/>
      <c r="M183" s="496"/>
      <c r="N183" s="587">
        <f t="shared" si="6"/>
        <v>7</v>
      </c>
      <c r="O183" s="496"/>
      <c r="P183" s="496"/>
      <c r="R183" s="587">
        <v>0</v>
      </c>
      <c r="S183" s="587"/>
      <c r="T183" s="587"/>
      <c r="U183" s="587">
        <f>'Scores and stats'!QT27</f>
        <v>0</v>
      </c>
      <c r="V183" s="587"/>
      <c r="W183" s="587"/>
      <c r="X183" s="587">
        <f>'Scores and stats'!QU27</f>
        <v>4</v>
      </c>
      <c r="Y183" s="587"/>
      <c r="Z183" s="587"/>
      <c r="AA183" s="587">
        <f>'Scores and stats'!QV27</f>
        <v>31</v>
      </c>
      <c r="AB183" s="587"/>
      <c r="AC183" s="587"/>
      <c r="AD183" s="587">
        <f>'Scores and stats'!QW27</f>
        <v>17</v>
      </c>
      <c r="AE183" s="587"/>
      <c r="AF183" s="587"/>
      <c r="AH183" s="587">
        <f t="shared" si="1"/>
        <v>0</v>
      </c>
      <c r="AI183" s="496"/>
      <c r="AJ183" s="496"/>
      <c r="AK183" s="496">
        <f t="shared" si="2"/>
        <v>0</v>
      </c>
      <c r="AL183" s="496"/>
      <c r="AM183" s="496"/>
      <c r="AN183" s="588">
        <f t="shared" si="3"/>
        <v>0.5714285714285714</v>
      </c>
      <c r="AO183" s="588"/>
      <c r="AP183" s="588"/>
      <c r="AQ183" s="588">
        <f t="shared" si="4"/>
        <v>4.4285714285714288</v>
      </c>
      <c r="AR183" s="588"/>
      <c r="AS183" s="588"/>
      <c r="AT183" s="589">
        <f t="shared" si="5"/>
        <v>2.4285714285714284</v>
      </c>
      <c r="AU183" s="589"/>
      <c r="AV183" s="589"/>
      <c r="AX183" s="587">
        <f>'Scores and stats'!RC27</f>
        <v>34</v>
      </c>
      <c r="AY183" s="587"/>
      <c r="AZ183" s="587"/>
      <c r="BA183" s="587"/>
      <c r="BB183" s="587">
        <f>'Scores and stats'!RF27</f>
        <v>25</v>
      </c>
      <c r="BC183" s="587"/>
      <c r="BD183" s="587"/>
      <c r="BE183" s="587"/>
      <c r="BF183" s="587">
        <f>'Scores and stats'!RK27</f>
        <v>29.857142857142858</v>
      </c>
      <c r="BG183" s="587"/>
      <c r="BH183" s="587"/>
      <c r="BI183" s="587"/>
      <c r="BJ183" s="587">
        <f>'Scores and stats'!RH27</f>
        <v>31</v>
      </c>
      <c r="BK183" s="587"/>
      <c r="BL183" s="587"/>
      <c r="BM183" s="587"/>
      <c r="BN183" s="587">
        <f>'Scores and stats'!RM27</f>
        <v>0</v>
      </c>
      <c r="BO183" s="587"/>
      <c r="BP183" s="587"/>
      <c r="BQ183" s="587"/>
    </row>
    <row r="184" spans="1:69" x14ac:dyDescent="0.2">
      <c r="A184" s="495" t="str">
        <f>'Name List'!B28</f>
        <v>Stuart Gay</v>
      </c>
      <c r="B184" s="495"/>
      <c r="C184" s="495"/>
      <c r="D184" s="495"/>
      <c r="E184" s="495"/>
      <c r="F184" s="495"/>
      <c r="G184" s="584">
        <f>'Scores and stats'!QY28</f>
        <v>1</v>
      </c>
      <c r="H184" s="495"/>
      <c r="I184" s="495"/>
      <c r="J184" s="495"/>
      <c r="K184" s="495">
        <f>'Scores and stats'!RP28</f>
        <v>0</v>
      </c>
      <c r="L184" s="495"/>
      <c r="M184" s="495"/>
      <c r="N184" s="584">
        <f t="shared" si="6"/>
        <v>1</v>
      </c>
      <c r="O184" s="495"/>
      <c r="P184" s="495"/>
      <c r="R184" s="584">
        <v>0</v>
      </c>
      <c r="S184" s="584"/>
      <c r="T184" s="584"/>
      <c r="U184" s="584">
        <f>'Scores and stats'!QT28</f>
        <v>0</v>
      </c>
      <c r="V184" s="584"/>
      <c r="W184" s="584"/>
      <c r="X184" s="584">
        <f>'Scores and stats'!QU28</f>
        <v>0</v>
      </c>
      <c r="Y184" s="584"/>
      <c r="Z184" s="584"/>
      <c r="AA184" s="584">
        <f>'Scores and stats'!QV28</f>
        <v>5</v>
      </c>
      <c r="AB184" s="584"/>
      <c r="AC184" s="584"/>
      <c r="AD184" s="584">
        <f>'Scores and stats'!QW28</f>
        <v>1</v>
      </c>
      <c r="AE184" s="584"/>
      <c r="AF184" s="584"/>
      <c r="AH184" s="584">
        <f t="shared" si="1"/>
        <v>0</v>
      </c>
      <c r="AI184" s="495"/>
      <c r="AJ184" s="495"/>
      <c r="AK184" s="495">
        <f t="shared" si="2"/>
        <v>0</v>
      </c>
      <c r="AL184" s="495"/>
      <c r="AM184" s="495"/>
      <c r="AN184" s="586">
        <f t="shared" si="3"/>
        <v>0</v>
      </c>
      <c r="AO184" s="586"/>
      <c r="AP184" s="586"/>
      <c r="AQ184" s="586">
        <f t="shared" si="4"/>
        <v>5</v>
      </c>
      <c r="AR184" s="586"/>
      <c r="AS184" s="586"/>
      <c r="AT184" s="585">
        <f t="shared" si="5"/>
        <v>1</v>
      </c>
      <c r="AU184" s="585"/>
      <c r="AV184" s="585"/>
      <c r="AX184" s="584">
        <f>'Scores and stats'!RC28</f>
        <v>0</v>
      </c>
      <c r="AY184" s="584"/>
      <c r="AZ184" s="584"/>
      <c r="BA184" s="584"/>
      <c r="BB184" s="584">
        <f>'Scores and stats'!RF28</f>
        <v>0</v>
      </c>
      <c r="BC184" s="584"/>
      <c r="BD184" s="584"/>
      <c r="BE184" s="584"/>
      <c r="BF184" s="584">
        <f>'Scores and stats'!RK28</f>
        <v>39</v>
      </c>
      <c r="BG184" s="584"/>
      <c r="BH184" s="584"/>
      <c r="BI184" s="584"/>
      <c r="BJ184" s="584">
        <f>'Scores and stats'!RH28</f>
        <v>39</v>
      </c>
      <c r="BK184" s="584"/>
      <c r="BL184" s="584"/>
      <c r="BM184" s="584"/>
      <c r="BN184" s="584">
        <f>'Scores and stats'!RM28</f>
        <v>0</v>
      </c>
      <c r="BO184" s="584"/>
      <c r="BP184" s="584"/>
      <c r="BQ184" s="584"/>
    </row>
    <row r="185" spans="1:69" x14ac:dyDescent="0.2">
      <c r="A185" s="496" t="str">
        <f>'Name List'!B29</f>
        <v>Jordan Hall</v>
      </c>
      <c r="B185" s="496"/>
      <c r="C185" s="496"/>
      <c r="D185" s="496"/>
      <c r="E185" s="496"/>
      <c r="F185" s="496"/>
      <c r="G185" s="587">
        <f>'Scores and stats'!QY29</f>
        <v>1</v>
      </c>
      <c r="H185" s="496"/>
      <c r="I185" s="496"/>
      <c r="J185" s="496"/>
      <c r="K185" s="496">
        <f>'Scores and stats'!RP29</f>
        <v>0</v>
      </c>
      <c r="L185" s="496"/>
      <c r="M185" s="496"/>
      <c r="N185" s="587">
        <f t="shared" si="6"/>
        <v>1</v>
      </c>
      <c r="O185" s="496"/>
      <c r="P185" s="496"/>
      <c r="R185" s="587">
        <v>0</v>
      </c>
      <c r="S185" s="587"/>
      <c r="T185" s="587"/>
      <c r="U185" s="587">
        <f>'Scores and stats'!QT29</f>
        <v>1</v>
      </c>
      <c r="V185" s="587"/>
      <c r="W185" s="587"/>
      <c r="X185" s="587">
        <f>'Scores and stats'!QU29</f>
        <v>2</v>
      </c>
      <c r="Y185" s="587"/>
      <c r="Z185" s="587"/>
      <c r="AA185" s="587">
        <f>'Scores and stats'!QV29</f>
        <v>13</v>
      </c>
      <c r="AB185" s="587"/>
      <c r="AC185" s="587"/>
      <c r="AD185" s="587">
        <f>'Scores and stats'!QW29</f>
        <v>0</v>
      </c>
      <c r="AE185" s="587"/>
      <c r="AF185" s="587"/>
      <c r="AH185" s="587">
        <f t="shared" si="1"/>
        <v>0</v>
      </c>
      <c r="AI185" s="496"/>
      <c r="AJ185" s="496"/>
      <c r="AK185" s="496">
        <f t="shared" si="2"/>
        <v>1</v>
      </c>
      <c r="AL185" s="496"/>
      <c r="AM185" s="496"/>
      <c r="AN185" s="588">
        <f t="shared" si="3"/>
        <v>2</v>
      </c>
      <c r="AO185" s="588"/>
      <c r="AP185" s="588"/>
      <c r="AQ185" s="588">
        <f t="shared" si="4"/>
        <v>13</v>
      </c>
      <c r="AR185" s="588"/>
      <c r="AS185" s="588"/>
      <c r="AT185" s="589">
        <f t="shared" si="5"/>
        <v>0</v>
      </c>
      <c r="AU185" s="589"/>
      <c r="AV185" s="589"/>
      <c r="AX185" s="587">
        <f>'Scores and stats'!RC29</f>
        <v>38</v>
      </c>
      <c r="AY185" s="587"/>
      <c r="AZ185" s="587"/>
      <c r="BA185" s="587"/>
      <c r="BB185" s="587">
        <f>'Scores and stats'!RF29</f>
        <v>38</v>
      </c>
      <c r="BC185" s="587"/>
      <c r="BD185" s="587"/>
      <c r="BE185" s="587"/>
      <c r="BF185" s="587">
        <f>'Scores and stats'!RK29</f>
        <v>38</v>
      </c>
      <c r="BG185" s="587"/>
      <c r="BH185" s="587"/>
      <c r="BI185" s="587"/>
      <c r="BJ185" s="587">
        <f>'Scores and stats'!RH29</f>
        <v>0</v>
      </c>
      <c r="BK185" s="587"/>
      <c r="BL185" s="587"/>
      <c r="BM185" s="587"/>
      <c r="BN185" s="587">
        <f>'Scores and stats'!RM29</f>
        <v>0</v>
      </c>
      <c r="BO185" s="587"/>
      <c r="BP185" s="587"/>
      <c r="BQ185" s="587"/>
    </row>
    <row r="186" spans="1:69" x14ac:dyDescent="0.2">
      <c r="A186" s="495" t="str">
        <f>'Name List'!B30</f>
        <v>Gary Hall</v>
      </c>
      <c r="B186" s="495"/>
      <c r="C186" s="495"/>
      <c r="D186" s="495"/>
      <c r="E186" s="495"/>
      <c r="F186" s="495"/>
      <c r="G186" s="584">
        <f>'Scores and stats'!QY30</f>
        <v>1</v>
      </c>
      <c r="H186" s="495"/>
      <c r="I186" s="495"/>
      <c r="J186" s="495"/>
      <c r="K186" s="495">
        <f>'Scores and stats'!RP30</f>
        <v>0</v>
      </c>
      <c r="L186" s="495"/>
      <c r="M186" s="495"/>
      <c r="N186" s="584">
        <f t="shared" si="6"/>
        <v>1</v>
      </c>
      <c r="O186" s="495"/>
      <c r="P186" s="495"/>
      <c r="R186" s="584">
        <v>0</v>
      </c>
      <c r="S186" s="584"/>
      <c r="T186" s="584"/>
      <c r="U186" s="584">
        <f>'Scores and stats'!QT30</f>
        <v>0</v>
      </c>
      <c r="V186" s="584"/>
      <c r="W186" s="584"/>
      <c r="X186" s="584">
        <f>'Scores and stats'!QU30</f>
        <v>0</v>
      </c>
      <c r="Y186" s="584"/>
      <c r="Z186" s="584"/>
      <c r="AA186" s="584">
        <f>'Scores and stats'!QV30</f>
        <v>4</v>
      </c>
      <c r="AB186" s="584"/>
      <c r="AC186" s="584"/>
      <c r="AD186" s="584">
        <f>'Scores and stats'!QW30</f>
        <v>13</v>
      </c>
      <c r="AE186" s="584"/>
      <c r="AF186" s="584"/>
      <c r="AH186" s="584">
        <f t="shared" si="1"/>
        <v>0</v>
      </c>
      <c r="AI186" s="495"/>
      <c r="AJ186" s="495"/>
      <c r="AK186" s="495">
        <f t="shared" si="2"/>
        <v>0</v>
      </c>
      <c r="AL186" s="495"/>
      <c r="AM186" s="495"/>
      <c r="AN186" s="586">
        <f t="shared" si="3"/>
        <v>0</v>
      </c>
      <c r="AO186" s="586"/>
      <c r="AP186" s="586"/>
      <c r="AQ186" s="586">
        <f t="shared" si="4"/>
        <v>4</v>
      </c>
      <c r="AR186" s="586"/>
      <c r="AS186" s="586"/>
      <c r="AT186" s="585">
        <f t="shared" si="5"/>
        <v>13</v>
      </c>
      <c r="AU186" s="585"/>
      <c r="AV186" s="585"/>
      <c r="AX186" s="584">
        <f>'Scores and stats'!RC30</f>
        <v>9</v>
      </c>
      <c r="AY186" s="584"/>
      <c r="AZ186" s="584"/>
      <c r="BA186" s="584"/>
      <c r="BB186" s="584">
        <f>'Scores and stats'!RF30</f>
        <v>9</v>
      </c>
      <c r="BC186" s="584"/>
      <c r="BD186" s="584"/>
      <c r="BE186" s="584"/>
      <c r="BF186" s="584">
        <f>'Scores and stats'!RK30</f>
        <v>9</v>
      </c>
      <c r="BG186" s="584"/>
      <c r="BH186" s="584"/>
      <c r="BI186" s="584"/>
      <c r="BJ186" s="584">
        <f>'Scores and stats'!RH30</f>
        <v>0</v>
      </c>
      <c r="BK186" s="584"/>
      <c r="BL186" s="584"/>
      <c r="BM186" s="584"/>
      <c r="BN186" s="584">
        <f>'Scores and stats'!RM30</f>
        <v>0</v>
      </c>
      <c r="BO186" s="584"/>
      <c r="BP186" s="584"/>
      <c r="BQ186" s="584"/>
    </row>
    <row r="187" spans="1:69" x14ac:dyDescent="0.2">
      <c r="A187" s="496" t="str">
        <f>'Name List'!B31</f>
        <v>Anthony Harris</v>
      </c>
      <c r="B187" s="496"/>
      <c r="C187" s="496"/>
      <c r="D187" s="496"/>
      <c r="E187" s="496"/>
      <c r="F187" s="496"/>
      <c r="G187" s="587">
        <f>'Scores and stats'!QY31</f>
        <v>7</v>
      </c>
      <c r="H187" s="496"/>
      <c r="I187" s="496"/>
      <c r="J187" s="496"/>
      <c r="K187" s="496">
        <f>'Scores and stats'!RP31</f>
        <v>1</v>
      </c>
      <c r="L187" s="496"/>
      <c r="M187" s="496"/>
      <c r="N187" s="587">
        <f t="shared" si="6"/>
        <v>8</v>
      </c>
      <c r="O187" s="496"/>
      <c r="P187" s="496"/>
      <c r="R187" s="587">
        <v>0</v>
      </c>
      <c r="S187" s="587"/>
      <c r="T187" s="587"/>
      <c r="U187" s="587">
        <f>'Scores and stats'!QT31</f>
        <v>0</v>
      </c>
      <c r="V187" s="587"/>
      <c r="W187" s="587"/>
      <c r="X187" s="587">
        <f>'Scores and stats'!QU31</f>
        <v>4</v>
      </c>
      <c r="Y187" s="587"/>
      <c r="Z187" s="587"/>
      <c r="AA187" s="587">
        <f>'Scores and stats'!QV31</f>
        <v>55</v>
      </c>
      <c r="AB187" s="587"/>
      <c r="AC187" s="587"/>
      <c r="AD187" s="587">
        <f>'Scores and stats'!QW31</f>
        <v>11</v>
      </c>
      <c r="AE187" s="587"/>
      <c r="AF187" s="587"/>
      <c r="AH187" s="587">
        <f t="shared" si="1"/>
        <v>0</v>
      </c>
      <c r="AI187" s="496"/>
      <c r="AJ187" s="496"/>
      <c r="AK187" s="496">
        <f t="shared" si="2"/>
        <v>0</v>
      </c>
      <c r="AL187" s="496"/>
      <c r="AM187" s="496"/>
      <c r="AN187" s="588">
        <f t="shared" si="3"/>
        <v>0.5</v>
      </c>
      <c r="AO187" s="588"/>
      <c r="AP187" s="588"/>
      <c r="AQ187" s="588">
        <f t="shared" si="4"/>
        <v>6.875</v>
      </c>
      <c r="AR187" s="588"/>
      <c r="AS187" s="588"/>
      <c r="AT187" s="589">
        <f t="shared" si="5"/>
        <v>1.5714285714285714</v>
      </c>
      <c r="AU187" s="589"/>
      <c r="AV187" s="589"/>
      <c r="AX187" s="587">
        <f>'Scores and stats'!RC31</f>
        <v>38</v>
      </c>
      <c r="AY187" s="587"/>
      <c r="AZ187" s="587"/>
      <c r="BA187" s="587"/>
      <c r="BB187" s="587">
        <f>'Scores and stats'!RF31</f>
        <v>31</v>
      </c>
      <c r="BC187" s="587"/>
      <c r="BD187" s="587"/>
      <c r="BE187" s="587"/>
      <c r="BF187" s="587">
        <f>'Scores and stats'!RK31</f>
        <v>34.285714285714285</v>
      </c>
      <c r="BG187" s="587"/>
      <c r="BH187" s="587"/>
      <c r="BI187" s="587"/>
      <c r="BJ187" s="587">
        <f>'Scores and stats'!RH31</f>
        <v>0</v>
      </c>
      <c r="BK187" s="587"/>
      <c r="BL187" s="587"/>
      <c r="BM187" s="587"/>
      <c r="BN187" s="587">
        <f>'Scores and stats'!RM31</f>
        <v>95</v>
      </c>
      <c r="BO187" s="587"/>
      <c r="BP187" s="587"/>
      <c r="BQ187" s="587"/>
    </row>
    <row r="188" spans="1:69" x14ac:dyDescent="0.2">
      <c r="A188" s="495" t="str">
        <f>'Name List'!B32</f>
        <v>Neil Hart</v>
      </c>
      <c r="B188" s="495"/>
      <c r="C188" s="495"/>
      <c r="D188" s="495"/>
      <c r="E188" s="495"/>
      <c r="F188" s="495"/>
      <c r="G188" s="584">
        <f>'Scores and stats'!QY32</f>
        <v>6</v>
      </c>
      <c r="H188" s="495"/>
      <c r="I188" s="495"/>
      <c r="J188" s="495"/>
      <c r="K188" s="495">
        <f>'Scores and stats'!RP32</f>
        <v>0</v>
      </c>
      <c r="L188" s="495"/>
      <c r="M188" s="495"/>
      <c r="N188" s="584">
        <f t="shared" si="6"/>
        <v>6</v>
      </c>
      <c r="O188" s="495"/>
      <c r="P188" s="495"/>
      <c r="R188" s="584">
        <v>0</v>
      </c>
      <c r="S188" s="584"/>
      <c r="T188" s="584"/>
      <c r="U188" s="584">
        <f>'Scores and stats'!QT32</f>
        <v>0</v>
      </c>
      <c r="V188" s="584"/>
      <c r="W188" s="584"/>
      <c r="X188" s="584">
        <f>'Scores and stats'!QU32</f>
        <v>13</v>
      </c>
      <c r="Y188" s="584"/>
      <c r="Z188" s="584"/>
      <c r="AA188" s="584">
        <f>'Scores and stats'!QV32</f>
        <v>53</v>
      </c>
      <c r="AB188" s="584"/>
      <c r="AC188" s="584"/>
      <c r="AD188" s="584">
        <f>'Scores and stats'!QW32</f>
        <v>5</v>
      </c>
      <c r="AE188" s="584"/>
      <c r="AF188" s="584"/>
      <c r="AH188" s="584">
        <f t="shared" si="1"/>
        <v>0</v>
      </c>
      <c r="AI188" s="495"/>
      <c r="AJ188" s="495"/>
      <c r="AK188" s="495">
        <f t="shared" si="2"/>
        <v>0</v>
      </c>
      <c r="AL188" s="495"/>
      <c r="AM188" s="495"/>
      <c r="AN188" s="586">
        <f t="shared" si="3"/>
        <v>2.1666666666666665</v>
      </c>
      <c r="AO188" s="586"/>
      <c r="AP188" s="586"/>
      <c r="AQ188" s="586">
        <f t="shared" si="4"/>
        <v>8.8333333333333339</v>
      </c>
      <c r="AR188" s="586"/>
      <c r="AS188" s="586"/>
      <c r="AT188" s="585">
        <f t="shared" si="5"/>
        <v>0.83333333333333337</v>
      </c>
      <c r="AU188" s="585"/>
      <c r="AV188" s="585"/>
      <c r="AX188" s="584">
        <f>'Scores and stats'!RC32</f>
        <v>35</v>
      </c>
      <c r="AY188" s="584"/>
      <c r="AZ188" s="584"/>
      <c r="BA188" s="584"/>
      <c r="BB188" s="584">
        <f>'Scores and stats'!RF32</f>
        <v>27</v>
      </c>
      <c r="BC188" s="584"/>
      <c r="BD188" s="584"/>
      <c r="BE188" s="584"/>
      <c r="BF188" s="584">
        <f>'Scores and stats'!RK32</f>
        <v>32.333333333333336</v>
      </c>
      <c r="BG188" s="584"/>
      <c r="BH188" s="584"/>
      <c r="BI188" s="584"/>
      <c r="BJ188" s="584">
        <f>'Scores and stats'!RH32</f>
        <v>35</v>
      </c>
      <c r="BK188" s="584"/>
      <c r="BL188" s="584"/>
      <c r="BM188" s="584"/>
      <c r="BN188" s="584">
        <f>'Scores and stats'!RM32</f>
        <v>0</v>
      </c>
      <c r="BO188" s="584"/>
      <c r="BP188" s="584"/>
      <c r="BQ188" s="584"/>
    </row>
    <row r="189" spans="1:69" x14ac:dyDescent="0.2">
      <c r="A189" s="496" t="str">
        <f>'Name List'!B33</f>
        <v>Tony Hearson</v>
      </c>
      <c r="B189" s="496"/>
      <c r="C189" s="496"/>
      <c r="D189" s="496"/>
      <c r="E189" s="496"/>
      <c r="F189" s="496"/>
      <c r="G189" s="587">
        <f>'Scores and stats'!QY33</f>
        <v>0</v>
      </c>
      <c r="H189" s="496"/>
      <c r="I189" s="496"/>
      <c r="J189" s="496"/>
      <c r="K189" s="496">
        <f>'Scores and stats'!RP33</f>
        <v>0</v>
      </c>
      <c r="L189" s="496"/>
      <c r="M189" s="496"/>
      <c r="N189" s="587">
        <f t="shared" si="6"/>
        <v>0</v>
      </c>
      <c r="O189" s="496"/>
      <c r="P189" s="496"/>
      <c r="R189" s="587">
        <v>0</v>
      </c>
      <c r="S189" s="587"/>
      <c r="T189" s="587"/>
      <c r="U189" s="587">
        <f>'Scores and stats'!QT33</f>
        <v>0</v>
      </c>
      <c r="V189" s="587"/>
      <c r="W189" s="587"/>
      <c r="X189" s="587">
        <f>'Scores and stats'!QU33</f>
        <v>0</v>
      </c>
      <c r="Y189" s="587"/>
      <c r="Z189" s="587"/>
      <c r="AA189" s="587">
        <f>'Scores and stats'!QV33</f>
        <v>0</v>
      </c>
      <c r="AB189" s="587"/>
      <c r="AC189" s="587"/>
      <c r="AD189" s="587">
        <f>'Scores and stats'!QW33</f>
        <v>0</v>
      </c>
      <c r="AE189" s="587"/>
      <c r="AF189" s="587"/>
      <c r="AH189" s="587">
        <f t="shared" si="1"/>
        <v>0</v>
      </c>
      <c r="AI189" s="496"/>
      <c r="AJ189" s="496"/>
      <c r="AK189" s="496">
        <f t="shared" si="2"/>
        <v>0</v>
      </c>
      <c r="AL189" s="496"/>
      <c r="AM189" s="496"/>
      <c r="AN189" s="588">
        <f t="shared" si="3"/>
        <v>0</v>
      </c>
      <c r="AO189" s="588"/>
      <c r="AP189" s="588"/>
      <c r="AQ189" s="588">
        <f t="shared" si="4"/>
        <v>0</v>
      </c>
      <c r="AR189" s="588"/>
      <c r="AS189" s="588"/>
      <c r="AT189" s="589">
        <f t="shared" si="5"/>
        <v>0</v>
      </c>
      <c r="AU189" s="589"/>
      <c r="AV189" s="589"/>
      <c r="AX189" s="587">
        <f>'Scores and stats'!RC33</f>
        <v>0</v>
      </c>
      <c r="AY189" s="587"/>
      <c r="AZ189" s="587"/>
      <c r="BA189" s="587"/>
      <c r="BB189" s="587">
        <f>'Scores and stats'!RF33</f>
        <v>0</v>
      </c>
      <c r="BC189" s="587"/>
      <c r="BD189" s="587"/>
      <c r="BE189" s="587"/>
      <c r="BF189" s="587">
        <f>'Scores and stats'!RK33</f>
        <v>0</v>
      </c>
      <c r="BG189" s="587"/>
      <c r="BH189" s="587"/>
      <c r="BI189" s="587"/>
      <c r="BJ189" s="587">
        <f>'Scores and stats'!RH33</f>
        <v>0</v>
      </c>
      <c r="BK189" s="587"/>
      <c r="BL189" s="587"/>
      <c r="BM189" s="587"/>
      <c r="BN189" s="587">
        <f>'Scores and stats'!RM33</f>
        <v>0</v>
      </c>
      <c r="BO189" s="587"/>
      <c r="BP189" s="587"/>
      <c r="BQ189" s="587"/>
    </row>
    <row r="190" spans="1:69" x14ac:dyDescent="0.2">
      <c r="A190" s="495" t="str">
        <f>'Name List'!B34</f>
        <v>David Hilton</v>
      </c>
      <c r="B190" s="495"/>
      <c r="C190" s="495"/>
      <c r="D190" s="495"/>
      <c r="E190" s="495"/>
      <c r="F190" s="495"/>
      <c r="G190" s="584">
        <f>'Scores and stats'!QY34</f>
        <v>1</v>
      </c>
      <c r="H190" s="495"/>
      <c r="I190" s="495"/>
      <c r="J190" s="495"/>
      <c r="K190" s="495">
        <f>'Scores and stats'!RP34</f>
        <v>0</v>
      </c>
      <c r="L190" s="495"/>
      <c r="M190" s="495"/>
      <c r="N190" s="584">
        <f t="shared" si="6"/>
        <v>1</v>
      </c>
      <c r="O190" s="495"/>
      <c r="P190" s="495"/>
      <c r="R190" s="584">
        <v>0</v>
      </c>
      <c r="S190" s="584"/>
      <c r="T190" s="584"/>
      <c r="U190" s="584">
        <f>'Scores and stats'!QT34</f>
        <v>0</v>
      </c>
      <c r="V190" s="584"/>
      <c r="W190" s="584"/>
      <c r="X190" s="584">
        <f>'Scores and stats'!QU34</f>
        <v>1</v>
      </c>
      <c r="Y190" s="584"/>
      <c r="Z190" s="584"/>
      <c r="AA190" s="584">
        <f>'Scores and stats'!QV34</f>
        <v>7</v>
      </c>
      <c r="AB190" s="584"/>
      <c r="AC190" s="584"/>
      <c r="AD190" s="584">
        <f>'Scores and stats'!QW34</f>
        <v>2</v>
      </c>
      <c r="AE190" s="584"/>
      <c r="AF190" s="584"/>
      <c r="AH190" s="584">
        <f t="shared" si="1"/>
        <v>0</v>
      </c>
      <c r="AI190" s="495"/>
      <c r="AJ190" s="495"/>
      <c r="AK190" s="495">
        <f t="shared" si="2"/>
        <v>0</v>
      </c>
      <c r="AL190" s="495"/>
      <c r="AM190" s="495"/>
      <c r="AN190" s="586">
        <f t="shared" si="3"/>
        <v>1</v>
      </c>
      <c r="AO190" s="586"/>
      <c r="AP190" s="586"/>
      <c r="AQ190" s="586">
        <f t="shared" si="4"/>
        <v>7</v>
      </c>
      <c r="AR190" s="586"/>
      <c r="AS190" s="586"/>
      <c r="AT190" s="585">
        <f t="shared" si="5"/>
        <v>2</v>
      </c>
      <c r="AU190" s="585"/>
      <c r="AV190" s="585"/>
      <c r="AX190" s="584">
        <f>'Scores and stats'!RC34</f>
        <v>27</v>
      </c>
      <c r="AY190" s="584"/>
      <c r="AZ190" s="584"/>
      <c r="BA190" s="584"/>
      <c r="BB190" s="584">
        <f>'Scores and stats'!RF34</f>
        <v>27</v>
      </c>
      <c r="BC190" s="584"/>
      <c r="BD190" s="584"/>
      <c r="BE190" s="584"/>
      <c r="BF190" s="584">
        <f>'Scores and stats'!RK34</f>
        <v>27</v>
      </c>
      <c r="BG190" s="584"/>
      <c r="BH190" s="584"/>
      <c r="BI190" s="584"/>
      <c r="BJ190" s="584">
        <f>'Scores and stats'!RH34</f>
        <v>0</v>
      </c>
      <c r="BK190" s="584"/>
      <c r="BL190" s="584"/>
      <c r="BM190" s="584"/>
      <c r="BN190" s="584">
        <f>'Scores and stats'!RM34</f>
        <v>0</v>
      </c>
      <c r="BO190" s="584"/>
      <c r="BP190" s="584"/>
      <c r="BQ190" s="584"/>
    </row>
    <row r="191" spans="1:69" x14ac:dyDescent="0.2">
      <c r="A191" s="496" t="str">
        <f>'Name List'!B35</f>
        <v>Eoghan Hilton</v>
      </c>
      <c r="B191" s="496"/>
      <c r="C191" s="496"/>
      <c r="D191" s="496"/>
      <c r="E191" s="496"/>
      <c r="F191" s="496"/>
      <c r="G191" s="587">
        <f>'Scores and stats'!QY35</f>
        <v>2</v>
      </c>
      <c r="H191" s="496"/>
      <c r="I191" s="496"/>
      <c r="J191" s="496"/>
      <c r="K191" s="496">
        <f>'Scores and stats'!RP35</f>
        <v>0</v>
      </c>
      <c r="L191" s="496"/>
      <c r="M191" s="496"/>
      <c r="N191" s="587">
        <f t="shared" si="6"/>
        <v>2</v>
      </c>
      <c r="O191" s="496"/>
      <c r="P191" s="496"/>
      <c r="R191" s="587">
        <v>0</v>
      </c>
      <c r="S191" s="587"/>
      <c r="T191" s="587"/>
      <c r="U191" s="587">
        <f>'Scores and stats'!QT35</f>
        <v>0</v>
      </c>
      <c r="V191" s="587"/>
      <c r="W191" s="587"/>
      <c r="X191" s="587">
        <f>'Scores and stats'!QU35</f>
        <v>4</v>
      </c>
      <c r="Y191" s="587"/>
      <c r="Z191" s="587"/>
      <c r="AA191" s="587">
        <f>'Scores and stats'!QV35</f>
        <v>12</v>
      </c>
      <c r="AB191" s="587"/>
      <c r="AC191" s="587"/>
      <c r="AD191" s="587">
        <f>'Scores and stats'!QW35</f>
        <v>4</v>
      </c>
      <c r="AE191" s="587"/>
      <c r="AF191" s="587"/>
      <c r="AH191" s="587">
        <f t="shared" si="1"/>
        <v>0</v>
      </c>
      <c r="AI191" s="496"/>
      <c r="AJ191" s="496"/>
      <c r="AK191" s="496">
        <f t="shared" si="2"/>
        <v>0</v>
      </c>
      <c r="AL191" s="496"/>
      <c r="AM191" s="496"/>
      <c r="AN191" s="588">
        <f t="shared" si="3"/>
        <v>2</v>
      </c>
      <c r="AO191" s="588"/>
      <c r="AP191" s="588"/>
      <c r="AQ191" s="588">
        <f t="shared" si="4"/>
        <v>6</v>
      </c>
      <c r="AR191" s="588"/>
      <c r="AS191" s="588"/>
      <c r="AT191" s="589">
        <f t="shared" si="5"/>
        <v>2</v>
      </c>
      <c r="AU191" s="589"/>
      <c r="AV191" s="589"/>
      <c r="AX191" s="587">
        <f>'Scores and stats'!RC35</f>
        <v>38</v>
      </c>
      <c r="AY191" s="587"/>
      <c r="AZ191" s="587"/>
      <c r="BA191" s="587"/>
      <c r="BB191" s="587">
        <f>'Scores and stats'!RF35</f>
        <v>25</v>
      </c>
      <c r="BC191" s="587"/>
      <c r="BD191" s="587"/>
      <c r="BE191" s="587"/>
      <c r="BF191" s="587">
        <f>'Scores and stats'!RK35</f>
        <v>31.5</v>
      </c>
      <c r="BG191" s="587"/>
      <c r="BH191" s="587"/>
      <c r="BI191" s="587"/>
      <c r="BJ191" s="587">
        <f>'Scores and stats'!RH35</f>
        <v>0</v>
      </c>
      <c r="BK191" s="587"/>
      <c r="BL191" s="587"/>
      <c r="BM191" s="587"/>
      <c r="BN191" s="587">
        <f>'Scores and stats'!RM35</f>
        <v>0</v>
      </c>
      <c r="BO191" s="587"/>
      <c r="BP191" s="587"/>
      <c r="BQ191" s="587"/>
    </row>
    <row r="192" spans="1:69" x14ac:dyDescent="0.2">
      <c r="A192" s="495" t="str">
        <f>'Name List'!B36</f>
        <v>Martin Holder</v>
      </c>
      <c r="B192" s="495"/>
      <c r="C192" s="495"/>
      <c r="D192" s="495"/>
      <c r="E192" s="495"/>
      <c r="F192" s="495"/>
      <c r="G192" s="584">
        <f>'Scores and stats'!QY36</f>
        <v>0</v>
      </c>
      <c r="H192" s="495"/>
      <c r="I192" s="495"/>
      <c r="J192" s="495"/>
      <c r="K192" s="495">
        <f>'Scores and stats'!RP36</f>
        <v>0</v>
      </c>
      <c r="L192" s="495"/>
      <c r="M192" s="495"/>
      <c r="N192" s="584">
        <f t="shared" si="6"/>
        <v>0</v>
      </c>
      <c r="O192" s="495"/>
      <c r="P192" s="495"/>
      <c r="R192" s="584">
        <v>0</v>
      </c>
      <c r="S192" s="584"/>
      <c r="T192" s="584"/>
      <c r="U192" s="584">
        <f>'Scores and stats'!QT36</f>
        <v>0</v>
      </c>
      <c r="V192" s="584"/>
      <c r="W192" s="584"/>
      <c r="X192" s="584">
        <f>'Scores and stats'!QU36</f>
        <v>0</v>
      </c>
      <c r="Y192" s="584"/>
      <c r="Z192" s="584"/>
      <c r="AA192" s="584">
        <f>'Scores and stats'!QV36</f>
        <v>0</v>
      </c>
      <c r="AB192" s="584"/>
      <c r="AC192" s="584"/>
      <c r="AD192" s="584">
        <f>'Scores and stats'!QW36</f>
        <v>0</v>
      </c>
      <c r="AE192" s="584"/>
      <c r="AF192" s="584"/>
      <c r="AH192" s="584">
        <f t="shared" si="1"/>
        <v>0</v>
      </c>
      <c r="AI192" s="495"/>
      <c r="AJ192" s="495"/>
      <c r="AK192" s="495">
        <f t="shared" si="2"/>
        <v>0</v>
      </c>
      <c r="AL192" s="495"/>
      <c r="AM192" s="495"/>
      <c r="AN192" s="586">
        <f t="shared" si="3"/>
        <v>0</v>
      </c>
      <c r="AO192" s="586"/>
      <c r="AP192" s="586"/>
      <c r="AQ192" s="586">
        <f t="shared" si="4"/>
        <v>0</v>
      </c>
      <c r="AR192" s="586"/>
      <c r="AS192" s="586"/>
      <c r="AT192" s="585">
        <f t="shared" si="5"/>
        <v>0</v>
      </c>
      <c r="AU192" s="585"/>
      <c r="AV192" s="585"/>
      <c r="AX192" s="584">
        <f>'Scores and stats'!RC36</f>
        <v>0</v>
      </c>
      <c r="AY192" s="584"/>
      <c r="AZ192" s="584"/>
      <c r="BA192" s="584"/>
      <c r="BB192" s="584">
        <f>'Scores and stats'!RF36</f>
        <v>0</v>
      </c>
      <c r="BC192" s="584"/>
      <c r="BD192" s="584"/>
      <c r="BE192" s="584"/>
      <c r="BF192" s="584">
        <f>'Scores and stats'!RK36</f>
        <v>0</v>
      </c>
      <c r="BG192" s="584"/>
      <c r="BH192" s="584"/>
      <c r="BI192" s="584"/>
      <c r="BJ192" s="584">
        <f>'Scores and stats'!RH36</f>
        <v>0</v>
      </c>
      <c r="BK192" s="584"/>
      <c r="BL192" s="584"/>
      <c r="BM192" s="584"/>
      <c r="BN192" s="584">
        <f>'Scores and stats'!RM36</f>
        <v>0</v>
      </c>
      <c r="BO192" s="584"/>
      <c r="BP192" s="584"/>
      <c r="BQ192" s="584"/>
    </row>
    <row r="193" spans="1:69" x14ac:dyDescent="0.2">
      <c r="A193" s="496" t="str">
        <f>'Name List'!B37</f>
        <v>Justin Hunt</v>
      </c>
      <c r="B193" s="496"/>
      <c r="C193" s="496"/>
      <c r="D193" s="496"/>
      <c r="E193" s="496"/>
      <c r="F193" s="496"/>
      <c r="G193" s="587">
        <f>'Scores and stats'!QY37</f>
        <v>9</v>
      </c>
      <c r="H193" s="496"/>
      <c r="I193" s="496"/>
      <c r="J193" s="496"/>
      <c r="K193" s="496">
        <f>'Scores and stats'!RP37</f>
        <v>1</v>
      </c>
      <c r="L193" s="496"/>
      <c r="M193" s="496"/>
      <c r="N193" s="587">
        <f t="shared" si="6"/>
        <v>10</v>
      </c>
      <c r="O193" s="496"/>
      <c r="P193" s="496"/>
      <c r="R193" s="587">
        <v>0</v>
      </c>
      <c r="S193" s="587"/>
      <c r="T193" s="587"/>
      <c r="U193" s="587">
        <f>'Scores and stats'!QT37</f>
        <v>1</v>
      </c>
      <c r="V193" s="587"/>
      <c r="W193" s="587"/>
      <c r="X193" s="587">
        <f>'Scores and stats'!QU37</f>
        <v>15</v>
      </c>
      <c r="Y193" s="587"/>
      <c r="Z193" s="587"/>
      <c r="AA193" s="587">
        <f>'Scores and stats'!QV37</f>
        <v>80</v>
      </c>
      <c r="AB193" s="587"/>
      <c r="AC193" s="587"/>
      <c r="AD193" s="587">
        <f>'Scores and stats'!QW37</f>
        <v>8</v>
      </c>
      <c r="AE193" s="587"/>
      <c r="AF193" s="587"/>
      <c r="AH193" s="587">
        <f t="shared" si="1"/>
        <v>0</v>
      </c>
      <c r="AI193" s="496"/>
      <c r="AJ193" s="496"/>
      <c r="AK193" s="496">
        <f t="shared" si="2"/>
        <v>0.1</v>
      </c>
      <c r="AL193" s="496"/>
      <c r="AM193" s="496"/>
      <c r="AN193" s="588">
        <f t="shared" si="3"/>
        <v>1.5</v>
      </c>
      <c r="AO193" s="588"/>
      <c r="AP193" s="588"/>
      <c r="AQ193" s="588">
        <f t="shared" si="4"/>
        <v>8</v>
      </c>
      <c r="AR193" s="588"/>
      <c r="AS193" s="588"/>
      <c r="AT193" s="589">
        <f t="shared" si="5"/>
        <v>0.88888888888888884</v>
      </c>
      <c r="AU193" s="589"/>
      <c r="AV193" s="589"/>
      <c r="AX193" s="587">
        <f>'Scores and stats'!RC37</f>
        <v>42</v>
      </c>
      <c r="AY193" s="587"/>
      <c r="AZ193" s="587"/>
      <c r="BA193" s="587"/>
      <c r="BB193" s="587">
        <f>'Scores and stats'!RF37</f>
        <v>28</v>
      </c>
      <c r="BC193" s="587"/>
      <c r="BD193" s="587"/>
      <c r="BE193" s="587"/>
      <c r="BF193" s="587">
        <f>'Scores and stats'!RK37</f>
        <v>34.444444444444443</v>
      </c>
      <c r="BG193" s="587"/>
      <c r="BH193" s="587"/>
      <c r="BI193" s="587"/>
      <c r="BJ193" s="587">
        <f>'Scores and stats'!RH37</f>
        <v>34</v>
      </c>
      <c r="BK193" s="587"/>
      <c r="BL193" s="587"/>
      <c r="BM193" s="587"/>
      <c r="BN193" s="587">
        <f>'Scores and stats'!RM37</f>
        <v>82</v>
      </c>
      <c r="BO193" s="587"/>
      <c r="BP193" s="587"/>
      <c r="BQ193" s="587"/>
    </row>
    <row r="194" spans="1:69" x14ac:dyDescent="0.2">
      <c r="A194" s="495" t="str">
        <f>'Name List'!B38</f>
        <v>Mark Hutchinson</v>
      </c>
      <c r="B194" s="495"/>
      <c r="C194" s="495"/>
      <c r="D194" s="495"/>
      <c r="E194" s="495"/>
      <c r="F194" s="495"/>
      <c r="G194" s="584">
        <f>'Scores and stats'!QY38</f>
        <v>0</v>
      </c>
      <c r="H194" s="495"/>
      <c r="I194" s="495"/>
      <c r="J194" s="495"/>
      <c r="K194" s="495">
        <f>'Scores and stats'!RP38</f>
        <v>0</v>
      </c>
      <c r="L194" s="495"/>
      <c r="M194" s="495"/>
      <c r="N194" s="584">
        <f t="shared" si="6"/>
        <v>0</v>
      </c>
      <c r="O194" s="495"/>
      <c r="P194" s="495"/>
      <c r="R194" s="584">
        <v>0</v>
      </c>
      <c r="S194" s="584"/>
      <c r="T194" s="584"/>
      <c r="U194" s="584">
        <f>'Scores and stats'!QT38</f>
        <v>0</v>
      </c>
      <c r="V194" s="584"/>
      <c r="W194" s="584"/>
      <c r="X194" s="584">
        <f>'Scores and stats'!QU38</f>
        <v>0</v>
      </c>
      <c r="Y194" s="584"/>
      <c r="Z194" s="584"/>
      <c r="AA194" s="584">
        <f>'Scores and stats'!QV38</f>
        <v>0</v>
      </c>
      <c r="AB194" s="584"/>
      <c r="AC194" s="584"/>
      <c r="AD194" s="584">
        <f>'Scores and stats'!QW38</f>
        <v>0</v>
      </c>
      <c r="AE194" s="584"/>
      <c r="AF194" s="584"/>
      <c r="AH194" s="584">
        <f t="shared" si="1"/>
        <v>0</v>
      </c>
      <c r="AI194" s="495"/>
      <c r="AJ194" s="495"/>
      <c r="AK194" s="495">
        <f t="shared" si="2"/>
        <v>0</v>
      </c>
      <c r="AL194" s="495"/>
      <c r="AM194" s="495"/>
      <c r="AN194" s="586">
        <f t="shared" si="3"/>
        <v>0</v>
      </c>
      <c r="AO194" s="586"/>
      <c r="AP194" s="586"/>
      <c r="AQ194" s="586">
        <f t="shared" si="4"/>
        <v>0</v>
      </c>
      <c r="AR194" s="586"/>
      <c r="AS194" s="586"/>
      <c r="AT194" s="585">
        <f t="shared" si="5"/>
        <v>0</v>
      </c>
      <c r="AU194" s="585"/>
      <c r="AV194" s="585"/>
      <c r="AX194" s="584">
        <f>'Scores and stats'!RC38</f>
        <v>0</v>
      </c>
      <c r="AY194" s="584"/>
      <c r="AZ194" s="584"/>
      <c r="BA194" s="584"/>
      <c r="BB194" s="584">
        <f>'Scores and stats'!RF38</f>
        <v>0</v>
      </c>
      <c r="BC194" s="584"/>
      <c r="BD194" s="584"/>
      <c r="BE194" s="584"/>
      <c r="BF194" s="584">
        <f>'Scores and stats'!RK38</f>
        <v>0</v>
      </c>
      <c r="BG194" s="584"/>
      <c r="BH194" s="584"/>
      <c r="BI194" s="584"/>
      <c r="BJ194" s="584">
        <f>'Scores and stats'!RH38</f>
        <v>0</v>
      </c>
      <c r="BK194" s="584"/>
      <c r="BL194" s="584"/>
      <c r="BM194" s="584"/>
      <c r="BN194" s="584">
        <f>'Scores and stats'!RM38</f>
        <v>0</v>
      </c>
      <c r="BO194" s="584"/>
      <c r="BP194" s="584"/>
      <c r="BQ194" s="584"/>
    </row>
    <row r="195" spans="1:69" x14ac:dyDescent="0.2">
      <c r="A195" s="496" t="str">
        <f>'Name List'!B39</f>
        <v>Andy Johnson</v>
      </c>
      <c r="B195" s="496"/>
      <c r="C195" s="496"/>
      <c r="D195" s="496"/>
      <c r="E195" s="496"/>
      <c r="F195" s="496"/>
      <c r="G195" s="587">
        <f>'Scores and stats'!QY39</f>
        <v>12</v>
      </c>
      <c r="H195" s="496"/>
      <c r="I195" s="496"/>
      <c r="J195" s="496"/>
      <c r="K195" s="496">
        <f>'Scores and stats'!RP39</f>
        <v>1</v>
      </c>
      <c r="L195" s="496"/>
      <c r="M195" s="496"/>
      <c r="N195" s="587">
        <f t="shared" si="6"/>
        <v>13</v>
      </c>
      <c r="O195" s="496"/>
      <c r="P195" s="496"/>
      <c r="R195" s="587">
        <v>0</v>
      </c>
      <c r="S195" s="587"/>
      <c r="T195" s="587"/>
      <c r="U195" s="587">
        <f>'Scores and stats'!QT39</f>
        <v>0</v>
      </c>
      <c r="V195" s="587"/>
      <c r="W195" s="587"/>
      <c r="X195" s="587">
        <f>'Scores and stats'!QU39</f>
        <v>17</v>
      </c>
      <c r="Y195" s="587"/>
      <c r="Z195" s="587"/>
      <c r="AA195" s="587">
        <f>'Scores and stats'!QV39</f>
        <v>100</v>
      </c>
      <c r="AB195" s="587"/>
      <c r="AC195" s="587"/>
      <c r="AD195" s="587">
        <f>'Scores and stats'!QW39</f>
        <v>14</v>
      </c>
      <c r="AE195" s="587"/>
      <c r="AF195" s="587"/>
      <c r="AH195" s="587">
        <f t="shared" si="1"/>
        <v>0</v>
      </c>
      <c r="AI195" s="496"/>
      <c r="AJ195" s="496"/>
      <c r="AK195" s="496">
        <f t="shared" si="2"/>
        <v>0</v>
      </c>
      <c r="AL195" s="496"/>
      <c r="AM195" s="496"/>
      <c r="AN195" s="588">
        <f t="shared" si="3"/>
        <v>1.3076923076923077</v>
      </c>
      <c r="AO195" s="588"/>
      <c r="AP195" s="588"/>
      <c r="AQ195" s="588">
        <f t="shared" si="4"/>
        <v>7.6923076923076925</v>
      </c>
      <c r="AR195" s="588"/>
      <c r="AS195" s="588"/>
      <c r="AT195" s="589">
        <f t="shared" si="5"/>
        <v>1.1666666666666667</v>
      </c>
      <c r="AU195" s="589"/>
      <c r="AV195" s="589"/>
      <c r="AX195" s="587">
        <f>'Scores and stats'!RC39</f>
        <v>38</v>
      </c>
      <c r="AY195" s="587"/>
      <c r="AZ195" s="587"/>
      <c r="BA195" s="587"/>
      <c r="BB195" s="587">
        <f>'Scores and stats'!RF39</f>
        <v>26</v>
      </c>
      <c r="BC195" s="587"/>
      <c r="BD195" s="587"/>
      <c r="BE195" s="587"/>
      <c r="BF195" s="587">
        <f>'Scores and stats'!RK39</f>
        <v>29.75</v>
      </c>
      <c r="BG195" s="587"/>
      <c r="BH195" s="587"/>
      <c r="BI195" s="587"/>
      <c r="BJ195" s="587">
        <f>'Scores and stats'!RH39</f>
        <v>37</v>
      </c>
      <c r="BK195" s="587"/>
      <c r="BL195" s="587"/>
      <c r="BM195" s="587"/>
      <c r="BN195" s="587">
        <f>'Scores and stats'!RM39</f>
        <v>93</v>
      </c>
      <c r="BO195" s="587"/>
      <c r="BP195" s="587"/>
      <c r="BQ195" s="587"/>
    </row>
    <row r="196" spans="1:69" x14ac:dyDescent="0.2">
      <c r="A196" s="495" t="str">
        <f>'Name List'!B40</f>
        <v>Oli Lloyd</v>
      </c>
      <c r="B196" s="495"/>
      <c r="C196" s="495"/>
      <c r="D196" s="495"/>
      <c r="E196" s="495"/>
      <c r="F196" s="495"/>
      <c r="G196" s="584">
        <f>'Scores and stats'!QY40</f>
        <v>2</v>
      </c>
      <c r="H196" s="495"/>
      <c r="I196" s="495"/>
      <c r="J196" s="495"/>
      <c r="K196" s="495">
        <f>'Scores and stats'!RP40</f>
        <v>0</v>
      </c>
      <c r="L196" s="495"/>
      <c r="M196" s="495"/>
      <c r="N196" s="584">
        <f t="shared" si="6"/>
        <v>2</v>
      </c>
      <c r="O196" s="495"/>
      <c r="P196" s="495"/>
      <c r="R196" s="584">
        <v>0</v>
      </c>
      <c r="S196" s="584"/>
      <c r="T196" s="584"/>
      <c r="U196" s="584">
        <f>'Scores and stats'!QT40</f>
        <v>0</v>
      </c>
      <c r="V196" s="584"/>
      <c r="W196" s="584"/>
      <c r="X196" s="584">
        <f>'Scores and stats'!QU40</f>
        <v>1</v>
      </c>
      <c r="Y196" s="584"/>
      <c r="Z196" s="584"/>
      <c r="AA196" s="584">
        <f>'Scores and stats'!QV40</f>
        <v>17</v>
      </c>
      <c r="AB196" s="584"/>
      <c r="AC196" s="584"/>
      <c r="AD196" s="584">
        <f>'Scores and stats'!QW40</f>
        <v>4</v>
      </c>
      <c r="AE196" s="584"/>
      <c r="AF196" s="584"/>
      <c r="AH196" s="584">
        <f t="shared" si="1"/>
        <v>0</v>
      </c>
      <c r="AI196" s="495"/>
      <c r="AJ196" s="495"/>
      <c r="AK196" s="495">
        <f t="shared" si="2"/>
        <v>0</v>
      </c>
      <c r="AL196" s="495"/>
      <c r="AM196" s="495"/>
      <c r="AN196" s="586">
        <f t="shared" si="3"/>
        <v>0.5</v>
      </c>
      <c r="AO196" s="586"/>
      <c r="AP196" s="586"/>
      <c r="AQ196" s="586">
        <f t="shared" si="4"/>
        <v>8.5</v>
      </c>
      <c r="AR196" s="586"/>
      <c r="AS196" s="586"/>
      <c r="AT196" s="585">
        <f t="shared" si="5"/>
        <v>2</v>
      </c>
      <c r="AU196" s="585"/>
      <c r="AV196" s="585"/>
      <c r="AX196" s="584">
        <f>'Scores and stats'!RC40</f>
        <v>28</v>
      </c>
      <c r="AY196" s="584"/>
      <c r="AZ196" s="584"/>
      <c r="BA196" s="584"/>
      <c r="BB196" s="584">
        <f>'Scores and stats'!RF40</f>
        <v>28</v>
      </c>
      <c r="BC196" s="584"/>
      <c r="BD196" s="584"/>
      <c r="BE196" s="584"/>
      <c r="BF196" s="584">
        <f>'Scores and stats'!RK40</f>
        <v>30</v>
      </c>
      <c r="BG196" s="584"/>
      <c r="BH196" s="584"/>
      <c r="BI196" s="584"/>
      <c r="BJ196" s="584">
        <f>'Scores and stats'!RH40</f>
        <v>32</v>
      </c>
      <c r="BK196" s="584"/>
      <c r="BL196" s="584"/>
      <c r="BM196" s="584"/>
      <c r="BN196" s="584">
        <f>'Scores and stats'!RM40</f>
        <v>0</v>
      </c>
      <c r="BO196" s="584"/>
      <c r="BP196" s="584"/>
      <c r="BQ196" s="584"/>
    </row>
    <row r="197" spans="1:69" x14ac:dyDescent="0.2">
      <c r="A197" s="496" t="str">
        <f>'Name List'!B41</f>
        <v>Andy Lucey</v>
      </c>
      <c r="B197" s="496"/>
      <c r="C197" s="496"/>
      <c r="D197" s="496"/>
      <c r="E197" s="496"/>
      <c r="F197" s="496"/>
      <c r="G197" s="587">
        <f>'Scores and stats'!QY41</f>
        <v>0</v>
      </c>
      <c r="H197" s="496"/>
      <c r="I197" s="496"/>
      <c r="J197" s="496"/>
      <c r="K197" s="496">
        <f>'Scores and stats'!RP41</f>
        <v>0</v>
      </c>
      <c r="L197" s="496"/>
      <c r="M197" s="496"/>
      <c r="N197" s="587">
        <f t="shared" si="6"/>
        <v>0</v>
      </c>
      <c r="O197" s="496"/>
      <c r="P197" s="496"/>
      <c r="R197" s="587">
        <v>0</v>
      </c>
      <c r="S197" s="587"/>
      <c r="T197" s="587"/>
      <c r="U197" s="587">
        <f>'Scores and stats'!QT41</f>
        <v>0</v>
      </c>
      <c r="V197" s="587"/>
      <c r="W197" s="587"/>
      <c r="X197" s="587">
        <f>'Scores and stats'!QU41</f>
        <v>0</v>
      </c>
      <c r="Y197" s="587"/>
      <c r="Z197" s="587"/>
      <c r="AA197" s="587">
        <f>'Scores and stats'!QV41</f>
        <v>0</v>
      </c>
      <c r="AB197" s="587"/>
      <c r="AC197" s="587"/>
      <c r="AD197" s="587">
        <f>'Scores and stats'!QW41</f>
        <v>0</v>
      </c>
      <c r="AE197" s="587"/>
      <c r="AF197" s="587"/>
      <c r="AH197" s="587">
        <f t="shared" si="1"/>
        <v>0</v>
      </c>
      <c r="AI197" s="496"/>
      <c r="AJ197" s="496"/>
      <c r="AK197" s="496">
        <f t="shared" si="2"/>
        <v>0</v>
      </c>
      <c r="AL197" s="496"/>
      <c r="AM197" s="496"/>
      <c r="AN197" s="588">
        <f t="shared" si="3"/>
        <v>0</v>
      </c>
      <c r="AO197" s="588"/>
      <c r="AP197" s="588"/>
      <c r="AQ197" s="588">
        <f t="shared" si="4"/>
        <v>0</v>
      </c>
      <c r="AR197" s="588"/>
      <c r="AS197" s="588"/>
      <c r="AT197" s="589">
        <f t="shared" si="5"/>
        <v>0</v>
      </c>
      <c r="AU197" s="589"/>
      <c r="AV197" s="589"/>
      <c r="AX197" s="587">
        <f>'Scores and stats'!RC41</f>
        <v>0</v>
      </c>
      <c r="AY197" s="587"/>
      <c r="AZ197" s="587"/>
      <c r="BA197" s="587"/>
      <c r="BB197" s="587">
        <f>'Scores and stats'!RF41</f>
        <v>0</v>
      </c>
      <c r="BC197" s="587"/>
      <c r="BD197" s="587"/>
      <c r="BE197" s="587"/>
      <c r="BF197" s="587">
        <f>'Scores and stats'!RK41</f>
        <v>0</v>
      </c>
      <c r="BG197" s="587"/>
      <c r="BH197" s="587"/>
      <c r="BI197" s="587"/>
      <c r="BJ197" s="587">
        <f>'Scores and stats'!RH41</f>
        <v>0</v>
      </c>
      <c r="BK197" s="587"/>
      <c r="BL197" s="587"/>
      <c r="BM197" s="587"/>
      <c r="BN197" s="587">
        <f>'Scores and stats'!RM41</f>
        <v>0</v>
      </c>
      <c r="BO197" s="587"/>
      <c r="BP197" s="587"/>
      <c r="BQ197" s="587"/>
    </row>
    <row r="198" spans="1:69" x14ac:dyDescent="0.2">
      <c r="A198" s="495" t="str">
        <f>'Name List'!B42</f>
        <v>Paul Martin</v>
      </c>
      <c r="B198" s="495"/>
      <c r="C198" s="495"/>
      <c r="D198" s="495"/>
      <c r="E198" s="495"/>
      <c r="F198" s="495"/>
      <c r="G198" s="584">
        <f>'Scores and stats'!QY42</f>
        <v>2</v>
      </c>
      <c r="H198" s="495"/>
      <c r="I198" s="495"/>
      <c r="J198" s="495"/>
      <c r="K198" s="495">
        <f>'Scores and stats'!RP42</f>
        <v>1</v>
      </c>
      <c r="L198" s="495"/>
      <c r="M198" s="495"/>
      <c r="N198" s="584">
        <f t="shared" si="6"/>
        <v>3</v>
      </c>
      <c r="O198" s="495"/>
      <c r="P198" s="495"/>
      <c r="R198" s="584">
        <v>0</v>
      </c>
      <c r="S198" s="584"/>
      <c r="T198" s="584"/>
      <c r="U198" s="584">
        <f>'Scores and stats'!QT42</f>
        <v>0</v>
      </c>
      <c r="V198" s="584"/>
      <c r="W198" s="584"/>
      <c r="X198" s="584">
        <f>'Scores and stats'!QU42</f>
        <v>4</v>
      </c>
      <c r="Y198" s="584"/>
      <c r="Z198" s="584"/>
      <c r="AA198" s="584">
        <f>'Scores and stats'!QV42</f>
        <v>29</v>
      </c>
      <c r="AB198" s="584"/>
      <c r="AC198" s="584"/>
      <c r="AD198" s="584">
        <f>'Scores and stats'!QW42</f>
        <v>2</v>
      </c>
      <c r="AE198" s="584"/>
      <c r="AF198" s="584"/>
      <c r="AH198" s="584">
        <f t="shared" si="1"/>
        <v>0</v>
      </c>
      <c r="AI198" s="495"/>
      <c r="AJ198" s="495"/>
      <c r="AK198" s="495">
        <f t="shared" si="2"/>
        <v>0</v>
      </c>
      <c r="AL198" s="495"/>
      <c r="AM198" s="495"/>
      <c r="AN198" s="586">
        <f t="shared" si="3"/>
        <v>1.3333333333333333</v>
      </c>
      <c r="AO198" s="586"/>
      <c r="AP198" s="586"/>
      <c r="AQ198" s="586">
        <f t="shared" si="4"/>
        <v>9.6666666666666661</v>
      </c>
      <c r="AR198" s="586"/>
      <c r="AS198" s="586"/>
      <c r="AT198" s="585">
        <f t="shared" si="5"/>
        <v>1</v>
      </c>
      <c r="AU198" s="585"/>
      <c r="AV198" s="585"/>
      <c r="AX198" s="584">
        <f>'Scores and stats'!RC42</f>
        <v>36</v>
      </c>
      <c r="AY198" s="584"/>
      <c r="AZ198" s="584"/>
      <c r="BA198" s="584"/>
      <c r="BB198" s="584">
        <f>'Scores and stats'!RF42</f>
        <v>31</v>
      </c>
      <c r="BC198" s="584"/>
      <c r="BD198" s="584"/>
      <c r="BE198" s="584"/>
      <c r="BF198" s="584">
        <f>'Scores and stats'!RK42</f>
        <v>33.5</v>
      </c>
      <c r="BG198" s="584"/>
      <c r="BH198" s="584"/>
      <c r="BI198" s="584"/>
      <c r="BJ198" s="584">
        <f>'Scores and stats'!RH42</f>
        <v>0</v>
      </c>
      <c r="BK198" s="584"/>
      <c r="BL198" s="584"/>
      <c r="BM198" s="584"/>
      <c r="BN198" s="584">
        <f>'Scores and stats'!RM42</f>
        <v>84</v>
      </c>
      <c r="BO198" s="584"/>
      <c r="BP198" s="584"/>
      <c r="BQ198" s="584"/>
    </row>
    <row r="199" spans="1:69" x14ac:dyDescent="0.2">
      <c r="A199" s="496" t="str">
        <f>'Name List'!B43</f>
        <v>Edward Money</v>
      </c>
      <c r="B199" s="496"/>
      <c r="C199" s="496"/>
      <c r="D199" s="496"/>
      <c r="E199" s="496"/>
      <c r="F199" s="496"/>
      <c r="G199" s="587">
        <f>'Scores and stats'!QY43</f>
        <v>3</v>
      </c>
      <c r="H199" s="496"/>
      <c r="I199" s="496"/>
      <c r="J199" s="496"/>
      <c r="K199" s="496">
        <f>'Scores and stats'!RP43</f>
        <v>0</v>
      </c>
      <c r="L199" s="496"/>
      <c r="M199" s="496"/>
      <c r="N199" s="587">
        <f t="shared" si="6"/>
        <v>3</v>
      </c>
      <c r="O199" s="496"/>
      <c r="P199" s="496"/>
      <c r="R199" s="587">
        <v>0</v>
      </c>
      <c r="S199" s="587"/>
      <c r="T199" s="587"/>
      <c r="U199" s="587">
        <f>'Scores and stats'!QT43</f>
        <v>1</v>
      </c>
      <c r="V199" s="587"/>
      <c r="W199" s="587"/>
      <c r="X199" s="587">
        <f>'Scores and stats'!QU43</f>
        <v>2</v>
      </c>
      <c r="Y199" s="587"/>
      <c r="Z199" s="587"/>
      <c r="AA199" s="587">
        <f>'Scores and stats'!QV43</f>
        <v>21</v>
      </c>
      <c r="AB199" s="587"/>
      <c r="AC199" s="587"/>
      <c r="AD199" s="587">
        <f>'Scores and stats'!QW43</f>
        <v>4</v>
      </c>
      <c r="AE199" s="587"/>
      <c r="AF199" s="587"/>
      <c r="AH199" s="587">
        <f t="shared" si="1"/>
        <v>0</v>
      </c>
      <c r="AI199" s="496"/>
      <c r="AJ199" s="496"/>
      <c r="AK199" s="589">
        <f t="shared" si="2"/>
        <v>0.33333333333333331</v>
      </c>
      <c r="AL199" s="589"/>
      <c r="AM199" s="589"/>
      <c r="AN199" s="588">
        <f t="shared" si="3"/>
        <v>0.66666666666666663</v>
      </c>
      <c r="AO199" s="588"/>
      <c r="AP199" s="588"/>
      <c r="AQ199" s="588">
        <f t="shared" si="4"/>
        <v>7</v>
      </c>
      <c r="AR199" s="588"/>
      <c r="AS199" s="588"/>
      <c r="AT199" s="589">
        <f t="shared" si="5"/>
        <v>1.3333333333333333</v>
      </c>
      <c r="AU199" s="589"/>
      <c r="AV199" s="589"/>
      <c r="AX199" s="587">
        <f>'Scores and stats'!RC43</f>
        <v>33</v>
      </c>
      <c r="AY199" s="587"/>
      <c r="AZ199" s="587"/>
      <c r="BA199" s="587"/>
      <c r="BB199" s="587">
        <f>'Scores and stats'!RF43</f>
        <v>27</v>
      </c>
      <c r="BC199" s="587"/>
      <c r="BD199" s="587"/>
      <c r="BE199" s="587"/>
      <c r="BF199" s="587">
        <f>'Scores and stats'!RK43</f>
        <v>29.666666666666668</v>
      </c>
      <c r="BG199" s="587"/>
      <c r="BH199" s="587"/>
      <c r="BI199" s="587"/>
      <c r="BJ199" s="587">
        <f>'Scores and stats'!RH43</f>
        <v>0</v>
      </c>
      <c r="BK199" s="587"/>
      <c r="BL199" s="587"/>
      <c r="BM199" s="587"/>
      <c r="BN199" s="587">
        <f>'Scores and stats'!RM43</f>
        <v>0</v>
      </c>
      <c r="BO199" s="587"/>
      <c r="BP199" s="587"/>
      <c r="BQ199" s="587"/>
    </row>
    <row r="200" spans="1:69" x14ac:dyDescent="0.2">
      <c r="A200" s="495" t="str">
        <f>'Name List'!B44</f>
        <v>Dickie Moxham</v>
      </c>
      <c r="B200" s="495"/>
      <c r="C200" s="495"/>
      <c r="D200" s="495"/>
      <c r="E200" s="495"/>
      <c r="F200" s="495"/>
      <c r="G200" s="584">
        <f>'Scores and stats'!QY44</f>
        <v>4</v>
      </c>
      <c r="H200" s="495"/>
      <c r="I200" s="495"/>
      <c r="J200" s="495"/>
      <c r="K200" s="495">
        <f>'Scores and stats'!RP44</f>
        <v>0</v>
      </c>
      <c r="L200" s="495"/>
      <c r="M200" s="495"/>
      <c r="N200" s="584">
        <f t="shared" si="6"/>
        <v>4</v>
      </c>
      <c r="O200" s="495"/>
      <c r="P200" s="495"/>
      <c r="R200" s="584">
        <v>0</v>
      </c>
      <c r="S200" s="584"/>
      <c r="T200" s="584"/>
      <c r="U200" s="584">
        <f>'Scores and stats'!QT44</f>
        <v>0</v>
      </c>
      <c r="V200" s="584"/>
      <c r="W200" s="584"/>
      <c r="X200" s="584">
        <f>'Scores and stats'!QU44</f>
        <v>11</v>
      </c>
      <c r="Y200" s="584"/>
      <c r="Z200" s="584"/>
      <c r="AA200" s="584">
        <f>'Scores and stats'!QV44</f>
        <v>40</v>
      </c>
      <c r="AB200" s="584"/>
      <c r="AC200" s="584"/>
      <c r="AD200" s="584">
        <f>'Scores and stats'!QW44</f>
        <v>4</v>
      </c>
      <c r="AE200" s="584"/>
      <c r="AF200" s="584"/>
      <c r="AH200" s="584">
        <f t="shared" si="1"/>
        <v>0</v>
      </c>
      <c r="AI200" s="495"/>
      <c r="AJ200" s="495"/>
      <c r="AK200" s="495">
        <f t="shared" si="2"/>
        <v>0</v>
      </c>
      <c r="AL200" s="495"/>
      <c r="AM200" s="495"/>
      <c r="AN200" s="586">
        <f t="shared" si="3"/>
        <v>2.75</v>
      </c>
      <c r="AO200" s="586"/>
      <c r="AP200" s="586"/>
      <c r="AQ200" s="586">
        <f t="shared" si="4"/>
        <v>10</v>
      </c>
      <c r="AR200" s="586"/>
      <c r="AS200" s="586"/>
      <c r="AT200" s="585">
        <f t="shared" si="5"/>
        <v>1</v>
      </c>
      <c r="AU200" s="585"/>
      <c r="AV200" s="585"/>
      <c r="AX200" s="584">
        <f>'Scores and stats'!RC44</f>
        <v>35</v>
      </c>
      <c r="AY200" s="584"/>
      <c r="AZ200" s="584"/>
      <c r="BA200" s="584"/>
      <c r="BB200" s="584">
        <f>'Scores and stats'!RF44</f>
        <v>31</v>
      </c>
      <c r="BC200" s="584"/>
      <c r="BD200" s="584"/>
      <c r="BE200" s="584"/>
      <c r="BF200" s="584">
        <f>'Scores and stats'!RK44</f>
        <v>31.5</v>
      </c>
      <c r="BG200" s="584"/>
      <c r="BH200" s="584"/>
      <c r="BI200" s="584"/>
      <c r="BJ200" s="584">
        <f>'Scores and stats'!RH44</f>
        <v>28</v>
      </c>
      <c r="BK200" s="584"/>
      <c r="BL200" s="584"/>
      <c r="BM200" s="584"/>
      <c r="BN200" s="584">
        <f>'Scores and stats'!RM44</f>
        <v>0</v>
      </c>
      <c r="BO200" s="584"/>
      <c r="BP200" s="584"/>
      <c r="BQ200" s="584"/>
    </row>
    <row r="201" spans="1:69" x14ac:dyDescent="0.2">
      <c r="A201" s="496" t="str">
        <f>'Name List'!B45</f>
        <v>Dave Randall</v>
      </c>
      <c r="B201" s="496"/>
      <c r="C201" s="496"/>
      <c r="D201" s="496"/>
      <c r="E201" s="496"/>
      <c r="F201" s="496"/>
      <c r="G201" s="587">
        <f>'Scores and stats'!QY45</f>
        <v>16</v>
      </c>
      <c r="H201" s="496"/>
      <c r="I201" s="496"/>
      <c r="J201" s="496"/>
      <c r="K201" s="496">
        <f>'Scores and stats'!RP45</f>
        <v>1</v>
      </c>
      <c r="L201" s="496"/>
      <c r="M201" s="496"/>
      <c r="N201" s="587">
        <f t="shared" si="6"/>
        <v>17</v>
      </c>
      <c r="O201" s="496"/>
      <c r="P201" s="496"/>
      <c r="R201" s="587">
        <v>0</v>
      </c>
      <c r="S201" s="587"/>
      <c r="T201" s="587"/>
      <c r="U201" s="587">
        <f>'Scores and stats'!QT45</f>
        <v>0</v>
      </c>
      <c r="V201" s="587"/>
      <c r="W201" s="587"/>
      <c r="X201" s="587">
        <f>'Scores and stats'!QU45</f>
        <v>17</v>
      </c>
      <c r="Y201" s="587"/>
      <c r="Z201" s="587"/>
      <c r="AA201" s="587">
        <f>'Scores and stats'!QV45</f>
        <v>122</v>
      </c>
      <c r="AB201" s="587"/>
      <c r="AC201" s="587"/>
      <c r="AD201" s="587">
        <f>'Scores and stats'!QW45</f>
        <v>34</v>
      </c>
      <c r="AE201" s="587"/>
      <c r="AF201" s="587"/>
      <c r="AH201" s="587">
        <f t="shared" si="1"/>
        <v>0</v>
      </c>
      <c r="AI201" s="496"/>
      <c r="AJ201" s="496"/>
      <c r="AK201" s="496">
        <f t="shared" si="2"/>
        <v>0</v>
      </c>
      <c r="AL201" s="496"/>
      <c r="AM201" s="496"/>
      <c r="AN201" s="588">
        <f t="shared" si="3"/>
        <v>1</v>
      </c>
      <c r="AO201" s="588"/>
      <c r="AP201" s="588"/>
      <c r="AQ201" s="588">
        <f t="shared" si="4"/>
        <v>7.1764705882352944</v>
      </c>
      <c r="AR201" s="588"/>
      <c r="AS201" s="588"/>
      <c r="AT201" s="589">
        <f t="shared" si="5"/>
        <v>2.125</v>
      </c>
      <c r="AU201" s="589"/>
      <c r="AV201" s="589"/>
      <c r="AX201" s="587">
        <f>'Scores and stats'!RC45</f>
        <v>39</v>
      </c>
      <c r="AY201" s="587"/>
      <c r="AZ201" s="587"/>
      <c r="BA201" s="587"/>
      <c r="BB201" s="587">
        <f>'Scores and stats'!RF45</f>
        <v>25</v>
      </c>
      <c r="BC201" s="587"/>
      <c r="BD201" s="587"/>
      <c r="BE201" s="587"/>
      <c r="BF201" s="587">
        <f>'Scores and stats'!RK45</f>
        <v>29.1875</v>
      </c>
      <c r="BG201" s="587"/>
      <c r="BH201" s="587"/>
      <c r="BI201" s="587"/>
      <c r="BJ201" s="587">
        <f>'Scores and stats'!RH45</f>
        <v>35</v>
      </c>
      <c r="BK201" s="587"/>
      <c r="BL201" s="587"/>
      <c r="BM201" s="587"/>
      <c r="BN201" s="587">
        <f>'Scores and stats'!RM45</f>
        <v>95</v>
      </c>
      <c r="BO201" s="587"/>
      <c r="BP201" s="587"/>
      <c r="BQ201" s="587"/>
    </row>
    <row r="202" spans="1:69" x14ac:dyDescent="0.2">
      <c r="A202" s="495" t="str">
        <f>'Name List'!B46</f>
        <v>Arron Rutherford</v>
      </c>
      <c r="B202" s="495"/>
      <c r="C202" s="495"/>
      <c r="D202" s="495"/>
      <c r="E202" s="495"/>
      <c r="F202" s="495"/>
      <c r="G202" s="584">
        <f>'Scores and stats'!QY46</f>
        <v>2</v>
      </c>
      <c r="H202" s="495"/>
      <c r="I202" s="495"/>
      <c r="J202" s="495"/>
      <c r="K202" s="495">
        <f>'Scores and stats'!RP46</f>
        <v>0</v>
      </c>
      <c r="L202" s="495"/>
      <c r="M202" s="495"/>
      <c r="N202" s="584">
        <f t="shared" si="6"/>
        <v>2</v>
      </c>
      <c r="O202" s="495"/>
      <c r="P202" s="495"/>
      <c r="R202" s="584">
        <v>0</v>
      </c>
      <c r="S202" s="584"/>
      <c r="T202" s="584"/>
      <c r="U202" s="584">
        <f>'Scores and stats'!QT46</f>
        <v>0</v>
      </c>
      <c r="V202" s="584"/>
      <c r="W202" s="584"/>
      <c r="X202" s="584">
        <f>'Scores and stats'!QU46</f>
        <v>0</v>
      </c>
      <c r="Y202" s="584"/>
      <c r="Z202" s="584"/>
      <c r="AA202" s="584">
        <f>'Scores and stats'!QV46</f>
        <v>9</v>
      </c>
      <c r="AB202" s="584"/>
      <c r="AC202" s="584"/>
      <c r="AD202" s="584">
        <f>'Scores and stats'!QW46</f>
        <v>5</v>
      </c>
      <c r="AE202" s="584"/>
      <c r="AF202" s="584"/>
      <c r="AH202" s="584">
        <f t="shared" si="1"/>
        <v>0</v>
      </c>
      <c r="AI202" s="495"/>
      <c r="AJ202" s="495"/>
      <c r="AK202" s="495">
        <f t="shared" si="2"/>
        <v>0</v>
      </c>
      <c r="AL202" s="495"/>
      <c r="AM202" s="495"/>
      <c r="AN202" s="586">
        <f t="shared" si="3"/>
        <v>0</v>
      </c>
      <c r="AO202" s="586"/>
      <c r="AP202" s="586"/>
      <c r="AQ202" s="586">
        <f t="shared" si="4"/>
        <v>4.5</v>
      </c>
      <c r="AR202" s="586"/>
      <c r="AS202" s="586"/>
      <c r="AT202" s="585">
        <f t="shared" si="5"/>
        <v>2.5</v>
      </c>
      <c r="AU202" s="585"/>
      <c r="AV202" s="585"/>
      <c r="AX202" s="584">
        <f>'Scores and stats'!RC46</f>
        <v>28</v>
      </c>
      <c r="AY202" s="584"/>
      <c r="AZ202" s="584"/>
      <c r="BA202" s="584"/>
      <c r="BB202" s="584">
        <f>'Scores and stats'!RF46</f>
        <v>26</v>
      </c>
      <c r="BC202" s="584"/>
      <c r="BD202" s="584"/>
      <c r="BE202" s="584"/>
      <c r="BF202" s="584">
        <f>'Scores and stats'!RK46</f>
        <v>27</v>
      </c>
      <c r="BG202" s="584"/>
      <c r="BH202" s="584"/>
      <c r="BI202" s="584"/>
      <c r="BJ202" s="584">
        <f>'Scores and stats'!RH46</f>
        <v>0</v>
      </c>
      <c r="BK202" s="584"/>
      <c r="BL202" s="584"/>
      <c r="BM202" s="584"/>
      <c r="BN202" s="584">
        <f>'Scores and stats'!RM46</f>
        <v>0</v>
      </c>
      <c r="BO202" s="584"/>
      <c r="BP202" s="584"/>
      <c r="BQ202" s="584"/>
    </row>
    <row r="203" spans="1:69" x14ac:dyDescent="0.2">
      <c r="A203" s="496" t="str">
        <f>'Name List'!B47</f>
        <v>Terry Shoker</v>
      </c>
      <c r="B203" s="496"/>
      <c r="C203" s="496"/>
      <c r="D203" s="496"/>
      <c r="E203" s="496"/>
      <c r="F203" s="496"/>
      <c r="G203" s="587">
        <f>'Scores and stats'!QY47</f>
        <v>0</v>
      </c>
      <c r="H203" s="496"/>
      <c r="I203" s="496"/>
      <c r="J203" s="496"/>
      <c r="K203" s="496">
        <f>'Scores and stats'!RP47</f>
        <v>0</v>
      </c>
      <c r="L203" s="496"/>
      <c r="M203" s="496"/>
      <c r="N203" s="587">
        <f t="shared" si="6"/>
        <v>0</v>
      </c>
      <c r="O203" s="496"/>
      <c r="P203" s="496"/>
      <c r="R203" s="587">
        <v>0</v>
      </c>
      <c r="S203" s="587"/>
      <c r="T203" s="587"/>
      <c r="U203" s="587">
        <f>'Scores and stats'!QT47</f>
        <v>0</v>
      </c>
      <c r="V203" s="587"/>
      <c r="W203" s="587"/>
      <c r="X203" s="587">
        <f>'Scores and stats'!QU47</f>
        <v>0</v>
      </c>
      <c r="Y203" s="587"/>
      <c r="Z203" s="587"/>
      <c r="AA203" s="587">
        <f>'Scores and stats'!QV47</f>
        <v>0</v>
      </c>
      <c r="AB203" s="587"/>
      <c r="AC203" s="587"/>
      <c r="AD203" s="587">
        <f>'Scores and stats'!QW47</f>
        <v>0</v>
      </c>
      <c r="AE203" s="587"/>
      <c r="AF203" s="587"/>
      <c r="AH203" s="587">
        <f t="shared" si="1"/>
        <v>0</v>
      </c>
      <c r="AI203" s="496"/>
      <c r="AJ203" s="496"/>
      <c r="AK203" s="496">
        <f t="shared" si="2"/>
        <v>0</v>
      </c>
      <c r="AL203" s="496"/>
      <c r="AM203" s="496"/>
      <c r="AN203" s="588">
        <f t="shared" si="3"/>
        <v>0</v>
      </c>
      <c r="AO203" s="588"/>
      <c r="AP203" s="588"/>
      <c r="AQ203" s="588">
        <f t="shared" si="4"/>
        <v>0</v>
      </c>
      <c r="AR203" s="588"/>
      <c r="AS203" s="588"/>
      <c r="AT203" s="589">
        <f t="shared" si="5"/>
        <v>0</v>
      </c>
      <c r="AU203" s="589"/>
      <c r="AV203" s="589"/>
      <c r="AX203" s="587">
        <f>'Scores and stats'!RC47</f>
        <v>0</v>
      </c>
      <c r="AY203" s="587"/>
      <c r="AZ203" s="587"/>
      <c r="BA203" s="587"/>
      <c r="BB203" s="587">
        <f>'Scores and stats'!RF47</f>
        <v>0</v>
      </c>
      <c r="BC203" s="587"/>
      <c r="BD203" s="587"/>
      <c r="BE203" s="587"/>
      <c r="BF203" s="587">
        <f>'Scores and stats'!RK47</f>
        <v>0</v>
      </c>
      <c r="BG203" s="587"/>
      <c r="BH203" s="587"/>
      <c r="BI203" s="587"/>
      <c r="BJ203" s="587">
        <f>'Scores and stats'!RH47</f>
        <v>0</v>
      </c>
      <c r="BK203" s="587"/>
      <c r="BL203" s="587"/>
      <c r="BM203" s="587"/>
      <c r="BN203" s="587">
        <f>'Scores and stats'!RM47</f>
        <v>0</v>
      </c>
      <c r="BO203" s="587"/>
      <c r="BP203" s="587"/>
      <c r="BQ203" s="587"/>
    </row>
    <row r="204" spans="1:69" x14ac:dyDescent="0.2">
      <c r="A204" s="495" t="str">
        <f>'Name List'!B48</f>
        <v>Chris Smith</v>
      </c>
      <c r="B204" s="495"/>
      <c r="C204" s="495"/>
      <c r="D204" s="495"/>
      <c r="E204" s="495"/>
      <c r="F204" s="495"/>
      <c r="G204" s="584">
        <f>'Scores and stats'!QY48</f>
        <v>10</v>
      </c>
      <c r="H204" s="495"/>
      <c r="I204" s="495"/>
      <c r="J204" s="495"/>
      <c r="K204" s="495">
        <f>'Scores and stats'!RP48</f>
        <v>1</v>
      </c>
      <c r="L204" s="495"/>
      <c r="M204" s="495"/>
      <c r="N204" s="584">
        <f t="shared" si="6"/>
        <v>11</v>
      </c>
      <c r="O204" s="495"/>
      <c r="P204" s="495"/>
      <c r="R204" s="584">
        <v>0</v>
      </c>
      <c r="S204" s="584"/>
      <c r="T204" s="584"/>
      <c r="U204" s="584">
        <f>'Scores and stats'!QT48</f>
        <v>1</v>
      </c>
      <c r="V204" s="584"/>
      <c r="W204" s="584"/>
      <c r="X204" s="584">
        <f>'Scores and stats'!QU48</f>
        <v>29</v>
      </c>
      <c r="Y204" s="584"/>
      <c r="Z204" s="584"/>
      <c r="AA204" s="584">
        <f>'Scores and stats'!QV48</f>
        <v>114</v>
      </c>
      <c r="AB204" s="584"/>
      <c r="AC204" s="584"/>
      <c r="AD204" s="584">
        <f>'Scores and stats'!QW48</f>
        <v>7</v>
      </c>
      <c r="AE204" s="584"/>
      <c r="AF204" s="584"/>
      <c r="AH204" s="584">
        <f t="shared" si="1"/>
        <v>0</v>
      </c>
      <c r="AI204" s="495"/>
      <c r="AJ204" s="495"/>
      <c r="AK204" s="495">
        <f t="shared" si="2"/>
        <v>9.0909090909090912E-2</v>
      </c>
      <c r="AL204" s="495"/>
      <c r="AM204" s="495"/>
      <c r="AN204" s="586">
        <f t="shared" si="3"/>
        <v>2.6363636363636362</v>
      </c>
      <c r="AO204" s="586"/>
      <c r="AP204" s="586"/>
      <c r="AQ204" s="586">
        <f t="shared" si="4"/>
        <v>10.363636363636363</v>
      </c>
      <c r="AR204" s="586"/>
      <c r="AS204" s="586"/>
      <c r="AT204" s="585">
        <f t="shared" si="5"/>
        <v>0.7</v>
      </c>
      <c r="AU204" s="585"/>
      <c r="AV204" s="585"/>
      <c r="AX204" s="584">
        <f>'Scores and stats'!RC48</f>
        <v>36</v>
      </c>
      <c r="AY204" s="584"/>
      <c r="AZ204" s="584"/>
      <c r="BA204" s="584"/>
      <c r="BB204" s="584">
        <f>'Scores and stats'!RF48</f>
        <v>29</v>
      </c>
      <c r="BC204" s="584"/>
      <c r="BD204" s="584"/>
      <c r="BE204" s="584"/>
      <c r="BF204" s="584">
        <f>'Scores and stats'!RK48</f>
        <v>34.4</v>
      </c>
      <c r="BG204" s="584"/>
      <c r="BH204" s="584"/>
      <c r="BI204" s="584"/>
      <c r="BJ204" s="584">
        <f>'Scores and stats'!RH48</f>
        <v>38</v>
      </c>
      <c r="BK204" s="584"/>
      <c r="BL204" s="584"/>
      <c r="BM204" s="584"/>
      <c r="BN204" s="584">
        <f>'Scores and stats'!RM48</f>
        <v>79</v>
      </c>
      <c r="BO204" s="584"/>
      <c r="BP204" s="584"/>
      <c r="BQ204" s="584"/>
    </row>
    <row r="205" spans="1:69" x14ac:dyDescent="0.2">
      <c r="A205" s="496" t="str">
        <f>'Name List'!B49</f>
        <v>Justin Spencer</v>
      </c>
      <c r="B205" s="496"/>
      <c r="C205" s="496"/>
      <c r="D205" s="496"/>
      <c r="E205" s="496"/>
      <c r="F205" s="496"/>
      <c r="G205" s="587">
        <f>'Scores and stats'!QY49</f>
        <v>1</v>
      </c>
      <c r="H205" s="496"/>
      <c r="I205" s="496"/>
      <c r="J205" s="496"/>
      <c r="K205" s="496">
        <f>'Scores and stats'!RP49</f>
        <v>0</v>
      </c>
      <c r="L205" s="496"/>
      <c r="M205" s="496"/>
      <c r="N205" s="587">
        <f t="shared" si="6"/>
        <v>1</v>
      </c>
      <c r="O205" s="496"/>
      <c r="P205" s="496"/>
      <c r="R205" s="587">
        <v>0</v>
      </c>
      <c r="S205" s="587"/>
      <c r="T205" s="587"/>
      <c r="U205" s="587">
        <f>'Scores and stats'!QT49</f>
        <v>0</v>
      </c>
      <c r="V205" s="587"/>
      <c r="W205" s="587"/>
      <c r="X205" s="587">
        <f>'Scores and stats'!QU49</f>
        <v>0</v>
      </c>
      <c r="Y205" s="587"/>
      <c r="Z205" s="587"/>
      <c r="AA205" s="587">
        <f>'Scores and stats'!QV49</f>
        <v>8</v>
      </c>
      <c r="AB205" s="587"/>
      <c r="AC205" s="587"/>
      <c r="AD205" s="587">
        <f>'Scores and stats'!QW49</f>
        <v>1</v>
      </c>
      <c r="AE205" s="587"/>
      <c r="AF205" s="587"/>
      <c r="AH205" s="587">
        <f t="shared" si="1"/>
        <v>0</v>
      </c>
      <c r="AI205" s="496"/>
      <c r="AJ205" s="496"/>
      <c r="AK205" s="496">
        <f t="shared" si="2"/>
        <v>0</v>
      </c>
      <c r="AL205" s="496"/>
      <c r="AM205" s="496"/>
      <c r="AN205" s="588">
        <f t="shared" si="3"/>
        <v>0</v>
      </c>
      <c r="AO205" s="588"/>
      <c r="AP205" s="588"/>
      <c r="AQ205" s="588">
        <f t="shared" si="4"/>
        <v>8</v>
      </c>
      <c r="AR205" s="588"/>
      <c r="AS205" s="588"/>
      <c r="AT205" s="589">
        <f t="shared" si="5"/>
        <v>1</v>
      </c>
      <c r="AU205" s="589"/>
      <c r="AV205" s="589"/>
      <c r="AX205" s="587">
        <f>'Scores and stats'!RC49</f>
        <v>0</v>
      </c>
      <c r="AY205" s="587"/>
      <c r="AZ205" s="587"/>
      <c r="BA205" s="587"/>
      <c r="BB205" s="587">
        <f>'Scores and stats'!RF49</f>
        <v>0</v>
      </c>
      <c r="BC205" s="587"/>
      <c r="BD205" s="587"/>
      <c r="BE205" s="587"/>
      <c r="BF205" s="587">
        <f>'Scores and stats'!RK49</f>
        <v>32</v>
      </c>
      <c r="BG205" s="587"/>
      <c r="BH205" s="587"/>
      <c r="BI205" s="587"/>
      <c r="BJ205" s="587">
        <f>'Scores and stats'!RH49</f>
        <v>32</v>
      </c>
      <c r="BK205" s="587"/>
      <c r="BL205" s="587"/>
      <c r="BM205" s="587"/>
      <c r="BN205" s="587">
        <f>'Scores and stats'!RM49</f>
        <v>0</v>
      </c>
      <c r="BO205" s="587"/>
      <c r="BP205" s="587"/>
      <c r="BQ205" s="587"/>
    </row>
    <row r="206" spans="1:69" x14ac:dyDescent="0.2">
      <c r="A206" s="495" t="str">
        <f>'Name List'!B50</f>
        <v>Jake Sprosen</v>
      </c>
      <c r="B206" s="495"/>
      <c r="C206" s="495"/>
      <c r="D206" s="495"/>
      <c r="E206" s="495"/>
      <c r="F206" s="495"/>
      <c r="G206" s="584">
        <f>'Scores and stats'!QY50</f>
        <v>0</v>
      </c>
      <c r="H206" s="495"/>
      <c r="I206" s="495"/>
      <c r="J206" s="495"/>
      <c r="K206" s="495">
        <f>'Scores and stats'!RP50</f>
        <v>0</v>
      </c>
      <c r="L206" s="495"/>
      <c r="M206" s="495"/>
      <c r="N206" s="584">
        <f t="shared" si="6"/>
        <v>0</v>
      </c>
      <c r="O206" s="495"/>
      <c r="P206" s="495"/>
      <c r="R206" s="584">
        <v>0</v>
      </c>
      <c r="S206" s="584"/>
      <c r="T206" s="584"/>
      <c r="U206" s="584">
        <f>'Scores and stats'!QT50</f>
        <v>0</v>
      </c>
      <c r="V206" s="584"/>
      <c r="W206" s="584"/>
      <c r="X206" s="584">
        <f>'Scores and stats'!QU50</f>
        <v>0</v>
      </c>
      <c r="Y206" s="584"/>
      <c r="Z206" s="584"/>
      <c r="AA206" s="584">
        <f>'Scores and stats'!QV50</f>
        <v>0</v>
      </c>
      <c r="AB206" s="584"/>
      <c r="AC206" s="584"/>
      <c r="AD206" s="584">
        <f>'Scores and stats'!QW50</f>
        <v>0</v>
      </c>
      <c r="AE206" s="584"/>
      <c r="AF206" s="584"/>
      <c r="AH206" s="584">
        <f t="shared" si="1"/>
        <v>0</v>
      </c>
      <c r="AI206" s="495"/>
      <c r="AJ206" s="495"/>
      <c r="AK206" s="495">
        <f t="shared" si="2"/>
        <v>0</v>
      </c>
      <c r="AL206" s="495"/>
      <c r="AM206" s="495"/>
      <c r="AN206" s="586">
        <f t="shared" si="3"/>
        <v>0</v>
      </c>
      <c r="AO206" s="586"/>
      <c r="AP206" s="586"/>
      <c r="AQ206" s="586">
        <f t="shared" si="4"/>
        <v>0</v>
      </c>
      <c r="AR206" s="586"/>
      <c r="AS206" s="586"/>
      <c r="AT206" s="585">
        <f t="shared" si="5"/>
        <v>0</v>
      </c>
      <c r="AU206" s="585"/>
      <c r="AV206" s="585"/>
      <c r="AX206" s="584">
        <f>'Scores and stats'!RC50</f>
        <v>0</v>
      </c>
      <c r="AY206" s="584"/>
      <c r="AZ206" s="584"/>
      <c r="BA206" s="584"/>
      <c r="BB206" s="584">
        <f>'Scores and stats'!RF50</f>
        <v>0</v>
      </c>
      <c r="BC206" s="584"/>
      <c r="BD206" s="584"/>
      <c r="BE206" s="584"/>
      <c r="BF206" s="584">
        <f>'Scores and stats'!RK50</f>
        <v>0</v>
      </c>
      <c r="BG206" s="584"/>
      <c r="BH206" s="584"/>
      <c r="BI206" s="584"/>
      <c r="BJ206" s="584">
        <f>'Scores and stats'!RH50</f>
        <v>0</v>
      </c>
      <c r="BK206" s="584"/>
      <c r="BL206" s="584"/>
      <c r="BM206" s="584"/>
      <c r="BN206" s="584">
        <f>'Scores and stats'!RM50</f>
        <v>0</v>
      </c>
      <c r="BO206" s="584"/>
      <c r="BP206" s="584"/>
      <c r="BQ206" s="584"/>
    </row>
    <row r="207" spans="1:69" x14ac:dyDescent="0.2">
      <c r="A207" s="496" t="str">
        <f>'Name List'!B51</f>
        <v>Tosh Sprosen</v>
      </c>
      <c r="B207" s="496"/>
      <c r="C207" s="496"/>
      <c r="D207" s="496"/>
      <c r="E207" s="496"/>
      <c r="F207" s="496"/>
      <c r="G207" s="587">
        <f>'Scores and stats'!QY51</f>
        <v>0</v>
      </c>
      <c r="H207" s="496"/>
      <c r="I207" s="496"/>
      <c r="J207" s="496"/>
      <c r="K207" s="496">
        <f>'Scores and stats'!RP51</f>
        <v>0</v>
      </c>
      <c r="L207" s="496"/>
      <c r="M207" s="496"/>
      <c r="N207" s="587">
        <f t="shared" si="6"/>
        <v>0</v>
      </c>
      <c r="O207" s="496"/>
      <c r="P207" s="496"/>
      <c r="R207" s="587">
        <v>0</v>
      </c>
      <c r="S207" s="587"/>
      <c r="T207" s="587"/>
      <c r="U207" s="587">
        <f>'Scores and stats'!QT51</f>
        <v>0</v>
      </c>
      <c r="V207" s="587"/>
      <c r="W207" s="587"/>
      <c r="X207" s="587">
        <f>'Scores and stats'!QU51</f>
        <v>0</v>
      </c>
      <c r="Y207" s="587"/>
      <c r="Z207" s="587"/>
      <c r="AA207" s="587">
        <f>'Scores and stats'!QV51</f>
        <v>0</v>
      </c>
      <c r="AB207" s="587"/>
      <c r="AC207" s="587"/>
      <c r="AD207" s="587">
        <f>'Scores and stats'!QW51</f>
        <v>0</v>
      </c>
      <c r="AE207" s="587"/>
      <c r="AF207" s="587"/>
      <c r="AH207" s="587">
        <f t="shared" si="1"/>
        <v>0</v>
      </c>
      <c r="AI207" s="496"/>
      <c r="AJ207" s="496"/>
      <c r="AK207" s="496">
        <f t="shared" si="2"/>
        <v>0</v>
      </c>
      <c r="AL207" s="496"/>
      <c r="AM207" s="496"/>
      <c r="AN207" s="588">
        <f t="shared" si="3"/>
        <v>0</v>
      </c>
      <c r="AO207" s="588"/>
      <c r="AP207" s="588"/>
      <c r="AQ207" s="588">
        <f t="shared" si="4"/>
        <v>0</v>
      </c>
      <c r="AR207" s="588"/>
      <c r="AS207" s="588"/>
      <c r="AT207" s="589">
        <f t="shared" si="5"/>
        <v>0</v>
      </c>
      <c r="AU207" s="589"/>
      <c r="AV207" s="589"/>
      <c r="AX207" s="587">
        <f>'Scores and stats'!RC51</f>
        <v>0</v>
      </c>
      <c r="AY207" s="587"/>
      <c r="AZ207" s="587"/>
      <c r="BA207" s="587"/>
      <c r="BB207" s="587">
        <f>'Scores and stats'!RF51</f>
        <v>0</v>
      </c>
      <c r="BC207" s="587"/>
      <c r="BD207" s="587"/>
      <c r="BE207" s="587"/>
      <c r="BF207" s="587">
        <f>'Scores and stats'!RK51</f>
        <v>0</v>
      </c>
      <c r="BG207" s="587"/>
      <c r="BH207" s="587"/>
      <c r="BI207" s="587"/>
      <c r="BJ207" s="587">
        <f>'Scores and stats'!RH51</f>
        <v>0</v>
      </c>
      <c r="BK207" s="587"/>
      <c r="BL207" s="587"/>
      <c r="BM207" s="587"/>
      <c r="BN207" s="587">
        <f>'Scores and stats'!RM51</f>
        <v>0</v>
      </c>
      <c r="BO207" s="587"/>
      <c r="BP207" s="587"/>
      <c r="BQ207" s="587"/>
    </row>
    <row r="208" spans="1:69" ht="12.75" customHeight="1" x14ac:dyDescent="0.2">
      <c r="A208" s="518" t="s">
        <v>296</v>
      </c>
      <c r="B208" s="518"/>
      <c r="C208" s="518"/>
      <c r="D208" s="518"/>
      <c r="E208" s="518"/>
      <c r="F208" s="518"/>
      <c r="G208" s="518"/>
      <c r="H208" s="518"/>
      <c r="I208" s="518"/>
      <c r="J208" s="518"/>
      <c r="K208" s="518"/>
      <c r="L208" s="518"/>
      <c r="M208" s="518"/>
      <c r="N208" s="518"/>
      <c r="O208" s="518"/>
      <c r="P208" s="518"/>
      <c r="R208" s="518" t="s">
        <v>206</v>
      </c>
      <c r="S208" s="518"/>
      <c r="T208" s="518"/>
      <c r="U208" s="518"/>
      <c r="V208" s="518"/>
      <c r="W208" s="518"/>
      <c r="X208" s="518"/>
      <c r="Y208" s="518"/>
      <c r="Z208" s="518"/>
      <c r="AA208" s="518"/>
      <c r="AB208" s="518"/>
      <c r="AC208" s="518"/>
      <c r="AD208" s="518"/>
      <c r="AE208" s="518"/>
      <c r="AF208" s="518"/>
      <c r="AH208" s="518" t="s">
        <v>207</v>
      </c>
      <c r="AI208" s="518"/>
      <c r="AJ208" s="518"/>
      <c r="AK208" s="518"/>
      <c r="AL208" s="518"/>
      <c r="AM208" s="518"/>
      <c r="AN208" s="518"/>
      <c r="AO208" s="518"/>
      <c r="AP208" s="518"/>
      <c r="AQ208" s="518"/>
      <c r="AR208" s="518"/>
      <c r="AS208" s="518"/>
      <c r="AT208" s="518"/>
      <c r="AU208" s="518"/>
      <c r="AV208" s="518"/>
      <c r="AX208" s="518" t="s">
        <v>224</v>
      </c>
      <c r="AY208" s="518"/>
      <c r="AZ208" s="518"/>
      <c r="BA208" s="518"/>
      <c r="BB208" s="518"/>
      <c r="BC208" s="518"/>
      <c r="BD208" s="518"/>
      <c r="BE208" s="518"/>
      <c r="BF208" s="518"/>
      <c r="BG208" s="518"/>
      <c r="BH208" s="518"/>
      <c r="BI208" s="518"/>
      <c r="BJ208" s="518"/>
      <c r="BK208" s="518"/>
      <c r="BL208" s="518"/>
      <c r="BM208" s="518"/>
      <c r="BN208" s="518"/>
      <c r="BO208" s="518"/>
      <c r="BP208" s="518"/>
      <c r="BQ208" s="518"/>
    </row>
    <row r="209" spans="1:69" ht="57.75" customHeight="1" x14ac:dyDescent="0.2">
      <c r="A209" s="518" t="s">
        <v>49</v>
      </c>
      <c r="B209" s="518"/>
      <c r="C209" s="518"/>
      <c r="D209" s="518"/>
      <c r="E209" s="518"/>
      <c r="F209" s="518"/>
      <c r="G209" s="515" t="s">
        <v>167</v>
      </c>
      <c r="H209" s="515"/>
      <c r="I209" s="515"/>
      <c r="J209" s="515"/>
      <c r="K209" s="518" t="s">
        <v>203</v>
      </c>
      <c r="L209" s="518"/>
      <c r="M209" s="518"/>
      <c r="N209" s="518" t="s">
        <v>204</v>
      </c>
      <c r="O209" s="518"/>
      <c r="P209" s="518"/>
      <c r="R209" s="518" t="s">
        <v>205</v>
      </c>
      <c r="S209" s="518"/>
      <c r="T209" s="518"/>
      <c r="U209" s="518" t="s">
        <v>33</v>
      </c>
      <c r="V209" s="518"/>
      <c r="W209" s="518"/>
      <c r="X209" s="518" t="s">
        <v>34</v>
      </c>
      <c r="Y209" s="518"/>
      <c r="Z209" s="518"/>
      <c r="AA209" s="518" t="s">
        <v>31</v>
      </c>
      <c r="AB209" s="518"/>
      <c r="AC209" s="518"/>
      <c r="AD209" s="518" t="s">
        <v>35</v>
      </c>
      <c r="AE209" s="518"/>
      <c r="AF209" s="518"/>
      <c r="AH209" s="518" t="s">
        <v>205</v>
      </c>
      <c r="AI209" s="518"/>
      <c r="AJ209" s="518"/>
      <c r="AK209" s="518" t="s">
        <v>33</v>
      </c>
      <c r="AL209" s="518"/>
      <c r="AM209" s="518"/>
      <c r="AN209" s="518" t="s">
        <v>34</v>
      </c>
      <c r="AO209" s="518"/>
      <c r="AP209" s="518"/>
      <c r="AQ209" s="518" t="s">
        <v>31</v>
      </c>
      <c r="AR209" s="518"/>
      <c r="AS209" s="518"/>
      <c r="AT209" s="518" t="s">
        <v>35</v>
      </c>
      <c r="AU209" s="518"/>
      <c r="AV209" s="518"/>
      <c r="AX209" s="515" t="s">
        <v>208</v>
      </c>
      <c r="AY209" s="515"/>
      <c r="AZ209" s="515"/>
      <c r="BA209" s="515"/>
      <c r="BB209" s="515" t="s">
        <v>199</v>
      </c>
      <c r="BC209" s="515"/>
      <c r="BD209" s="515"/>
      <c r="BE209" s="515"/>
      <c r="BF209" s="515" t="s">
        <v>200</v>
      </c>
      <c r="BG209" s="515"/>
      <c r="BH209" s="515"/>
      <c r="BI209" s="515"/>
      <c r="BJ209" s="515" t="s">
        <v>201</v>
      </c>
      <c r="BK209" s="515"/>
      <c r="BL209" s="515"/>
      <c r="BM209" s="515"/>
      <c r="BN209" s="515" t="s">
        <v>202</v>
      </c>
      <c r="BO209" s="515"/>
      <c r="BP209" s="515"/>
      <c r="BQ209" s="515"/>
    </row>
    <row r="210" spans="1:69" x14ac:dyDescent="0.2">
      <c r="A210" s="495" t="str">
        <f>'Name List'!B52</f>
        <v>Bill Sutton</v>
      </c>
      <c r="B210" s="495"/>
      <c r="C210" s="495"/>
      <c r="D210" s="495"/>
      <c r="E210" s="495"/>
      <c r="F210" s="495"/>
      <c r="G210" s="584">
        <f>'Scores and stats'!QY52</f>
        <v>0</v>
      </c>
      <c r="H210" s="495"/>
      <c r="I210" s="495"/>
      <c r="J210" s="495"/>
      <c r="K210" s="495">
        <f>'Scores and stats'!RP52</f>
        <v>0</v>
      </c>
      <c r="L210" s="495"/>
      <c r="M210" s="495"/>
      <c r="N210" s="584">
        <f t="shared" ref="N210:N265" si="7">SUM(G210:M210)</f>
        <v>0</v>
      </c>
      <c r="O210" s="495"/>
      <c r="P210" s="495"/>
      <c r="R210" s="584">
        <v>0</v>
      </c>
      <c r="S210" s="584"/>
      <c r="T210" s="584"/>
      <c r="U210" s="584">
        <f>'Scores and stats'!QT52</f>
        <v>0</v>
      </c>
      <c r="V210" s="584"/>
      <c r="W210" s="584"/>
      <c r="X210" s="584">
        <f>'Scores and stats'!QU52</f>
        <v>0</v>
      </c>
      <c r="Y210" s="584"/>
      <c r="Z210" s="584"/>
      <c r="AA210" s="584">
        <f>'Scores and stats'!QV52</f>
        <v>0</v>
      </c>
      <c r="AB210" s="584"/>
      <c r="AC210" s="584"/>
      <c r="AD210" s="584">
        <f>'Scores and stats'!QW52</f>
        <v>0</v>
      </c>
      <c r="AE210" s="584"/>
      <c r="AF210" s="584"/>
      <c r="AH210" s="584">
        <f>IFERROR(R210/N210,0)</f>
        <v>0</v>
      </c>
      <c r="AI210" s="495"/>
      <c r="AJ210" s="495"/>
      <c r="AK210" s="495">
        <f t="shared" ref="AK210:AK265" si="8">IFERROR(U210/N210,0)</f>
        <v>0</v>
      </c>
      <c r="AL210" s="495"/>
      <c r="AM210" s="495"/>
      <c r="AN210" s="495">
        <f t="shared" ref="AN210:AN265" si="9">IFERROR(X210/N210,0)</f>
        <v>0</v>
      </c>
      <c r="AO210" s="495"/>
      <c r="AP210" s="495"/>
      <c r="AQ210" s="495">
        <f t="shared" ref="AQ210:AQ265" si="10">IFERROR(AA210/N210,0)</f>
        <v>0</v>
      </c>
      <c r="AR210" s="495"/>
      <c r="AS210" s="495"/>
      <c r="AT210" s="585">
        <f t="shared" ref="AT210:AT265" si="11">IFERROR(AD210/G210,0)</f>
        <v>0</v>
      </c>
      <c r="AU210" s="585"/>
      <c r="AV210" s="585"/>
      <c r="AX210" s="584">
        <f>'Scores and stats'!RC52</f>
        <v>0</v>
      </c>
      <c r="AY210" s="584"/>
      <c r="AZ210" s="584"/>
      <c r="BA210" s="584"/>
      <c r="BB210" s="584">
        <f>'Scores and stats'!RF52</f>
        <v>0</v>
      </c>
      <c r="BC210" s="584"/>
      <c r="BD210" s="584"/>
      <c r="BE210" s="584"/>
      <c r="BF210" s="584">
        <f>'Scores and stats'!RK52</f>
        <v>0</v>
      </c>
      <c r="BG210" s="584"/>
      <c r="BH210" s="584"/>
      <c r="BI210" s="584"/>
      <c r="BJ210" s="584">
        <f>'Scores and stats'!RH52</f>
        <v>0</v>
      </c>
      <c r="BK210" s="584"/>
      <c r="BL210" s="584"/>
      <c r="BM210" s="584"/>
      <c r="BN210" s="584">
        <f>'Scores and stats'!RM52</f>
        <v>0</v>
      </c>
      <c r="BO210" s="584"/>
      <c r="BP210" s="584"/>
      <c r="BQ210" s="584"/>
    </row>
    <row r="211" spans="1:69" x14ac:dyDescent="0.2">
      <c r="A211" s="496" t="str">
        <f>'Name List'!B53</f>
        <v>Dan Thomas</v>
      </c>
      <c r="B211" s="496"/>
      <c r="C211" s="496"/>
      <c r="D211" s="496"/>
      <c r="E211" s="496"/>
      <c r="F211" s="496"/>
      <c r="G211" s="587">
        <f>'Scores and stats'!QY53</f>
        <v>1</v>
      </c>
      <c r="H211" s="496"/>
      <c r="I211" s="496"/>
      <c r="J211" s="496"/>
      <c r="K211" s="496">
        <f>'Scores and stats'!RP53</f>
        <v>1</v>
      </c>
      <c r="L211" s="496"/>
      <c r="M211" s="496"/>
      <c r="N211" s="587">
        <f t="shared" si="7"/>
        <v>2</v>
      </c>
      <c r="O211" s="496"/>
      <c r="P211" s="496"/>
      <c r="R211" s="587">
        <v>0</v>
      </c>
      <c r="S211" s="587"/>
      <c r="T211" s="587"/>
      <c r="U211" s="587">
        <f>'Scores and stats'!QT53</f>
        <v>0</v>
      </c>
      <c r="V211" s="587"/>
      <c r="W211" s="587"/>
      <c r="X211" s="587">
        <f>'Scores and stats'!QU53</f>
        <v>3</v>
      </c>
      <c r="Y211" s="587"/>
      <c r="Z211" s="587"/>
      <c r="AA211" s="587">
        <f>'Scores and stats'!QV53</f>
        <v>20</v>
      </c>
      <c r="AB211" s="587"/>
      <c r="AC211" s="587"/>
      <c r="AD211" s="587">
        <f>'Scores and stats'!QW53</f>
        <v>2</v>
      </c>
      <c r="AE211" s="587"/>
      <c r="AF211" s="587"/>
      <c r="AH211" s="587">
        <f t="shared" ref="AH211:AH255" si="12">IFERROR(R211/N211,0)</f>
        <v>0</v>
      </c>
      <c r="AI211" s="496"/>
      <c r="AJ211" s="496"/>
      <c r="AK211" s="496">
        <f t="shared" si="8"/>
        <v>0</v>
      </c>
      <c r="AL211" s="496"/>
      <c r="AM211" s="496"/>
      <c r="AN211" s="496">
        <f t="shared" si="9"/>
        <v>1.5</v>
      </c>
      <c r="AO211" s="496"/>
      <c r="AP211" s="496"/>
      <c r="AQ211" s="496">
        <f t="shared" si="10"/>
        <v>10</v>
      </c>
      <c r="AR211" s="496"/>
      <c r="AS211" s="496"/>
      <c r="AT211" s="589">
        <f t="shared" si="11"/>
        <v>2</v>
      </c>
      <c r="AU211" s="589"/>
      <c r="AV211" s="589"/>
      <c r="AX211" s="587">
        <f>'Scores and stats'!RC53</f>
        <v>33</v>
      </c>
      <c r="AY211" s="587"/>
      <c r="AZ211" s="587"/>
      <c r="BA211" s="587"/>
      <c r="BB211" s="587">
        <f>'Scores and stats'!RF53</f>
        <v>33</v>
      </c>
      <c r="BC211" s="587"/>
      <c r="BD211" s="587"/>
      <c r="BE211" s="587"/>
      <c r="BF211" s="587">
        <f>'Scores and stats'!RK53</f>
        <v>33</v>
      </c>
      <c r="BG211" s="587"/>
      <c r="BH211" s="587"/>
      <c r="BI211" s="587"/>
      <c r="BJ211" s="587">
        <f>'Scores and stats'!RH53</f>
        <v>0</v>
      </c>
      <c r="BK211" s="587"/>
      <c r="BL211" s="587"/>
      <c r="BM211" s="587"/>
      <c r="BN211" s="587">
        <f>'Scores and stats'!RM53</f>
        <v>78</v>
      </c>
      <c r="BO211" s="587"/>
      <c r="BP211" s="587"/>
      <c r="BQ211" s="587"/>
    </row>
    <row r="212" spans="1:69" x14ac:dyDescent="0.2">
      <c r="A212" s="495" t="str">
        <f>'Name List'!B54</f>
        <v>Andy Thompson</v>
      </c>
      <c r="B212" s="495"/>
      <c r="C212" s="495"/>
      <c r="D212" s="495"/>
      <c r="E212" s="495"/>
      <c r="F212" s="495"/>
      <c r="G212" s="584">
        <f>'Scores and stats'!QY54</f>
        <v>0</v>
      </c>
      <c r="H212" s="495"/>
      <c r="I212" s="495"/>
      <c r="J212" s="495"/>
      <c r="K212" s="495">
        <f>'Scores and stats'!RP54</f>
        <v>0</v>
      </c>
      <c r="L212" s="495"/>
      <c r="M212" s="495"/>
      <c r="N212" s="584">
        <f t="shared" si="7"/>
        <v>0</v>
      </c>
      <c r="O212" s="495"/>
      <c r="P212" s="495"/>
      <c r="R212" s="584">
        <v>0</v>
      </c>
      <c r="S212" s="584"/>
      <c r="T212" s="584"/>
      <c r="U212" s="584">
        <f>'Scores and stats'!QT54</f>
        <v>0</v>
      </c>
      <c r="V212" s="584"/>
      <c r="W212" s="584"/>
      <c r="X212" s="584">
        <f>'Scores and stats'!QU54</f>
        <v>0</v>
      </c>
      <c r="Y212" s="584"/>
      <c r="Z212" s="584"/>
      <c r="AA212" s="584">
        <f>'Scores and stats'!QV54</f>
        <v>0</v>
      </c>
      <c r="AB212" s="584"/>
      <c r="AC212" s="584"/>
      <c r="AD212" s="584">
        <f>'Scores and stats'!QW54</f>
        <v>0</v>
      </c>
      <c r="AE212" s="584"/>
      <c r="AF212" s="584"/>
      <c r="AH212" s="584">
        <f t="shared" si="12"/>
        <v>0</v>
      </c>
      <c r="AI212" s="495"/>
      <c r="AJ212" s="495"/>
      <c r="AK212" s="495">
        <f t="shared" si="8"/>
        <v>0</v>
      </c>
      <c r="AL212" s="495"/>
      <c r="AM212" s="495"/>
      <c r="AN212" s="495">
        <f t="shared" si="9"/>
        <v>0</v>
      </c>
      <c r="AO212" s="495"/>
      <c r="AP212" s="495"/>
      <c r="AQ212" s="495">
        <f t="shared" si="10"/>
        <v>0</v>
      </c>
      <c r="AR212" s="495"/>
      <c r="AS212" s="495"/>
      <c r="AT212" s="585">
        <f t="shared" si="11"/>
        <v>0</v>
      </c>
      <c r="AU212" s="585"/>
      <c r="AV212" s="585"/>
      <c r="AX212" s="584">
        <f>'Scores and stats'!RC54</f>
        <v>0</v>
      </c>
      <c r="AY212" s="584"/>
      <c r="AZ212" s="584"/>
      <c r="BA212" s="584"/>
      <c r="BB212" s="584">
        <f>'Scores and stats'!RF54</f>
        <v>0</v>
      </c>
      <c r="BC212" s="584"/>
      <c r="BD212" s="584"/>
      <c r="BE212" s="584"/>
      <c r="BF212" s="584">
        <f>'Scores and stats'!RK54</f>
        <v>0</v>
      </c>
      <c r="BG212" s="584"/>
      <c r="BH212" s="584"/>
      <c r="BI212" s="584"/>
      <c r="BJ212" s="584">
        <f>'Scores and stats'!RH54</f>
        <v>0</v>
      </c>
      <c r="BK212" s="584"/>
      <c r="BL212" s="584"/>
      <c r="BM212" s="584"/>
      <c r="BN212" s="584">
        <f>'Scores and stats'!RM54</f>
        <v>0</v>
      </c>
      <c r="BO212" s="584"/>
      <c r="BP212" s="584"/>
      <c r="BQ212" s="584"/>
    </row>
    <row r="213" spans="1:69" x14ac:dyDescent="0.2">
      <c r="A213" s="496" t="str">
        <f>'Name List'!B55</f>
        <v>Rory Thompson</v>
      </c>
      <c r="B213" s="496"/>
      <c r="C213" s="496"/>
      <c r="D213" s="496"/>
      <c r="E213" s="496"/>
      <c r="F213" s="496"/>
      <c r="G213" s="587">
        <f>'Scores and stats'!QY55</f>
        <v>0</v>
      </c>
      <c r="H213" s="496"/>
      <c r="I213" s="496"/>
      <c r="J213" s="496"/>
      <c r="K213" s="496">
        <f>'Scores and stats'!RP55</f>
        <v>0</v>
      </c>
      <c r="L213" s="496"/>
      <c r="M213" s="496"/>
      <c r="N213" s="587">
        <f t="shared" si="7"/>
        <v>0</v>
      </c>
      <c r="O213" s="496"/>
      <c r="P213" s="496"/>
      <c r="R213" s="587">
        <v>0</v>
      </c>
      <c r="S213" s="587"/>
      <c r="T213" s="587"/>
      <c r="U213" s="587">
        <f>'Scores and stats'!QT55</f>
        <v>0</v>
      </c>
      <c r="V213" s="587"/>
      <c r="W213" s="587"/>
      <c r="X213" s="587">
        <f>'Scores and stats'!QU55</f>
        <v>0</v>
      </c>
      <c r="Y213" s="587"/>
      <c r="Z213" s="587"/>
      <c r="AA213" s="587">
        <f>'Scores and stats'!QV55</f>
        <v>0</v>
      </c>
      <c r="AB213" s="587"/>
      <c r="AC213" s="587"/>
      <c r="AD213" s="587">
        <f>'Scores and stats'!QW55</f>
        <v>0</v>
      </c>
      <c r="AE213" s="587"/>
      <c r="AF213" s="587"/>
      <c r="AH213" s="587">
        <f t="shared" si="12"/>
        <v>0</v>
      </c>
      <c r="AI213" s="496"/>
      <c r="AJ213" s="496"/>
      <c r="AK213" s="496">
        <f t="shared" si="8"/>
        <v>0</v>
      </c>
      <c r="AL213" s="496"/>
      <c r="AM213" s="496"/>
      <c r="AN213" s="496">
        <f t="shared" si="9"/>
        <v>0</v>
      </c>
      <c r="AO213" s="496"/>
      <c r="AP213" s="496"/>
      <c r="AQ213" s="496">
        <f t="shared" si="10"/>
        <v>0</v>
      </c>
      <c r="AR213" s="496"/>
      <c r="AS213" s="496"/>
      <c r="AT213" s="589">
        <f t="shared" si="11"/>
        <v>0</v>
      </c>
      <c r="AU213" s="589"/>
      <c r="AV213" s="589"/>
      <c r="AX213" s="587">
        <f>'Scores and stats'!RC55</f>
        <v>0</v>
      </c>
      <c r="AY213" s="587"/>
      <c r="AZ213" s="587"/>
      <c r="BA213" s="587"/>
      <c r="BB213" s="587">
        <f>'Scores and stats'!RF55</f>
        <v>0</v>
      </c>
      <c r="BC213" s="587"/>
      <c r="BD213" s="587"/>
      <c r="BE213" s="587"/>
      <c r="BF213" s="587">
        <f>'Scores and stats'!RK55</f>
        <v>0</v>
      </c>
      <c r="BG213" s="587"/>
      <c r="BH213" s="587"/>
      <c r="BI213" s="587"/>
      <c r="BJ213" s="587">
        <f>'Scores and stats'!RH55</f>
        <v>0</v>
      </c>
      <c r="BK213" s="587"/>
      <c r="BL213" s="587"/>
      <c r="BM213" s="587"/>
      <c r="BN213" s="587">
        <f>'Scores and stats'!RM55</f>
        <v>0</v>
      </c>
      <c r="BO213" s="587"/>
      <c r="BP213" s="587"/>
      <c r="BQ213" s="587"/>
    </row>
    <row r="214" spans="1:69" x14ac:dyDescent="0.2">
      <c r="A214" s="495" t="str">
        <f>'Name List'!B56</f>
        <v>Sonny Thompson</v>
      </c>
      <c r="B214" s="495"/>
      <c r="C214" s="495"/>
      <c r="D214" s="495"/>
      <c r="E214" s="495"/>
      <c r="F214" s="495"/>
      <c r="G214" s="584">
        <f>'Scores and stats'!QY56</f>
        <v>0</v>
      </c>
      <c r="H214" s="495"/>
      <c r="I214" s="495"/>
      <c r="J214" s="495"/>
      <c r="K214" s="495">
        <f>'Scores and stats'!RP56</f>
        <v>0</v>
      </c>
      <c r="L214" s="495"/>
      <c r="M214" s="495"/>
      <c r="N214" s="584">
        <f t="shared" si="7"/>
        <v>0</v>
      </c>
      <c r="O214" s="495"/>
      <c r="P214" s="495"/>
      <c r="R214" s="584">
        <v>0</v>
      </c>
      <c r="S214" s="584"/>
      <c r="T214" s="584"/>
      <c r="U214" s="584">
        <f>'Scores and stats'!QT56</f>
        <v>0</v>
      </c>
      <c r="V214" s="584"/>
      <c r="W214" s="584"/>
      <c r="X214" s="584">
        <f>'Scores and stats'!QU56</f>
        <v>0</v>
      </c>
      <c r="Y214" s="584"/>
      <c r="Z214" s="584"/>
      <c r="AA214" s="584">
        <f>'Scores and stats'!QV56</f>
        <v>0</v>
      </c>
      <c r="AB214" s="584"/>
      <c r="AC214" s="584"/>
      <c r="AD214" s="584">
        <f>'Scores and stats'!QW56</f>
        <v>0</v>
      </c>
      <c r="AE214" s="584"/>
      <c r="AF214" s="584"/>
      <c r="AH214" s="584">
        <f t="shared" si="12"/>
        <v>0</v>
      </c>
      <c r="AI214" s="495"/>
      <c r="AJ214" s="495"/>
      <c r="AK214" s="495">
        <f t="shared" si="8"/>
        <v>0</v>
      </c>
      <c r="AL214" s="495"/>
      <c r="AM214" s="495"/>
      <c r="AN214" s="495">
        <f t="shared" si="9"/>
        <v>0</v>
      </c>
      <c r="AO214" s="495"/>
      <c r="AP214" s="495"/>
      <c r="AQ214" s="495">
        <f t="shared" si="10"/>
        <v>0</v>
      </c>
      <c r="AR214" s="495"/>
      <c r="AS214" s="495"/>
      <c r="AT214" s="585">
        <f t="shared" si="11"/>
        <v>0</v>
      </c>
      <c r="AU214" s="585"/>
      <c r="AV214" s="585"/>
      <c r="AX214" s="584">
        <f>'Scores and stats'!RC56</f>
        <v>0</v>
      </c>
      <c r="AY214" s="584"/>
      <c r="AZ214" s="584"/>
      <c r="BA214" s="584"/>
      <c r="BB214" s="584">
        <f>'Scores and stats'!RF56</f>
        <v>0</v>
      </c>
      <c r="BC214" s="584"/>
      <c r="BD214" s="584"/>
      <c r="BE214" s="584"/>
      <c r="BF214" s="584">
        <f>'Scores and stats'!RK56</f>
        <v>0</v>
      </c>
      <c r="BG214" s="584"/>
      <c r="BH214" s="584"/>
      <c r="BI214" s="584"/>
      <c r="BJ214" s="584">
        <f>'Scores and stats'!RH56</f>
        <v>0</v>
      </c>
      <c r="BK214" s="584"/>
      <c r="BL214" s="584"/>
      <c r="BM214" s="584"/>
      <c r="BN214" s="584">
        <f>'Scores and stats'!RM56</f>
        <v>0</v>
      </c>
      <c r="BO214" s="584"/>
      <c r="BP214" s="584"/>
      <c r="BQ214" s="584"/>
    </row>
    <row r="215" spans="1:69" x14ac:dyDescent="0.2">
      <c r="A215" s="496" t="str">
        <f>'Name List'!B57</f>
        <v>Kevin Tribley</v>
      </c>
      <c r="B215" s="496"/>
      <c r="C215" s="496"/>
      <c r="D215" s="496"/>
      <c r="E215" s="496"/>
      <c r="F215" s="496"/>
      <c r="G215" s="587">
        <f>'Scores and stats'!QY57</f>
        <v>12</v>
      </c>
      <c r="H215" s="496"/>
      <c r="I215" s="496"/>
      <c r="J215" s="496"/>
      <c r="K215" s="496">
        <f>'Scores and stats'!RP57</f>
        <v>0</v>
      </c>
      <c r="L215" s="496"/>
      <c r="M215" s="496"/>
      <c r="N215" s="587">
        <f t="shared" si="7"/>
        <v>12</v>
      </c>
      <c r="O215" s="496"/>
      <c r="P215" s="496"/>
      <c r="R215" s="587">
        <v>0</v>
      </c>
      <c r="S215" s="587"/>
      <c r="T215" s="587"/>
      <c r="U215" s="587">
        <f>'Scores and stats'!QT57</f>
        <v>0</v>
      </c>
      <c r="V215" s="587"/>
      <c r="W215" s="587"/>
      <c r="X215" s="587">
        <f>'Scores and stats'!QU57</f>
        <v>10</v>
      </c>
      <c r="Y215" s="587"/>
      <c r="Z215" s="587"/>
      <c r="AA215" s="587">
        <f>'Scores and stats'!QV57</f>
        <v>87</v>
      </c>
      <c r="AB215" s="587"/>
      <c r="AC215" s="587"/>
      <c r="AD215" s="587">
        <f>'Scores and stats'!QW57</f>
        <v>20</v>
      </c>
      <c r="AE215" s="587"/>
      <c r="AF215" s="587"/>
      <c r="AH215" s="587">
        <f t="shared" si="12"/>
        <v>0</v>
      </c>
      <c r="AI215" s="496"/>
      <c r="AJ215" s="496"/>
      <c r="AK215" s="496">
        <f t="shared" si="8"/>
        <v>0</v>
      </c>
      <c r="AL215" s="496"/>
      <c r="AM215" s="496"/>
      <c r="AN215" s="588">
        <f t="shared" si="9"/>
        <v>0.83333333333333337</v>
      </c>
      <c r="AO215" s="588"/>
      <c r="AP215" s="588"/>
      <c r="AQ215" s="588">
        <f t="shared" si="10"/>
        <v>7.25</v>
      </c>
      <c r="AR215" s="588"/>
      <c r="AS215" s="588"/>
      <c r="AT215" s="589">
        <f t="shared" si="11"/>
        <v>1.6666666666666667</v>
      </c>
      <c r="AU215" s="589"/>
      <c r="AV215" s="589"/>
      <c r="AX215" s="587">
        <f>'Scores and stats'!RC57</f>
        <v>37</v>
      </c>
      <c r="AY215" s="587"/>
      <c r="AZ215" s="587"/>
      <c r="BA215" s="587"/>
      <c r="BB215" s="587">
        <f>'Scores and stats'!RF57</f>
        <v>27</v>
      </c>
      <c r="BC215" s="587"/>
      <c r="BD215" s="587"/>
      <c r="BE215" s="587"/>
      <c r="BF215" s="587">
        <f>'Scores and stats'!RK57</f>
        <v>31.166666666666668</v>
      </c>
      <c r="BG215" s="587"/>
      <c r="BH215" s="587"/>
      <c r="BI215" s="587"/>
      <c r="BJ215" s="587">
        <f>'Scores and stats'!RH57</f>
        <v>33</v>
      </c>
      <c r="BK215" s="587"/>
      <c r="BL215" s="587"/>
      <c r="BM215" s="587"/>
      <c r="BN215" s="587">
        <f>'Scores and stats'!RM57</f>
        <v>0</v>
      </c>
      <c r="BO215" s="587"/>
      <c r="BP215" s="587"/>
      <c r="BQ215" s="587"/>
    </row>
    <row r="216" spans="1:69" x14ac:dyDescent="0.2">
      <c r="A216" s="495" t="str">
        <f>'Name List'!B58</f>
        <v>Russell Turner</v>
      </c>
      <c r="B216" s="495"/>
      <c r="C216" s="495"/>
      <c r="D216" s="495"/>
      <c r="E216" s="495"/>
      <c r="F216" s="495"/>
      <c r="G216" s="584">
        <f>'Scores and stats'!QY58</f>
        <v>2</v>
      </c>
      <c r="H216" s="495"/>
      <c r="I216" s="495"/>
      <c r="J216" s="495"/>
      <c r="K216" s="495">
        <f>'Scores and stats'!RP58</f>
        <v>0</v>
      </c>
      <c r="L216" s="495"/>
      <c r="M216" s="495"/>
      <c r="N216" s="584">
        <f t="shared" si="7"/>
        <v>2</v>
      </c>
      <c r="O216" s="495"/>
      <c r="P216" s="495"/>
      <c r="R216" s="584">
        <v>0</v>
      </c>
      <c r="S216" s="584"/>
      <c r="T216" s="584"/>
      <c r="U216" s="584">
        <f>'Scores and stats'!QT58</f>
        <v>0</v>
      </c>
      <c r="V216" s="584"/>
      <c r="W216" s="584"/>
      <c r="X216" s="584">
        <f>'Scores and stats'!QU58</f>
        <v>1</v>
      </c>
      <c r="Y216" s="584"/>
      <c r="Z216" s="584"/>
      <c r="AA216" s="584">
        <f>'Scores and stats'!QV58</f>
        <v>22</v>
      </c>
      <c r="AB216" s="584"/>
      <c r="AC216" s="584"/>
      <c r="AD216" s="584">
        <f>'Scores and stats'!QW58</f>
        <v>4</v>
      </c>
      <c r="AE216" s="584"/>
      <c r="AF216" s="584"/>
      <c r="AH216" s="584">
        <f t="shared" si="12"/>
        <v>0</v>
      </c>
      <c r="AI216" s="495"/>
      <c r="AJ216" s="495"/>
      <c r="AK216" s="495">
        <f t="shared" si="8"/>
        <v>0</v>
      </c>
      <c r="AL216" s="495"/>
      <c r="AM216" s="495"/>
      <c r="AN216" s="495">
        <f t="shared" si="9"/>
        <v>0.5</v>
      </c>
      <c r="AO216" s="495"/>
      <c r="AP216" s="495"/>
      <c r="AQ216" s="495">
        <f t="shared" si="10"/>
        <v>11</v>
      </c>
      <c r="AR216" s="495"/>
      <c r="AS216" s="495"/>
      <c r="AT216" s="585">
        <f t="shared" si="11"/>
        <v>2</v>
      </c>
      <c r="AU216" s="585"/>
      <c r="AV216" s="585"/>
      <c r="AX216" s="584">
        <f>'Scores and stats'!RC58</f>
        <v>37</v>
      </c>
      <c r="AY216" s="584"/>
      <c r="AZ216" s="584"/>
      <c r="BA216" s="584"/>
      <c r="BB216" s="584">
        <f>'Scores and stats'!RF58</f>
        <v>35</v>
      </c>
      <c r="BC216" s="584"/>
      <c r="BD216" s="584"/>
      <c r="BE216" s="584"/>
      <c r="BF216" s="584">
        <f>'Scores and stats'!RK58</f>
        <v>36</v>
      </c>
      <c r="BG216" s="584"/>
      <c r="BH216" s="584"/>
      <c r="BI216" s="584"/>
      <c r="BJ216" s="584">
        <f>'Scores and stats'!RH58</f>
        <v>0</v>
      </c>
      <c r="BK216" s="584"/>
      <c r="BL216" s="584"/>
      <c r="BM216" s="584"/>
      <c r="BN216" s="584">
        <f>'Scores and stats'!RM58</f>
        <v>0</v>
      </c>
      <c r="BO216" s="584"/>
      <c r="BP216" s="584"/>
      <c r="BQ216" s="584"/>
    </row>
    <row r="217" spans="1:69" x14ac:dyDescent="0.2">
      <c r="A217" s="496" t="str">
        <f>'Name List'!B59</f>
        <v>Peter Vallely</v>
      </c>
      <c r="B217" s="496"/>
      <c r="C217" s="496"/>
      <c r="D217" s="496"/>
      <c r="E217" s="496"/>
      <c r="F217" s="496"/>
      <c r="G217" s="587">
        <f>'Scores and stats'!QY59</f>
        <v>11</v>
      </c>
      <c r="H217" s="496"/>
      <c r="I217" s="496"/>
      <c r="J217" s="496"/>
      <c r="K217" s="496">
        <f>'Scores and stats'!RP59</f>
        <v>0</v>
      </c>
      <c r="L217" s="496"/>
      <c r="M217" s="496"/>
      <c r="N217" s="587">
        <f t="shared" si="7"/>
        <v>11</v>
      </c>
      <c r="O217" s="496"/>
      <c r="P217" s="496"/>
      <c r="R217" s="587">
        <v>0</v>
      </c>
      <c r="S217" s="587"/>
      <c r="T217" s="587"/>
      <c r="U217" s="587">
        <f>'Scores and stats'!QT59</f>
        <v>0</v>
      </c>
      <c r="V217" s="587"/>
      <c r="W217" s="587"/>
      <c r="X217" s="587">
        <f>'Scores and stats'!QU59</f>
        <v>18</v>
      </c>
      <c r="Y217" s="587"/>
      <c r="Z217" s="587"/>
      <c r="AA217" s="587">
        <f>'Scores and stats'!QV59</f>
        <v>104</v>
      </c>
      <c r="AB217" s="587"/>
      <c r="AC217" s="587"/>
      <c r="AD217" s="587">
        <f>'Scores and stats'!QW59</f>
        <v>14</v>
      </c>
      <c r="AE217" s="587"/>
      <c r="AF217" s="587"/>
      <c r="AH217" s="587">
        <f t="shared" si="12"/>
        <v>0</v>
      </c>
      <c r="AI217" s="496"/>
      <c r="AJ217" s="496"/>
      <c r="AK217" s="496">
        <f t="shared" si="8"/>
        <v>0</v>
      </c>
      <c r="AL217" s="496"/>
      <c r="AM217" s="496"/>
      <c r="AN217" s="588">
        <f t="shared" si="9"/>
        <v>1.6363636363636365</v>
      </c>
      <c r="AO217" s="588"/>
      <c r="AP217" s="588"/>
      <c r="AQ217" s="588">
        <f t="shared" si="10"/>
        <v>9.454545454545455</v>
      </c>
      <c r="AR217" s="588"/>
      <c r="AS217" s="588"/>
      <c r="AT217" s="589">
        <f t="shared" si="11"/>
        <v>1.2727272727272727</v>
      </c>
      <c r="AU217" s="589"/>
      <c r="AV217" s="589"/>
      <c r="AX217" s="587">
        <f>'Scores and stats'!RC59</f>
        <v>39</v>
      </c>
      <c r="AY217" s="587"/>
      <c r="AZ217" s="587"/>
      <c r="BA217" s="587"/>
      <c r="BB217" s="587">
        <f>'Scores and stats'!RF59</f>
        <v>31</v>
      </c>
      <c r="BC217" s="587"/>
      <c r="BD217" s="587"/>
      <c r="BE217" s="587"/>
      <c r="BF217" s="587">
        <f>'Scores and stats'!RK59</f>
        <v>33.545454545454547</v>
      </c>
      <c r="BG217" s="587"/>
      <c r="BH217" s="587"/>
      <c r="BI217" s="587"/>
      <c r="BJ217" s="587">
        <f>'Scores and stats'!RH59</f>
        <v>33</v>
      </c>
      <c r="BK217" s="587"/>
      <c r="BL217" s="587"/>
      <c r="BM217" s="587"/>
      <c r="BN217" s="587">
        <f>'Scores and stats'!RM59</f>
        <v>0</v>
      </c>
      <c r="BO217" s="587"/>
      <c r="BP217" s="587"/>
      <c r="BQ217" s="587"/>
    </row>
    <row r="218" spans="1:69" x14ac:dyDescent="0.2">
      <c r="A218" s="495" t="str">
        <f>'Name List'!B60</f>
        <v>Ryan Vaughan</v>
      </c>
      <c r="B218" s="495"/>
      <c r="C218" s="495"/>
      <c r="D218" s="495"/>
      <c r="E218" s="495"/>
      <c r="F218" s="495"/>
      <c r="G218" s="584">
        <f>'Scores and stats'!QY60</f>
        <v>3</v>
      </c>
      <c r="H218" s="495"/>
      <c r="I218" s="495"/>
      <c r="J218" s="495"/>
      <c r="K218" s="495">
        <f>'Scores and stats'!RP60</f>
        <v>0</v>
      </c>
      <c r="L218" s="495"/>
      <c r="M218" s="495"/>
      <c r="N218" s="584">
        <f t="shared" si="7"/>
        <v>3</v>
      </c>
      <c r="O218" s="495"/>
      <c r="P218" s="495"/>
      <c r="R218" s="584">
        <v>0</v>
      </c>
      <c r="S218" s="584"/>
      <c r="T218" s="584"/>
      <c r="U218" s="584">
        <f>'Scores and stats'!QT60</f>
        <v>0</v>
      </c>
      <c r="V218" s="584"/>
      <c r="W218" s="584"/>
      <c r="X218" s="584">
        <f>'Scores and stats'!QU60</f>
        <v>2</v>
      </c>
      <c r="Y218" s="584"/>
      <c r="Z218" s="584"/>
      <c r="AA218" s="584">
        <f>'Scores and stats'!QV60</f>
        <v>19</v>
      </c>
      <c r="AB218" s="584"/>
      <c r="AC218" s="584"/>
      <c r="AD218" s="584">
        <f>'Scores and stats'!QW60</f>
        <v>9</v>
      </c>
      <c r="AE218" s="584"/>
      <c r="AF218" s="584"/>
      <c r="AH218" s="584">
        <f t="shared" si="12"/>
        <v>0</v>
      </c>
      <c r="AI218" s="495"/>
      <c r="AJ218" s="495"/>
      <c r="AK218" s="495">
        <f t="shared" si="8"/>
        <v>0</v>
      </c>
      <c r="AL218" s="495"/>
      <c r="AM218" s="495"/>
      <c r="AN218" s="586">
        <f t="shared" si="9"/>
        <v>0.66666666666666663</v>
      </c>
      <c r="AO218" s="586"/>
      <c r="AP218" s="586"/>
      <c r="AQ218" s="586">
        <f t="shared" si="10"/>
        <v>6.333333333333333</v>
      </c>
      <c r="AR218" s="586"/>
      <c r="AS218" s="586"/>
      <c r="AT218" s="585">
        <f t="shared" si="11"/>
        <v>3</v>
      </c>
      <c r="AU218" s="585"/>
      <c r="AV218" s="585"/>
      <c r="AX218" s="584">
        <f>'Scores and stats'!RC60</f>
        <v>38</v>
      </c>
      <c r="AY218" s="584"/>
      <c r="AZ218" s="584"/>
      <c r="BA218" s="584"/>
      <c r="BB218" s="584">
        <f>'Scores and stats'!RF60</f>
        <v>34</v>
      </c>
      <c r="BC218" s="584"/>
      <c r="BD218" s="584"/>
      <c r="BE218" s="584"/>
      <c r="BF218" s="584">
        <f>'Scores and stats'!RK60</f>
        <v>34.666666666666664</v>
      </c>
      <c r="BG218" s="584"/>
      <c r="BH218" s="584"/>
      <c r="BI218" s="584"/>
      <c r="BJ218" s="584">
        <f>'Scores and stats'!RH60</f>
        <v>32</v>
      </c>
      <c r="BK218" s="584"/>
      <c r="BL218" s="584"/>
      <c r="BM218" s="584"/>
      <c r="BN218" s="584">
        <f>'Scores and stats'!RM60</f>
        <v>0</v>
      </c>
      <c r="BO218" s="584"/>
      <c r="BP218" s="584"/>
      <c r="BQ218" s="584"/>
    </row>
    <row r="219" spans="1:69" x14ac:dyDescent="0.2">
      <c r="A219" s="496" t="str">
        <f>'Name List'!B61</f>
        <v>Jason Wale</v>
      </c>
      <c r="B219" s="496"/>
      <c r="C219" s="496"/>
      <c r="D219" s="496"/>
      <c r="E219" s="496"/>
      <c r="F219" s="496"/>
      <c r="G219" s="587">
        <f>'Scores and stats'!QY61</f>
        <v>10</v>
      </c>
      <c r="H219" s="496"/>
      <c r="I219" s="496"/>
      <c r="J219" s="496"/>
      <c r="K219" s="496">
        <f>'Scores and stats'!RP61</f>
        <v>0</v>
      </c>
      <c r="L219" s="496"/>
      <c r="M219" s="496"/>
      <c r="N219" s="587">
        <f t="shared" si="7"/>
        <v>10</v>
      </c>
      <c r="O219" s="496"/>
      <c r="P219" s="496"/>
      <c r="R219" s="587">
        <v>0</v>
      </c>
      <c r="S219" s="587"/>
      <c r="T219" s="587"/>
      <c r="U219" s="587">
        <f>'Scores and stats'!QT61</f>
        <v>0</v>
      </c>
      <c r="V219" s="587"/>
      <c r="W219" s="587"/>
      <c r="X219" s="587">
        <f>'Scores and stats'!QU61</f>
        <v>14</v>
      </c>
      <c r="Y219" s="587"/>
      <c r="Z219" s="587"/>
      <c r="AA219" s="587">
        <f>'Scores and stats'!QV61</f>
        <v>78</v>
      </c>
      <c r="AB219" s="587"/>
      <c r="AC219" s="587"/>
      <c r="AD219" s="587">
        <f>'Scores and stats'!QW61</f>
        <v>21</v>
      </c>
      <c r="AE219" s="587"/>
      <c r="AF219" s="587"/>
      <c r="AH219" s="587">
        <f t="shared" si="12"/>
        <v>0</v>
      </c>
      <c r="AI219" s="496"/>
      <c r="AJ219" s="496"/>
      <c r="AK219" s="496">
        <f t="shared" si="8"/>
        <v>0</v>
      </c>
      <c r="AL219" s="496"/>
      <c r="AM219" s="496"/>
      <c r="AN219" s="588">
        <f t="shared" si="9"/>
        <v>1.4</v>
      </c>
      <c r="AO219" s="588"/>
      <c r="AP219" s="588"/>
      <c r="AQ219" s="588">
        <f t="shared" si="10"/>
        <v>7.8</v>
      </c>
      <c r="AR219" s="588"/>
      <c r="AS219" s="588"/>
      <c r="AT219" s="589">
        <f t="shared" si="11"/>
        <v>2.1</v>
      </c>
      <c r="AU219" s="589"/>
      <c r="AV219" s="589"/>
      <c r="AX219" s="587">
        <f>'Scores and stats'!RC61</f>
        <v>40</v>
      </c>
      <c r="AY219" s="587"/>
      <c r="AZ219" s="587"/>
      <c r="BA219" s="587"/>
      <c r="BB219" s="587">
        <f>'Scores and stats'!RF61</f>
        <v>26</v>
      </c>
      <c r="BC219" s="587"/>
      <c r="BD219" s="587"/>
      <c r="BE219" s="587"/>
      <c r="BF219" s="587">
        <f>'Scores and stats'!RK61</f>
        <v>32.4</v>
      </c>
      <c r="BG219" s="587"/>
      <c r="BH219" s="587"/>
      <c r="BI219" s="587"/>
      <c r="BJ219" s="587">
        <f>'Scores and stats'!RH61</f>
        <v>36</v>
      </c>
      <c r="BK219" s="587"/>
      <c r="BL219" s="587"/>
      <c r="BM219" s="587"/>
      <c r="BN219" s="587">
        <f>'Scores and stats'!RM61</f>
        <v>0</v>
      </c>
      <c r="BO219" s="587"/>
      <c r="BP219" s="587"/>
      <c r="BQ219" s="587"/>
    </row>
    <row r="220" spans="1:69" x14ac:dyDescent="0.2">
      <c r="A220" s="495" t="str">
        <f>'Name List'!B62</f>
        <v>Terry Walker</v>
      </c>
      <c r="B220" s="495"/>
      <c r="C220" s="495"/>
      <c r="D220" s="495"/>
      <c r="E220" s="495"/>
      <c r="F220" s="495"/>
      <c r="G220" s="584">
        <f>'Scores and stats'!QY62</f>
        <v>5</v>
      </c>
      <c r="H220" s="495"/>
      <c r="I220" s="495"/>
      <c r="J220" s="495"/>
      <c r="K220" s="495">
        <f>'Scores and stats'!RP62</f>
        <v>0</v>
      </c>
      <c r="L220" s="495"/>
      <c r="M220" s="495"/>
      <c r="N220" s="584">
        <f t="shared" si="7"/>
        <v>5</v>
      </c>
      <c r="O220" s="495"/>
      <c r="P220" s="495"/>
      <c r="R220" s="584">
        <v>0</v>
      </c>
      <c r="S220" s="584"/>
      <c r="T220" s="584"/>
      <c r="U220" s="584">
        <f>'Scores and stats'!QT62</f>
        <v>0</v>
      </c>
      <c r="V220" s="584"/>
      <c r="W220" s="584"/>
      <c r="X220" s="584">
        <f>'Scores and stats'!QU62</f>
        <v>2</v>
      </c>
      <c r="Y220" s="584"/>
      <c r="Z220" s="584"/>
      <c r="AA220" s="584">
        <f>'Scores and stats'!QV62</f>
        <v>31</v>
      </c>
      <c r="AB220" s="584"/>
      <c r="AC220" s="584"/>
      <c r="AD220" s="584">
        <f>'Scores and stats'!QW62</f>
        <v>16</v>
      </c>
      <c r="AE220" s="584"/>
      <c r="AF220" s="584"/>
      <c r="AH220" s="584">
        <f t="shared" si="12"/>
        <v>0</v>
      </c>
      <c r="AI220" s="495"/>
      <c r="AJ220" s="495"/>
      <c r="AK220" s="495">
        <f t="shared" si="8"/>
        <v>0</v>
      </c>
      <c r="AL220" s="495"/>
      <c r="AM220" s="495"/>
      <c r="AN220" s="586">
        <f t="shared" si="9"/>
        <v>0.4</v>
      </c>
      <c r="AO220" s="586"/>
      <c r="AP220" s="586"/>
      <c r="AQ220" s="586">
        <f t="shared" si="10"/>
        <v>6.2</v>
      </c>
      <c r="AR220" s="586"/>
      <c r="AS220" s="586"/>
      <c r="AT220" s="585">
        <f t="shared" si="11"/>
        <v>3.2</v>
      </c>
      <c r="AU220" s="585"/>
      <c r="AV220" s="585"/>
      <c r="AX220" s="584">
        <f>'Scores and stats'!RC62</f>
        <v>27</v>
      </c>
      <c r="AY220" s="584"/>
      <c r="AZ220" s="584"/>
      <c r="BA220" s="584"/>
      <c r="BB220" s="584">
        <f>'Scores and stats'!RF62</f>
        <v>26</v>
      </c>
      <c r="BC220" s="584"/>
      <c r="BD220" s="584"/>
      <c r="BE220" s="584"/>
      <c r="BF220" s="584">
        <f>'Scores and stats'!RK62</f>
        <v>27</v>
      </c>
      <c r="BG220" s="584"/>
      <c r="BH220" s="584"/>
      <c r="BI220" s="584"/>
      <c r="BJ220" s="584">
        <f>'Scores and stats'!RH62</f>
        <v>32</v>
      </c>
      <c r="BK220" s="584"/>
      <c r="BL220" s="584"/>
      <c r="BM220" s="584"/>
      <c r="BN220" s="584">
        <f>'Scores and stats'!RM62</f>
        <v>0</v>
      </c>
      <c r="BO220" s="584"/>
      <c r="BP220" s="584"/>
      <c r="BQ220" s="584"/>
    </row>
    <row r="221" spans="1:69" x14ac:dyDescent="0.2">
      <c r="A221" s="496" t="str">
        <f>'Name List'!B63</f>
        <v>Finn Wheeler</v>
      </c>
      <c r="B221" s="496"/>
      <c r="C221" s="496"/>
      <c r="D221" s="496"/>
      <c r="E221" s="496"/>
      <c r="F221" s="496"/>
      <c r="G221" s="587">
        <f>'Scores and stats'!QY63</f>
        <v>3</v>
      </c>
      <c r="H221" s="496"/>
      <c r="I221" s="496"/>
      <c r="J221" s="496"/>
      <c r="K221" s="496">
        <f>'Scores and stats'!RP63</f>
        <v>0</v>
      </c>
      <c r="L221" s="496"/>
      <c r="M221" s="496"/>
      <c r="N221" s="587">
        <f t="shared" si="7"/>
        <v>3</v>
      </c>
      <c r="O221" s="496"/>
      <c r="P221" s="496"/>
      <c r="R221" s="587">
        <v>0</v>
      </c>
      <c r="S221" s="587"/>
      <c r="T221" s="587"/>
      <c r="U221" s="587">
        <f>'Scores and stats'!QT63</f>
        <v>0</v>
      </c>
      <c r="V221" s="587"/>
      <c r="W221" s="587"/>
      <c r="X221" s="587">
        <f>'Scores and stats'!QU63</f>
        <v>2</v>
      </c>
      <c r="Y221" s="587"/>
      <c r="Z221" s="587"/>
      <c r="AA221" s="587">
        <f>'Scores and stats'!QV63</f>
        <v>22</v>
      </c>
      <c r="AB221" s="587"/>
      <c r="AC221" s="587"/>
      <c r="AD221" s="587">
        <f>'Scores and stats'!QW63</f>
        <v>8</v>
      </c>
      <c r="AE221" s="587"/>
      <c r="AF221" s="587"/>
      <c r="AH221" s="587">
        <f t="shared" si="12"/>
        <v>0</v>
      </c>
      <c r="AI221" s="496"/>
      <c r="AJ221" s="496"/>
      <c r="AK221" s="496">
        <f t="shared" si="8"/>
        <v>0</v>
      </c>
      <c r="AL221" s="496"/>
      <c r="AM221" s="496"/>
      <c r="AN221" s="588">
        <f t="shared" si="9"/>
        <v>0.66666666666666663</v>
      </c>
      <c r="AO221" s="588"/>
      <c r="AP221" s="588"/>
      <c r="AQ221" s="588">
        <f t="shared" si="10"/>
        <v>7.333333333333333</v>
      </c>
      <c r="AR221" s="588"/>
      <c r="AS221" s="588"/>
      <c r="AT221" s="589">
        <f t="shared" si="11"/>
        <v>2.6666666666666665</v>
      </c>
      <c r="AU221" s="589"/>
      <c r="AV221" s="589"/>
      <c r="AX221" s="587">
        <f>'Scores and stats'!RC63</f>
        <v>35</v>
      </c>
      <c r="AY221" s="587"/>
      <c r="AZ221" s="587"/>
      <c r="BA221" s="587"/>
      <c r="BB221" s="587">
        <f>'Scores and stats'!RF63</f>
        <v>24</v>
      </c>
      <c r="BC221" s="587"/>
      <c r="BD221" s="587"/>
      <c r="BE221" s="587"/>
      <c r="BF221" s="587">
        <f>'Scores and stats'!RK63</f>
        <v>29</v>
      </c>
      <c r="BG221" s="587"/>
      <c r="BH221" s="587"/>
      <c r="BI221" s="587"/>
      <c r="BJ221" s="587">
        <f>'Scores and stats'!RH63</f>
        <v>0</v>
      </c>
      <c r="BK221" s="587"/>
      <c r="BL221" s="587"/>
      <c r="BM221" s="587"/>
      <c r="BN221" s="587">
        <f>'Scores and stats'!RM63</f>
        <v>0</v>
      </c>
      <c r="BO221" s="587"/>
      <c r="BP221" s="587"/>
      <c r="BQ221" s="587"/>
    </row>
    <row r="222" spans="1:69" x14ac:dyDescent="0.2">
      <c r="A222" s="495" t="str">
        <f>'Name List'!B64</f>
        <v>Steve Wheeler</v>
      </c>
      <c r="B222" s="495"/>
      <c r="C222" s="495"/>
      <c r="D222" s="495"/>
      <c r="E222" s="495"/>
      <c r="F222" s="495"/>
      <c r="G222" s="584">
        <f>'Scores and stats'!QY64</f>
        <v>3</v>
      </c>
      <c r="H222" s="495"/>
      <c r="I222" s="495"/>
      <c r="J222" s="495"/>
      <c r="K222" s="495">
        <f>'Scores and stats'!RP64</f>
        <v>0</v>
      </c>
      <c r="L222" s="495"/>
      <c r="M222" s="495"/>
      <c r="N222" s="584">
        <f t="shared" si="7"/>
        <v>3</v>
      </c>
      <c r="O222" s="495"/>
      <c r="P222" s="495"/>
      <c r="R222" s="584">
        <v>0</v>
      </c>
      <c r="S222" s="584"/>
      <c r="T222" s="584"/>
      <c r="U222" s="584">
        <f>'Scores and stats'!QT64</f>
        <v>0</v>
      </c>
      <c r="V222" s="584"/>
      <c r="W222" s="584"/>
      <c r="X222" s="584">
        <f>'Scores and stats'!QU64</f>
        <v>2</v>
      </c>
      <c r="Y222" s="584"/>
      <c r="Z222" s="584"/>
      <c r="AA222" s="584">
        <f>'Scores and stats'!QV64</f>
        <v>18</v>
      </c>
      <c r="AB222" s="584"/>
      <c r="AC222" s="584"/>
      <c r="AD222" s="584">
        <f>'Scores and stats'!QW64</f>
        <v>13</v>
      </c>
      <c r="AE222" s="584"/>
      <c r="AF222" s="584"/>
      <c r="AH222" s="584">
        <f t="shared" si="12"/>
        <v>0</v>
      </c>
      <c r="AI222" s="495"/>
      <c r="AJ222" s="495"/>
      <c r="AK222" s="495">
        <f t="shared" si="8"/>
        <v>0</v>
      </c>
      <c r="AL222" s="495"/>
      <c r="AM222" s="495"/>
      <c r="AN222" s="586">
        <f t="shared" si="9"/>
        <v>0.66666666666666663</v>
      </c>
      <c r="AO222" s="586"/>
      <c r="AP222" s="586"/>
      <c r="AQ222" s="586">
        <f t="shared" si="10"/>
        <v>6</v>
      </c>
      <c r="AR222" s="586"/>
      <c r="AS222" s="586"/>
      <c r="AT222" s="585">
        <f t="shared" si="11"/>
        <v>4.333333333333333</v>
      </c>
      <c r="AU222" s="585"/>
      <c r="AV222" s="585"/>
      <c r="AX222" s="584">
        <f>'Scores and stats'!RC64</f>
        <v>32</v>
      </c>
      <c r="AY222" s="584"/>
      <c r="AZ222" s="584"/>
      <c r="BA222" s="584"/>
      <c r="BB222" s="584">
        <f>'Scores and stats'!RF64</f>
        <v>24</v>
      </c>
      <c r="BC222" s="584"/>
      <c r="BD222" s="584"/>
      <c r="BE222" s="584"/>
      <c r="BF222" s="584">
        <f>'Scores and stats'!RK64</f>
        <v>29</v>
      </c>
      <c r="BG222" s="584"/>
      <c r="BH222" s="584"/>
      <c r="BI222" s="584"/>
      <c r="BJ222" s="584">
        <f>'Scores and stats'!RH64</f>
        <v>0</v>
      </c>
      <c r="BK222" s="584"/>
      <c r="BL222" s="584"/>
      <c r="BM222" s="584"/>
      <c r="BN222" s="584">
        <f>'Scores and stats'!RM64</f>
        <v>0</v>
      </c>
      <c r="BO222" s="584"/>
      <c r="BP222" s="584"/>
      <c r="BQ222" s="584"/>
    </row>
    <row r="223" spans="1:69" x14ac:dyDescent="0.2">
      <c r="A223" s="496" t="str">
        <f>'Name List'!B65</f>
        <v>Brad Whitehead</v>
      </c>
      <c r="B223" s="496"/>
      <c r="C223" s="496"/>
      <c r="D223" s="496"/>
      <c r="E223" s="496"/>
      <c r="F223" s="496"/>
      <c r="G223" s="587">
        <f>'Scores and stats'!QY65</f>
        <v>14</v>
      </c>
      <c r="H223" s="496"/>
      <c r="I223" s="496"/>
      <c r="J223" s="496"/>
      <c r="K223" s="496">
        <f>'Scores and stats'!RP65</f>
        <v>1</v>
      </c>
      <c r="L223" s="496"/>
      <c r="M223" s="496"/>
      <c r="N223" s="587">
        <f t="shared" si="7"/>
        <v>15</v>
      </c>
      <c r="O223" s="496"/>
      <c r="P223" s="496"/>
      <c r="R223" s="587">
        <v>0</v>
      </c>
      <c r="S223" s="587"/>
      <c r="T223" s="587"/>
      <c r="U223" s="587">
        <f>'Scores and stats'!QT65</f>
        <v>0</v>
      </c>
      <c r="V223" s="587"/>
      <c r="W223" s="587"/>
      <c r="X223" s="587">
        <f>'Scores and stats'!QU65</f>
        <v>37</v>
      </c>
      <c r="Y223" s="587"/>
      <c r="Z223" s="587"/>
      <c r="AA223" s="587">
        <f>'Scores and stats'!QV65</f>
        <v>109</v>
      </c>
      <c r="AB223" s="587"/>
      <c r="AC223" s="587"/>
      <c r="AD223" s="587">
        <f>'Scores and stats'!QW65</f>
        <v>14</v>
      </c>
      <c r="AE223" s="587"/>
      <c r="AF223" s="587"/>
      <c r="AH223" s="587">
        <f t="shared" si="12"/>
        <v>0</v>
      </c>
      <c r="AI223" s="496"/>
      <c r="AJ223" s="496"/>
      <c r="AK223" s="496">
        <f t="shared" si="8"/>
        <v>0</v>
      </c>
      <c r="AL223" s="496"/>
      <c r="AM223" s="496"/>
      <c r="AN223" s="588">
        <f t="shared" si="9"/>
        <v>2.4666666666666668</v>
      </c>
      <c r="AO223" s="588"/>
      <c r="AP223" s="588"/>
      <c r="AQ223" s="588">
        <f t="shared" si="10"/>
        <v>7.2666666666666666</v>
      </c>
      <c r="AR223" s="588"/>
      <c r="AS223" s="588"/>
      <c r="AT223" s="589">
        <f t="shared" si="11"/>
        <v>1</v>
      </c>
      <c r="AU223" s="589"/>
      <c r="AV223" s="589"/>
      <c r="AX223" s="587">
        <f>'Scores and stats'!RC65</f>
        <v>41</v>
      </c>
      <c r="AY223" s="587"/>
      <c r="AZ223" s="587"/>
      <c r="BA223" s="587"/>
      <c r="BB223" s="587">
        <f>'Scores and stats'!RF65</f>
        <v>23</v>
      </c>
      <c r="BC223" s="587"/>
      <c r="BD223" s="587"/>
      <c r="BE223" s="587"/>
      <c r="BF223" s="587">
        <f>'Scores and stats'!RK65</f>
        <v>30.571428571428573</v>
      </c>
      <c r="BG223" s="587"/>
      <c r="BH223" s="587"/>
      <c r="BI223" s="587"/>
      <c r="BJ223" s="587">
        <f>'Scores and stats'!RH65</f>
        <v>35</v>
      </c>
      <c r="BK223" s="587"/>
      <c r="BL223" s="587"/>
      <c r="BM223" s="587"/>
      <c r="BN223" s="587">
        <f>'Scores and stats'!RM65</f>
        <v>85</v>
      </c>
      <c r="BO223" s="587"/>
      <c r="BP223" s="587"/>
      <c r="BQ223" s="587"/>
    </row>
    <row r="224" spans="1:69" x14ac:dyDescent="0.2">
      <c r="A224" s="495" t="str">
        <f>'Name List'!B66</f>
        <v>Dave Woodget</v>
      </c>
      <c r="B224" s="495"/>
      <c r="C224" s="495"/>
      <c r="D224" s="495"/>
      <c r="E224" s="495"/>
      <c r="F224" s="495"/>
      <c r="G224" s="584">
        <f>'Scores and stats'!QY66</f>
        <v>1</v>
      </c>
      <c r="H224" s="495"/>
      <c r="I224" s="495"/>
      <c r="J224" s="495"/>
      <c r="K224" s="495">
        <f>'Scores and stats'!RP66</f>
        <v>0</v>
      </c>
      <c r="L224" s="495"/>
      <c r="M224" s="495"/>
      <c r="N224" s="584">
        <f t="shared" si="7"/>
        <v>1</v>
      </c>
      <c r="O224" s="495"/>
      <c r="P224" s="495"/>
      <c r="R224" s="584">
        <v>0</v>
      </c>
      <c r="S224" s="584"/>
      <c r="T224" s="584"/>
      <c r="U224" s="584">
        <f>'Scores and stats'!QT66</f>
        <v>0</v>
      </c>
      <c r="V224" s="584"/>
      <c r="W224" s="584"/>
      <c r="X224" s="584">
        <f>'Scores and stats'!QU66</f>
        <v>1</v>
      </c>
      <c r="Y224" s="584"/>
      <c r="Z224" s="584"/>
      <c r="AA224" s="584">
        <f>'Scores and stats'!QV66</f>
        <v>5</v>
      </c>
      <c r="AB224" s="584"/>
      <c r="AC224" s="584"/>
      <c r="AD224" s="584">
        <f>'Scores and stats'!QW66</f>
        <v>2</v>
      </c>
      <c r="AE224" s="584"/>
      <c r="AF224" s="584"/>
      <c r="AH224" s="584">
        <f t="shared" si="12"/>
        <v>0</v>
      </c>
      <c r="AI224" s="495"/>
      <c r="AJ224" s="495"/>
      <c r="AK224" s="495">
        <f t="shared" si="8"/>
        <v>0</v>
      </c>
      <c r="AL224" s="495"/>
      <c r="AM224" s="495"/>
      <c r="AN224" s="586">
        <f t="shared" si="9"/>
        <v>1</v>
      </c>
      <c r="AO224" s="586"/>
      <c r="AP224" s="586"/>
      <c r="AQ224" s="586">
        <f t="shared" si="10"/>
        <v>5</v>
      </c>
      <c r="AR224" s="586"/>
      <c r="AS224" s="586"/>
      <c r="AT224" s="585">
        <f t="shared" si="11"/>
        <v>2</v>
      </c>
      <c r="AU224" s="585"/>
      <c r="AV224" s="585"/>
      <c r="AX224" s="584">
        <f>'Scores and stats'!RC66</f>
        <v>31</v>
      </c>
      <c r="AY224" s="584"/>
      <c r="AZ224" s="584"/>
      <c r="BA224" s="584"/>
      <c r="BB224" s="584">
        <f>'Scores and stats'!RF66</f>
        <v>31</v>
      </c>
      <c r="BC224" s="584"/>
      <c r="BD224" s="584"/>
      <c r="BE224" s="584"/>
      <c r="BF224" s="584">
        <f>'Scores and stats'!RK66</f>
        <v>31</v>
      </c>
      <c r="BG224" s="584"/>
      <c r="BH224" s="584"/>
      <c r="BI224" s="584"/>
      <c r="BJ224" s="584">
        <f>'Scores and stats'!RH66</f>
        <v>0</v>
      </c>
      <c r="BK224" s="584"/>
      <c r="BL224" s="584"/>
      <c r="BM224" s="584"/>
      <c r="BN224" s="584">
        <f>'Scores and stats'!RM66</f>
        <v>0</v>
      </c>
      <c r="BO224" s="584"/>
      <c r="BP224" s="584"/>
      <c r="BQ224" s="584"/>
    </row>
    <row r="225" spans="1:69" x14ac:dyDescent="0.2">
      <c r="A225" s="496" t="str">
        <f>'Name List'!B67</f>
        <v>Jonathan Kanareck</v>
      </c>
      <c r="B225" s="496"/>
      <c r="C225" s="496"/>
      <c r="D225" s="496"/>
      <c r="E225" s="496"/>
      <c r="F225" s="496"/>
      <c r="G225" s="587">
        <f>'Scores and stats'!QY67</f>
        <v>2</v>
      </c>
      <c r="H225" s="496"/>
      <c r="I225" s="496"/>
      <c r="J225" s="496"/>
      <c r="K225" s="496">
        <f>'Scores and stats'!RP67</f>
        <v>0</v>
      </c>
      <c r="L225" s="496"/>
      <c r="M225" s="496"/>
      <c r="N225" s="587">
        <f t="shared" si="7"/>
        <v>2</v>
      </c>
      <c r="O225" s="496"/>
      <c r="P225" s="496"/>
      <c r="R225" s="587">
        <v>0</v>
      </c>
      <c r="S225" s="587"/>
      <c r="T225" s="587"/>
      <c r="U225" s="587">
        <f>'Scores and stats'!QT67</f>
        <v>0</v>
      </c>
      <c r="V225" s="587"/>
      <c r="W225" s="587"/>
      <c r="X225" s="587">
        <f>'Scores and stats'!QU67</f>
        <v>1</v>
      </c>
      <c r="Y225" s="587"/>
      <c r="Z225" s="587"/>
      <c r="AA225" s="587">
        <f>'Scores and stats'!QV67</f>
        <v>6</v>
      </c>
      <c r="AB225" s="587"/>
      <c r="AC225" s="587"/>
      <c r="AD225" s="587">
        <f>'Scores and stats'!QW67</f>
        <v>6</v>
      </c>
      <c r="AE225" s="587"/>
      <c r="AF225" s="587"/>
      <c r="AH225" s="587">
        <f t="shared" si="12"/>
        <v>0</v>
      </c>
      <c r="AI225" s="496"/>
      <c r="AJ225" s="496"/>
      <c r="AK225" s="496">
        <f t="shared" si="8"/>
        <v>0</v>
      </c>
      <c r="AL225" s="496"/>
      <c r="AM225" s="496"/>
      <c r="AN225" s="588">
        <f t="shared" si="9"/>
        <v>0.5</v>
      </c>
      <c r="AO225" s="588"/>
      <c r="AP225" s="588"/>
      <c r="AQ225" s="588">
        <f t="shared" si="10"/>
        <v>3</v>
      </c>
      <c r="AR225" s="588"/>
      <c r="AS225" s="588"/>
      <c r="AT225" s="589">
        <f t="shared" si="11"/>
        <v>3</v>
      </c>
      <c r="AU225" s="589"/>
      <c r="AV225" s="589"/>
      <c r="AX225" s="587">
        <f>'Scores and stats'!RC67</f>
        <v>31</v>
      </c>
      <c r="AY225" s="587"/>
      <c r="AZ225" s="587"/>
      <c r="BA225" s="587"/>
      <c r="BB225" s="587">
        <f>'Scores and stats'!RF67</f>
        <v>24</v>
      </c>
      <c r="BC225" s="587"/>
      <c r="BD225" s="587"/>
      <c r="BE225" s="587"/>
      <c r="BF225" s="587">
        <f>'Scores and stats'!RK67</f>
        <v>27.5</v>
      </c>
      <c r="BG225" s="587"/>
      <c r="BH225" s="587"/>
      <c r="BI225" s="587"/>
      <c r="BJ225" s="587">
        <f>'Scores and stats'!RH67</f>
        <v>0</v>
      </c>
      <c r="BK225" s="587"/>
      <c r="BL225" s="587"/>
      <c r="BM225" s="587"/>
      <c r="BN225" s="587">
        <f>'Scores and stats'!RM67</f>
        <v>0</v>
      </c>
      <c r="BO225" s="587"/>
      <c r="BP225" s="587"/>
      <c r="BQ225" s="587"/>
    </row>
    <row r="226" spans="1:69" x14ac:dyDescent="0.2">
      <c r="A226" s="495" t="str">
        <f>'Name List'!B68</f>
        <v>Oliver Proud</v>
      </c>
      <c r="B226" s="495"/>
      <c r="C226" s="495"/>
      <c r="D226" s="495"/>
      <c r="E226" s="495"/>
      <c r="F226" s="495"/>
      <c r="G226" s="584">
        <f>'Scores and stats'!QY68</f>
        <v>1</v>
      </c>
      <c r="H226" s="495"/>
      <c r="I226" s="495"/>
      <c r="J226" s="495"/>
      <c r="K226" s="495">
        <f>'Scores and stats'!RP68</f>
        <v>0</v>
      </c>
      <c r="L226" s="495"/>
      <c r="M226" s="495"/>
      <c r="N226" s="584">
        <f t="shared" si="7"/>
        <v>1</v>
      </c>
      <c r="O226" s="495"/>
      <c r="P226" s="495"/>
      <c r="R226" s="584">
        <v>0</v>
      </c>
      <c r="S226" s="584"/>
      <c r="T226" s="584"/>
      <c r="U226" s="584">
        <f>'Scores and stats'!QT68</f>
        <v>0</v>
      </c>
      <c r="V226" s="584"/>
      <c r="W226" s="584"/>
      <c r="X226" s="584">
        <f>'Scores and stats'!QU68</f>
        <v>0</v>
      </c>
      <c r="Y226" s="584"/>
      <c r="Z226" s="584"/>
      <c r="AA226" s="584">
        <f>'Scores and stats'!QV68</f>
        <v>3</v>
      </c>
      <c r="AB226" s="584"/>
      <c r="AC226" s="584"/>
      <c r="AD226" s="584">
        <f>'Scores and stats'!QW68</f>
        <v>7</v>
      </c>
      <c r="AE226" s="584"/>
      <c r="AF226" s="584"/>
      <c r="AH226" s="584">
        <f t="shared" si="12"/>
        <v>0</v>
      </c>
      <c r="AI226" s="495"/>
      <c r="AJ226" s="495"/>
      <c r="AK226" s="495">
        <f t="shared" si="8"/>
        <v>0</v>
      </c>
      <c r="AL226" s="495"/>
      <c r="AM226" s="495"/>
      <c r="AN226" s="586">
        <f t="shared" si="9"/>
        <v>0</v>
      </c>
      <c r="AO226" s="586"/>
      <c r="AP226" s="586"/>
      <c r="AQ226" s="586">
        <f t="shared" si="10"/>
        <v>3</v>
      </c>
      <c r="AR226" s="586"/>
      <c r="AS226" s="586"/>
      <c r="AT226" s="585">
        <f t="shared" si="11"/>
        <v>7</v>
      </c>
      <c r="AU226" s="585"/>
      <c r="AV226" s="585"/>
      <c r="AX226" s="584">
        <f>'Scores and stats'!RC68</f>
        <v>19</v>
      </c>
      <c r="AY226" s="584"/>
      <c r="AZ226" s="584"/>
      <c r="BA226" s="584"/>
      <c r="BB226" s="584">
        <f>'Scores and stats'!RF68</f>
        <v>19</v>
      </c>
      <c r="BC226" s="584"/>
      <c r="BD226" s="584"/>
      <c r="BE226" s="584"/>
      <c r="BF226" s="584">
        <f>'Scores and stats'!RK68</f>
        <v>19</v>
      </c>
      <c r="BG226" s="584"/>
      <c r="BH226" s="584"/>
      <c r="BI226" s="584"/>
      <c r="BJ226" s="584">
        <f>'Scores and stats'!RH68</f>
        <v>0</v>
      </c>
      <c r="BK226" s="584"/>
      <c r="BL226" s="584"/>
      <c r="BM226" s="584"/>
      <c r="BN226" s="584">
        <f>'Scores and stats'!RM68</f>
        <v>0</v>
      </c>
      <c r="BO226" s="584"/>
      <c r="BP226" s="584"/>
      <c r="BQ226" s="584"/>
    </row>
    <row r="227" spans="1:69" x14ac:dyDescent="0.2">
      <c r="A227" s="496" t="str">
        <f>'Name List'!B69</f>
        <v>Joe Hooper</v>
      </c>
      <c r="B227" s="496"/>
      <c r="C227" s="496"/>
      <c r="D227" s="496"/>
      <c r="E227" s="496"/>
      <c r="F227" s="496"/>
      <c r="G227" s="587">
        <f>'Scores and stats'!QY69</f>
        <v>4</v>
      </c>
      <c r="H227" s="496"/>
      <c r="I227" s="496"/>
      <c r="J227" s="496"/>
      <c r="K227" s="496">
        <f>'Scores and stats'!RP69</f>
        <v>0</v>
      </c>
      <c r="L227" s="496"/>
      <c r="M227" s="496"/>
      <c r="N227" s="587">
        <f t="shared" si="7"/>
        <v>4</v>
      </c>
      <c r="O227" s="496"/>
      <c r="P227" s="496"/>
      <c r="R227" s="587">
        <v>0</v>
      </c>
      <c r="S227" s="587"/>
      <c r="T227" s="587"/>
      <c r="U227" s="587">
        <f>'Scores and stats'!QT69</f>
        <v>0</v>
      </c>
      <c r="V227" s="587"/>
      <c r="W227" s="587"/>
      <c r="X227" s="587">
        <f>'Scores and stats'!QU69</f>
        <v>17</v>
      </c>
      <c r="Y227" s="587"/>
      <c r="Z227" s="587"/>
      <c r="AA227" s="587">
        <f>'Scores and stats'!QV69</f>
        <v>39</v>
      </c>
      <c r="AB227" s="587"/>
      <c r="AC227" s="587"/>
      <c r="AD227" s="587">
        <f>'Scores and stats'!QW69</f>
        <v>2</v>
      </c>
      <c r="AE227" s="587"/>
      <c r="AF227" s="587"/>
      <c r="AH227" s="587">
        <f t="shared" si="12"/>
        <v>0</v>
      </c>
      <c r="AI227" s="496"/>
      <c r="AJ227" s="496"/>
      <c r="AK227" s="496">
        <f t="shared" si="8"/>
        <v>0</v>
      </c>
      <c r="AL227" s="496"/>
      <c r="AM227" s="496"/>
      <c r="AN227" s="588">
        <f t="shared" si="9"/>
        <v>4.25</v>
      </c>
      <c r="AO227" s="588"/>
      <c r="AP227" s="588"/>
      <c r="AQ227" s="588">
        <f t="shared" si="10"/>
        <v>9.75</v>
      </c>
      <c r="AR227" s="588"/>
      <c r="AS227" s="588"/>
      <c r="AT227" s="589">
        <f t="shared" si="11"/>
        <v>0.5</v>
      </c>
      <c r="AU227" s="589"/>
      <c r="AV227" s="589"/>
      <c r="AX227" s="587">
        <f>'Scores and stats'!RC69</f>
        <v>37</v>
      </c>
      <c r="AY227" s="587"/>
      <c r="AZ227" s="587"/>
      <c r="BA227" s="587"/>
      <c r="BB227" s="587">
        <f>'Scores and stats'!RF69</f>
        <v>32</v>
      </c>
      <c r="BC227" s="587"/>
      <c r="BD227" s="587"/>
      <c r="BE227" s="587"/>
      <c r="BF227" s="587">
        <f>'Scores and stats'!RK69</f>
        <v>33.5</v>
      </c>
      <c r="BG227" s="587"/>
      <c r="BH227" s="587"/>
      <c r="BI227" s="587"/>
      <c r="BJ227" s="587">
        <f>'Scores and stats'!RH69</f>
        <v>32</v>
      </c>
      <c r="BK227" s="587"/>
      <c r="BL227" s="587"/>
      <c r="BM227" s="587"/>
      <c r="BN227" s="587">
        <f>'Scores and stats'!RM69</f>
        <v>0</v>
      </c>
      <c r="BO227" s="587"/>
      <c r="BP227" s="587"/>
      <c r="BQ227" s="587"/>
    </row>
    <row r="228" spans="1:69" x14ac:dyDescent="0.2">
      <c r="A228" s="495" t="str">
        <f>'Name List'!B70</f>
        <v>Danny Jones</v>
      </c>
      <c r="B228" s="495"/>
      <c r="C228" s="495"/>
      <c r="D228" s="495"/>
      <c r="E228" s="495"/>
      <c r="F228" s="495"/>
      <c r="G228" s="584">
        <f>'Scores and stats'!QY70</f>
        <v>1</v>
      </c>
      <c r="H228" s="495"/>
      <c r="I228" s="495"/>
      <c r="J228" s="495"/>
      <c r="K228" s="495">
        <f>'Scores and stats'!RP70</f>
        <v>1</v>
      </c>
      <c r="L228" s="495"/>
      <c r="M228" s="495"/>
      <c r="N228" s="584">
        <f t="shared" si="7"/>
        <v>2</v>
      </c>
      <c r="O228" s="495"/>
      <c r="P228" s="495"/>
      <c r="R228" s="584">
        <v>0</v>
      </c>
      <c r="S228" s="584"/>
      <c r="T228" s="584"/>
      <c r="U228" s="584">
        <f>'Scores and stats'!QT70</f>
        <v>0</v>
      </c>
      <c r="V228" s="584"/>
      <c r="W228" s="584"/>
      <c r="X228" s="584">
        <f>'Scores and stats'!QU70</f>
        <v>6</v>
      </c>
      <c r="Y228" s="584"/>
      <c r="Z228" s="584"/>
      <c r="AA228" s="584">
        <f>'Scores and stats'!QV70</f>
        <v>21</v>
      </c>
      <c r="AB228" s="584"/>
      <c r="AC228" s="584"/>
      <c r="AD228" s="584">
        <f>'Scores and stats'!QW70</f>
        <v>0</v>
      </c>
      <c r="AE228" s="584"/>
      <c r="AF228" s="584"/>
      <c r="AH228" s="584">
        <f t="shared" si="12"/>
        <v>0</v>
      </c>
      <c r="AI228" s="495"/>
      <c r="AJ228" s="495"/>
      <c r="AK228" s="495">
        <f t="shared" si="8"/>
        <v>0</v>
      </c>
      <c r="AL228" s="495"/>
      <c r="AM228" s="495"/>
      <c r="AN228" s="586">
        <f t="shared" si="9"/>
        <v>3</v>
      </c>
      <c r="AO228" s="586"/>
      <c r="AP228" s="586"/>
      <c r="AQ228" s="586">
        <f t="shared" si="10"/>
        <v>10.5</v>
      </c>
      <c r="AR228" s="586"/>
      <c r="AS228" s="586"/>
      <c r="AT228" s="585">
        <f t="shared" si="11"/>
        <v>0</v>
      </c>
      <c r="AU228" s="585"/>
      <c r="AV228" s="585"/>
      <c r="AX228" s="584">
        <f>'Scores and stats'!RC70</f>
        <v>33</v>
      </c>
      <c r="AY228" s="584"/>
      <c r="AZ228" s="584"/>
      <c r="BA228" s="584"/>
      <c r="BB228" s="584">
        <f>'Scores and stats'!RF70</f>
        <v>33</v>
      </c>
      <c r="BC228" s="584"/>
      <c r="BD228" s="584"/>
      <c r="BE228" s="584"/>
      <c r="BF228" s="584">
        <f>'Scores and stats'!RK70</f>
        <v>33</v>
      </c>
      <c r="BG228" s="584"/>
      <c r="BH228" s="584"/>
      <c r="BI228" s="584"/>
      <c r="BJ228" s="584">
        <f>'Scores and stats'!RH70</f>
        <v>0</v>
      </c>
      <c r="BK228" s="584"/>
      <c r="BL228" s="584"/>
      <c r="BM228" s="584"/>
      <c r="BN228" s="584">
        <f>'Scores and stats'!RM70</f>
        <v>75</v>
      </c>
      <c r="BO228" s="584"/>
      <c r="BP228" s="584"/>
      <c r="BQ228" s="584"/>
    </row>
    <row r="229" spans="1:69" x14ac:dyDescent="0.2">
      <c r="A229" s="496" t="str">
        <f>'Name List'!B71</f>
        <v>Liam Anderson</v>
      </c>
      <c r="B229" s="496"/>
      <c r="C229" s="496"/>
      <c r="D229" s="496"/>
      <c r="E229" s="496"/>
      <c r="F229" s="496"/>
      <c r="G229" s="587">
        <f>'Scores and stats'!QY71</f>
        <v>0</v>
      </c>
      <c r="H229" s="496"/>
      <c r="I229" s="496"/>
      <c r="J229" s="496"/>
      <c r="K229" s="496">
        <f>'Scores and stats'!RP71</f>
        <v>0</v>
      </c>
      <c r="L229" s="496"/>
      <c r="M229" s="496"/>
      <c r="N229" s="587">
        <f t="shared" si="7"/>
        <v>0</v>
      </c>
      <c r="O229" s="496"/>
      <c r="P229" s="496"/>
      <c r="R229" s="587">
        <v>0</v>
      </c>
      <c r="S229" s="587"/>
      <c r="T229" s="587"/>
      <c r="U229" s="587">
        <f>'Scores and stats'!QT71</f>
        <v>0</v>
      </c>
      <c r="V229" s="587"/>
      <c r="W229" s="587"/>
      <c r="X229" s="587">
        <f>'Scores and stats'!QU71</f>
        <v>0</v>
      </c>
      <c r="Y229" s="587"/>
      <c r="Z229" s="587"/>
      <c r="AA229" s="587">
        <f>'Scores and stats'!QV71</f>
        <v>0</v>
      </c>
      <c r="AB229" s="587"/>
      <c r="AC229" s="587"/>
      <c r="AD229" s="587">
        <f>'Scores and stats'!QW71</f>
        <v>0</v>
      </c>
      <c r="AE229" s="587"/>
      <c r="AF229" s="587"/>
      <c r="AH229" s="587">
        <f t="shared" si="12"/>
        <v>0</v>
      </c>
      <c r="AI229" s="496"/>
      <c r="AJ229" s="496"/>
      <c r="AK229" s="496">
        <f t="shared" si="8"/>
        <v>0</v>
      </c>
      <c r="AL229" s="496"/>
      <c r="AM229" s="496"/>
      <c r="AN229" s="496">
        <f t="shared" si="9"/>
        <v>0</v>
      </c>
      <c r="AO229" s="496"/>
      <c r="AP229" s="496"/>
      <c r="AQ229" s="496">
        <f t="shared" si="10"/>
        <v>0</v>
      </c>
      <c r="AR229" s="496"/>
      <c r="AS229" s="496"/>
      <c r="AT229" s="589">
        <f t="shared" si="11"/>
        <v>0</v>
      </c>
      <c r="AU229" s="589"/>
      <c r="AV229" s="589"/>
      <c r="AX229" s="587">
        <f>'Scores and stats'!RC71</f>
        <v>0</v>
      </c>
      <c r="AY229" s="587"/>
      <c r="AZ229" s="587"/>
      <c r="BA229" s="587"/>
      <c r="BB229" s="587">
        <f>'Scores and stats'!RF71</f>
        <v>0</v>
      </c>
      <c r="BC229" s="587"/>
      <c r="BD229" s="587"/>
      <c r="BE229" s="587"/>
      <c r="BF229" s="587">
        <f>'Scores and stats'!RK71</f>
        <v>0</v>
      </c>
      <c r="BG229" s="587"/>
      <c r="BH229" s="587"/>
      <c r="BI229" s="587"/>
      <c r="BJ229" s="587">
        <f>'Scores and stats'!RH71</f>
        <v>0</v>
      </c>
      <c r="BK229" s="587"/>
      <c r="BL229" s="587"/>
      <c r="BM229" s="587"/>
      <c r="BN229" s="587">
        <f>'Scores and stats'!RM71</f>
        <v>0</v>
      </c>
      <c r="BO229" s="587"/>
      <c r="BP229" s="587"/>
      <c r="BQ229" s="587"/>
    </row>
    <row r="230" spans="1:69" x14ac:dyDescent="0.2">
      <c r="A230" s="495" t="str">
        <f>'Name List'!B72</f>
        <v>Sam Cochrane</v>
      </c>
      <c r="B230" s="495"/>
      <c r="C230" s="495"/>
      <c r="D230" s="495"/>
      <c r="E230" s="495"/>
      <c r="F230" s="495"/>
      <c r="G230" s="584">
        <f>'Scores and stats'!QY72</f>
        <v>7</v>
      </c>
      <c r="H230" s="495"/>
      <c r="I230" s="495"/>
      <c r="J230" s="495"/>
      <c r="K230" s="495">
        <f>'Scores and stats'!RP72</f>
        <v>0</v>
      </c>
      <c r="L230" s="495"/>
      <c r="M230" s="495"/>
      <c r="N230" s="584">
        <f t="shared" si="7"/>
        <v>7</v>
      </c>
      <c r="O230" s="495"/>
      <c r="P230" s="495"/>
      <c r="R230" s="584">
        <v>0</v>
      </c>
      <c r="S230" s="584"/>
      <c r="T230" s="584"/>
      <c r="U230" s="584">
        <f>'Scores and stats'!QT72</f>
        <v>0</v>
      </c>
      <c r="V230" s="584"/>
      <c r="W230" s="584"/>
      <c r="X230" s="584">
        <f>'Scores and stats'!QU72</f>
        <v>3</v>
      </c>
      <c r="Y230" s="584"/>
      <c r="Z230" s="584"/>
      <c r="AA230" s="584">
        <f>'Scores and stats'!QV72</f>
        <v>16</v>
      </c>
      <c r="AB230" s="584"/>
      <c r="AC230" s="584"/>
      <c r="AD230" s="584">
        <f>'Scores and stats'!QW72</f>
        <v>27</v>
      </c>
      <c r="AE230" s="584"/>
      <c r="AF230" s="584"/>
      <c r="AH230" s="584">
        <f t="shared" si="12"/>
        <v>0</v>
      </c>
      <c r="AI230" s="495"/>
      <c r="AJ230" s="495"/>
      <c r="AK230" s="495">
        <f t="shared" si="8"/>
        <v>0</v>
      </c>
      <c r="AL230" s="495"/>
      <c r="AM230" s="495"/>
      <c r="AN230" s="495">
        <f t="shared" si="9"/>
        <v>0.42857142857142855</v>
      </c>
      <c r="AO230" s="495"/>
      <c r="AP230" s="495"/>
      <c r="AQ230" s="495">
        <f t="shared" si="10"/>
        <v>2.2857142857142856</v>
      </c>
      <c r="AR230" s="495"/>
      <c r="AS230" s="495"/>
      <c r="AT230" s="585">
        <f t="shared" si="11"/>
        <v>3.8571428571428572</v>
      </c>
      <c r="AU230" s="585"/>
      <c r="AV230" s="585"/>
      <c r="AX230" s="584">
        <f>'Scores and stats'!RC72</f>
        <v>33</v>
      </c>
      <c r="AY230" s="584"/>
      <c r="AZ230" s="584"/>
      <c r="BA230" s="584"/>
      <c r="BB230" s="584">
        <f>'Scores and stats'!RF72</f>
        <v>16</v>
      </c>
      <c r="BC230" s="584"/>
      <c r="BD230" s="584"/>
      <c r="BE230" s="584"/>
      <c r="BF230" s="584">
        <f>'Scores and stats'!RK72</f>
        <v>25.714285714285715</v>
      </c>
      <c r="BG230" s="584"/>
      <c r="BH230" s="584"/>
      <c r="BI230" s="584"/>
      <c r="BJ230" s="584">
        <f>'Scores and stats'!RH72</f>
        <v>31</v>
      </c>
      <c r="BK230" s="584"/>
      <c r="BL230" s="584"/>
      <c r="BM230" s="584"/>
      <c r="BN230" s="584">
        <f>'Scores and stats'!RM72</f>
        <v>0</v>
      </c>
      <c r="BO230" s="584"/>
      <c r="BP230" s="584"/>
      <c r="BQ230" s="584"/>
    </row>
    <row r="231" spans="1:69" x14ac:dyDescent="0.2">
      <c r="A231" s="496" t="str">
        <f>'Name List'!B73</f>
        <v>Shaun Alexander</v>
      </c>
      <c r="B231" s="496"/>
      <c r="C231" s="496"/>
      <c r="D231" s="496"/>
      <c r="E231" s="496"/>
      <c r="F231" s="496"/>
      <c r="G231" s="587">
        <f>'Scores and stats'!QY73</f>
        <v>5</v>
      </c>
      <c r="H231" s="496"/>
      <c r="I231" s="496"/>
      <c r="J231" s="496"/>
      <c r="K231" s="496">
        <f>'Scores and stats'!RP73</f>
        <v>1</v>
      </c>
      <c r="L231" s="496"/>
      <c r="M231" s="496"/>
      <c r="N231" s="587">
        <f t="shared" si="7"/>
        <v>6</v>
      </c>
      <c r="O231" s="496"/>
      <c r="P231" s="496"/>
      <c r="R231" s="587">
        <v>0</v>
      </c>
      <c r="S231" s="587"/>
      <c r="T231" s="587"/>
      <c r="U231" s="587">
        <f>'Scores and stats'!QT73</f>
        <v>0</v>
      </c>
      <c r="V231" s="587"/>
      <c r="W231" s="587"/>
      <c r="X231" s="587">
        <f>'Scores and stats'!QU73</f>
        <v>7</v>
      </c>
      <c r="Y231" s="587"/>
      <c r="Z231" s="587"/>
      <c r="AA231" s="587">
        <f>'Scores and stats'!QV73</f>
        <v>43</v>
      </c>
      <c r="AB231" s="587"/>
      <c r="AC231" s="587"/>
      <c r="AD231" s="587">
        <f>'Scores and stats'!QW73</f>
        <v>7</v>
      </c>
      <c r="AE231" s="587"/>
      <c r="AF231" s="587"/>
      <c r="AH231" s="587">
        <f t="shared" si="12"/>
        <v>0</v>
      </c>
      <c r="AI231" s="496"/>
      <c r="AJ231" s="496"/>
      <c r="AK231" s="496">
        <f t="shared" si="8"/>
        <v>0</v>
      </c>
      <c r="AL231" s="496"/>
      <c r="AM231" s="496"/>
      <c r="AN231" s="496">
        <f t="shared" si="9"/>
        <v>1.1666666666666667</v>
      </c>
      <c r="AO231" s="496"/>
      <c r="AP231" s="496"/>
      <c r="AQ231" s="496">
        <f t="shared" si="10"/>
        <v>7.166666666666667</v>
      </c>
      <c r="AR231" s="496"/>
      <c r="AS231" s="496"/>
      <c r="AT231" s="589">
        <f t="shared" si="11"/>
        <v>1.4</v>
      </c>
      <c r="AU231" s="589"/>
      <c r="AV231" s="589"/>
      <c r="AX231" s="587">
        <f>'Scores and stats'!RC73</f>
        <v>30</v>
      </c>
      <c r="AY231" s="587"/>
      <c r="AZ231" s="587"/>
      <c r="BA231" s="587"/>
      <c r="BB231" s="587">
        <f>'Scores and stats'!RF73</f>
        <v>25</v>
      </c>
      <c r="BC231" s="587"/>
      <c r="BD231" s="587"/>
      <c r="BE231" s="587"/>
      <c r="BF231" s="587">
        <f>'Scores and stats'!RK73</f>
        <v>22.4</v>
      </c>
      <c r="BG231" s="587"/>
      <c r="BH231" s="587"/>
      <c r="BI231" s="587"/>
      <c r="BJ231" s="587">
        <f>'Scores and stats'!RH73</f>
        <v>29</v>
      </c>
      <c r="BK231" s="587"/>
      <c r="BL231" s="587"/>
      <c r="BM231" s="587"/>
      <c r="BN231" s="587">
        <f>'Scores and stats'!RM73</f>
        <v>80</v>
      </c>
      <c r="BO231" s="587"/>
      <c r="BP231" s="587"/>
      <c r="BQ231" s="587"/>
    </row>
    <row r="232" spans="1:69" x14ac:dyDescent="0.2">
      <c r="A232" s="495" t="str">
        <f>'Name List'!B74</f>
        <v>Kyle Deane</v>
      </c>
      <c r="B232" s="495"/>
      <c r="C232" s="495"/>
      <c r="D232" s="495"/>
      <c r="E232" s="495"/>
      <c r="F232" s="495"/>
      <c r="G232" s="584">
        <f>'Scores and stats'!QY74</f>
        <v>1</v>
      </c>
      <c r="H232" s="495"/>
      <c r="I232" s="495"/>
      <c r="J232" s="495"/>
      <c r="K232" s="495">
        <f>'Scores and stats'!RP74</f>
        <v>0</v>
      </c>
      <c r="L232" s="495"/>
      <c r="M232" s="495"/>
      <c r="N232" s="584">
        <f t="shared" si="7"/>
        <v>1</v>
      </c>
      <c r="O232" s="495"/>
      <c r="P232" s="495"/>
      <c r="R232" s="584">
        <v>0</v>
      </c>
      <c r="S232" s="584"/>
      <c r="T232" s="584"/>
      <c r="U232" s="584">
        <f>'Scores and stats'!QT74</f>
        <v>0</v>
      </c>
      <c r="V232" s="584"/>
      <c r="W232" s="584"/>
      <c r="X232" s="584">
        <f>'Scores and stats'!QU74</f>
        <v>1</v>
      </c>
      <c r="Y232" s="584"/>
      <c r="Z232" s="584"/>
      <c r="AA232" s="584">
        <f>'Scores and stats'!QV74</f>
        <v>5</v>
      </c>
      <c r="AB232" s="584"/>
      <c r="AC232" s="584"/>
      <c r="AD232" s="584">
        <f>'Scores and stats'!QW74</f>
        <v>3</v>
      </c>
      <c r="AE232" s="584"/>
      <c r="AF232" s="584"/>
      <c r="AH232" s="584">
        <f t="shared" si="12"/>
        <v>0</v>
      </c>
      <c r="AI232" s="495"/>
      <c r="AJ232" s="495"/>
      <c r="AK232" s="495">
        <f t="shared" si="8"/>
        <v>0</v>
      </c>
      <c r="AL232" s="495"/>
      <c r="AM232" s="495"/>
      <c r="AN232" s="495">
        <f t="shared" si="9"/>
        <v>1</v>
      </c>
      <c r="AO232" s="495"/>
      <c r="AP232" s="495"/>
      <c r="AQ232" s="495">
        <f t="shared" si="10"/>
        <v>5</v>
      </c>
      <c r="AR232" s="495"/>
      <c r="AS232" s="495"/>
      <c r="AT232" s="585">
        <f t="shared" si="11"/>
        <v>3</v>
      </c>
      <c r="AU232" s="585"/>
      <c r="AV232" s="585"/>
      <c r="AX232" s="584">
        <f>'Scores and stats'!RC74</f>
        <v>24</v>
      </c>
      <c r="AY232" s="584"/>
      <c r="AZ232" s="584"/>
      <c r="BA232" s="584"/>
      <c r="BB232" s="584">
        <f>'Scores and stats'!RF74</f>
        <v>24</v>
      </c>
      <c r="BC232" s="584"/>
      <c r="BD232" s="584"/>
      <c r="BE232" s="584"/>
      <c r="BF232" s="584">
        <f>'Scores and stats'!RK74</f>
        <v>24</v>
      </c>
      <c r="BG232" s="584"/>
      <c r="BH232" s="584"/>
      <c r="BI232" s="584"/>
      <c r="BJ232" s="584">
        <f>'Scores and stats'!RH74</f>
        <v>0</v>
      </c>
      <c r="BK232" s="584"/>
      <c r="BL232" s="584"/>
      <c r="BM232" s="584"/>
      <c r="BN232" s="584">
        <f>'Scores and stats'!RM74</f>
        <v>0</v>
      </c>
      <c r="BO232" s="584"/>
      <c r="BP232" s="584"/>
      <c r="BQ232" s="584"/>
    </row>
    <row r="233" spans="1:69" hidden="1" x14ac:dyDescent="0.2">
      <c r="A233" s="496">
        <f>'Name List'!B75</f>
        <v>1</v>
      </c>
      <c r="B233" s="496"/>
      <c r="C233" s="496"/>
      <c r="D233" s="496"/>
      <c r="E233" s="496"/>
      <c r="F233" s="496"/>
      <c r="G233" s="587">
        <f>'Scores and stats'!QY75</f>
        <v>0</v>
      </c>
      <c r="H233" s="496"/>
      <c r="I233" s="496"/>
      <c r="J233" s="496"/>
      <c r="K233" s="496">
        <f>'Scores and stats'!RP75</f>
        <v>0</v>
      </c>
      <c r="L233" s="496"/>
      <c r="M233" s="496"/>
      <c r="N233" s="587">
        <f t="shared" si="7"/>
        <v>0</v>
      </c>
      <c r="O233" s="496"/>
      <c r="P233" s="496"/>
      <c r="R233" s="587">
        <v>0</v>
      </c>
      <c r="S233" s="587"/>
      <c r="T233" s="587"/>
      <c r="U233" s="587">
        <f>'Scores and stats'!QT75</f>
        <v>0</v>
      </c>
      <c r="V233" s="587"/>
      <c r="W233" s="587"/>
      <c r="X233" s="587">
        <f>'Scores and stats'!QU75</f>
        <v>0</v>
      </c>
      <c r="Y233" s="587"/>
      <c r="Z233" s="587"/>
      <c r="AA233" s="587">
        <f>'Scores and stats'!QV75</f>
        <v>0</v>
      </c>
      <c r="AB233" s="587"/>
      <c r="AC233" s="587"/>
      <c r="AD233" s="587">
        <f>'Scores and stats'!QW75</f>
        <v>0</v>
      </c>
      <c r="AE233" s="587"/>
      <c r="AF233" s="587"/>
      <c r="AH233" s="587">
        <f t="shared" si="12"/>
        <v>0</v>
      </c>
      <c r="AI233" s="496"/>
      <c r="AJ233" s="496"/>
      <c r="AK233" s="496">
        <f t="shared" si="8"/>
        <v>0</v>
      </c>
      <c r="AL233" s="496"/>
      <c r="AM233" s="496"/>
      <c r="AN233" s="496">
        <f t="shared" si="9"/>
        <v>0</v>
      </c>
      <c r="AO233" s="496"/>
      <c r="AP233" s="496"/>
      <c r="AQ233" s="496">
        <f t="shared" si="10"/>
        <v>0</v>
      </c>
      <c r="AR233" s="496"/>
      <c r="AS233" s="496"/>
      <c r="AT233" s="496">
        <f t="shared" si="11"/>
        <v>0</v>
      </c>
      <c r="AU233" s="496"/>
      <c r="AV233" s="496"/>
      <c r="AX233" s="587">
        <f>'Scores and stats'!RC75</f>
        <v>0</v>
      </c>
      <c r="AY233" s="587"/>
      <c r="AZ233" s="587"/>
      <c r="BA233" s="587"/>
      <c r="BB233" s="587">
        <f>'Scores and stats'!RF75</f>
        <v>0</v>
      </c>
      <c r="BC233" s="587"/>
      <c r="BD233" s="587"/>
      <c r="BE233" s="587"/>
      <c r="BF233" s="587">
        <f>'Scores and stats'!RK75</f>
        <v>0</v>
      </c>
      <c r="BG233" s="587"/>
      <c r="BH233" s="587"/>
      <c r="BI233" s="587"/>
      <c r="BJ233" s="587">
        <f>'Scores and stats'!RH75</f>
        <v>0</v>
      </c>
      <c r="BK233" s="587"/>
      <c r="BL233" s="587"/>
      <c r="BM233" s="587"/>
      <c r="BN233" s="587">
        <f>'Scores and stats'!RM75</f>
        <v>0</v>
      </c>
      <c r="BO233" s="587"/>
      <c r="BP233" s="587"/>
      <c r="BQ233" s="587"/>
    </row>
    <row r="234" spans="1:69" hidden="1" x14ac:dyDescent="0.2">
      <c r="A234" s="495">
        <f>'Name List'!B76</f>
        <v>2</v>
      </c>
      <c r="B234" s="495"/>
      <c r="C234" s="495"/>
      <c r="D234" s="495"/>
      <c r="E234" s="495"/>
      <c r="F234" s="495"/>
      <c r="G234" s="584">
        <f>'Scores and stats'!QY76</f>
        <v>0</v>
      </c>
      <c r="H234" s="495"/>
      <c r="I234" s="495"/>
      <c r="J234" s="495"/>
      <c r="K234" s="495">
        <f>'Scores and stats'!RP76</f>
        <v>0</v>
      </c>
      <c r="L234" s="495"/>
      <c r="M234" s="495"/>
      <c r="N234" s="584">
        <f t="shared" si="7"/>
        <v>0</v>
      </c>
      <c r="O234" s="495"/>
      <c r="P234" s="495"/>
      <c r="R234" s="584">
        <v>0</v>
      </c>
      <c r="S234" s="584"/>
      <c r="T234" s="584"/>
      <c r="U234" s="584">
        <f>'Scores and stats'!QT76</f>
        <v>0</v>
      </c>
      <c r="V234" s="584"/>
      <c r="W234" s="584"/>
      <c r="X234" s="584">
        <f>'Scores and stats'!QU76</f>
        <v>0</v>
      </c>
      <c r="Y234" s="584"/>
      <c r="Z234" s="584"/>
      <c r="AA234" s="584">
        <f>'Scores and stats'!QV76</f>
        <v>0</v>
      </c>
      <c r="AB234" s="584"/>
      <c r="AC234" s="584"/>
      <c r="AD234" s="584">
        <f>'Scores and stats'!QW76</f>
        <v>0</v>
      </c>
      <c r="AE234" s="584"/>
      <c r="AF234" s="584"/>
      <c r="AH234" s="584">
        <f t="shared" si="12"/>
        <v>0</v>
      </c>
      <c r="AI234" s="495"/>
      <c r="AJ234" s="495"/>
      <c r="AK234" s="495">
        <f t="shared" si="8"/>
        <v>0</v>
      </c>
      <c r="AL234" s="495"/>
      <c r="AM234" s="495"/>
      <c r="AN234" s="495">
        <f t="shared" si="9"/>
        <v>0</v>
      </c>
      <c r="AO234" s="495"/>
      <c r="AP234" s="495"/>
      <c r="AQ234" s="495">
        <f t="shared" si="10"/>
        <v>0</v>
      </c>
      <c r="AR234" s="495"/>
      <c r="AS234" s="495"/>
      <c r="AT234" s="495">
        <f t="shared" si="11"/>
        <v>0</v>
      </c>
      <c r="AU234" s="495"/>
      <c r="AV234" s="495"/>
      <c r="AX234" s="584">
        <f>'Scores and stats'!RC76</f>
        <v>0</v>
      </c>
      <c r="AY234" s="584"/>
      <c r="AZ234" s="584"/>
      <c r="BA234" s="584"/>
      <c r="BB234" s="584">
        <f>'Scores and stats'!RF76</f>
        <v>0</v>
      </c>
      <c r="BC234" s="584"/>
      <c r="BD234" s="584"/>
      <c r="BE234" s="584"/>
      <c r="BF234" s="584">
        <f>'Scores and stats'!RK76</f>
        <v>0</v>
      </c>
      <c r="BG234" s="584"/>
      <c r="BH234" s="584"/>
      <c r="BI234" s="584"/>
      <c r="BJ234" s="584">
        <f>'Scores and stats'!RH76</f>
        <v>0</v>
      </c>
      <c r="BK234" s="584"/>
      <c r="BL234" s="584"/>
      <c r="BM234" s="584"/>
      <c r="BN234" s="584">
        <f>'Scores and stats'!RM76</f>
        <v>0</v>
      </c>
      <c r="BO234" s="584"/>
      <c r="BP234" s="584"/>
      <c r="BQ234" s="584"/>
    </row>
    <row r="235" spans="1:69" hidden="1" x14ac:dyDescent="0.2">
      <c r="A235" s="496">
        <f>'Name List'!B77</f>
        <v>3</v>
      </c>
      <c r="B235" s="496"/>
      <c r="C235" s="496"/>
      <c r="D235" s="496"/>
      <c r="E235" s="496"/>
      <c r="F235" s="496"/>
      <c r="G235" s="587">
        <f>'Scores and stats'!QY77</f>
        <v>0</v>
      </c>
      <c r="H235" s="496"/>
      <c r="I235" s="496"/>
      <c r="J235" s="496"/>
      <c r="K235" s="496">
        <f>'Scores and stats'!RP77</f>
        <v>0</v>
      </c>
      <c r="L235" s="496"/>
      <c r="M235" s="496"/>
      <c r="N235" s="587">
        <f t="shared" si="7"/>
        <v>0</v>
      </c>
      <c r="O235" s="496"/>
      <c r="P235" s="496"/>
      <c r="R235" s="587">
        <v>0</v>
      </c>
      <c r="S235" s="587"/>
      <c r="T235" s="587"/>
      <c r="U235" s="587">
        <f>'Scores and stats'!QT77</f>
        <v>0</v>
      </c>
      <c r="V235" s="587"/>
      <c r="W235" s="587"/>
      <c r="X235" s="587">
        <f>'Scores and stats'!QU77</f>
        <v>0</v>
      </c>
      <c r="Y235" s="587"/>
      <c r="Z235" s="587"/>
      <c r="AA235" s="587">
        <f>'Scores and stats'!QV77</f>
        <v>0</v>
      </c>
      <c r="AB235" s="587"/>
      <c r="AC235" s="587"/>
      <c r="AD235" s="587">
        <f>'Scores and stats'!QW77</f>
        <v>0</v>
      </c>
      <c r="AE235" s="587"/>
      <c r="AF235" s="587"/>
      <c r="AH235" s="587">
        <f t="shared" si="12"/>
        <v>0</v>
      </c>
      <c r="AI235" s="496"/>
      <c r="AJ235" s="496"/>
      <c r="AK235" s="496">
        <f t="shared" si="8"/>
        <v>0</v>
      </c>
      <c r="AL235" s="496"/>
      <c r="AM235" s="496"/>
      <c r="AN235" s="496">
        <f t="shared" si="9"/>
        <v>0</v>
      </c>
      <c r="AO235" s="496"/>
      <c r="AP235" s="496"/>
      <c r="AQ235" s="496">
        <f t="shared" si="10"/>
        <v>0</v>
      </c>
      <c r="AR235" s="496"/>
      <c r="AS235" s="496"/>
      <c r="AT235" s="496">
        <f t="shared" si="11"/>
        <v>0</v>
      </c>
      <c r="AU235" s="496"/>
      <c r="AV235" s="496"/>
      <c r="AX235" s="587">
        <f>'Scores and stats'!RC77</f>
        <v>0</v>
      </c>
      <c r="AY235" s="587"/>
      <c r="AZ235" s="587"/>
      <c r="BA235" s="587"/>
      <c r="BB235" s="587">
        <f>'Scores and stats'!RF77</f>
        <v>0</v>
      </c>
      <c r="BC235" s="587"/>
      <c r="BD235" s="587"/>
      <c r="BE235" s="587"/>
      <c r="BF235" s="587">
        <f>'Scores and stats'!RK77</f>
        <v>0</v>
      </c>
      <c r="BG235" s="587"/>
      <c r="BH235" s="587"/>
      <c r="BI235" s="587"/>
      <c r="BJ235" s="587">
        <f>'Scores and stats'!RH77</f>
        <v>0</v>
      </c>
      <c r="BK235" s="587"/>
      <c r="BL235" s="587"/>
      <c r="BM235" s="587"/>
      <c r="BN235" s="587">
        <f>'Scores and stats'!RM77</f>
        <v>0</v>
      </c>
      <c r="BO235" s="587"/>
      <c r="BP235" s="587"/>
      <c r="BQ235" s="587"/>
    </row>
    <row r="236" spans="1:69" hidden="1" x14ac:dyDescent="0.2">
      <c r="A236" s="495">
        <f>'Name List'!B78</f>
        <v>4</v>
      </c>
      <c r="B236" s="495"/>
      <c r="C236" s="495"/>
      <c r="D236" s="495"/>
      <c r="E236" s="495"/>
      <c r="F236" s="495"/>
      <c r="G236" s="584">
        <f>'Scores and stats'!QY78</f>
        <v>0</v>
      </c>
      <c r="H236" s="495"/>
      <c r="I236" s="495"/>
      <c r="J236" s="495"/>
      <c r="K236" s="495">
        <f>'Scores and stats'!RP78</f>
        <v>0</v>
      </c>
      <c r="L236" s="495"/>
      <c r="M236" s="495"/>
      <c r="N236" s="584">
        <f t="shared" si="7"/>
        <v>0</v>
      </c>
      <c r="O236" s="495"/>
      <c r="P236" s="495"/>
      <c r="R236" s="584">
        <v>0</v>
      </c>
      <c r="S236" s="584"/>
      <c r="T236" s="584"/>
      <c r="U236" s="584">
        <f>'Scores and stats'!QT78</f>
        <v>0</v>
      </c>
      <c r="V236" s="584"/>
      <c r="W236" s="584"/>
      <c r="X236" s="584">
        <f>'Scores and stats'!QU78</f>
        <v>0</v>
      </c>
      <c r="Y236" s="584"/>
      <c r="Z236" s="584"/>
      <c r="AA236" s="584">
        <f>'Scores and stats'!QV78</f>
        <v>0</v>
      </c>
      <c r="AB236" s="584"/>
      <c r="AC236" s="584"/>
      <c r="AD236" s="584">
        <f>'Scores and stats'!QW78</f>
        <v>0</v>
      </c>
      <c r="AE236" s="584"/>
      <c r="AF236" s="584"/>
      <c r="AH236" s="584">
        <f t="shared" si="12"/>
        <v>0</v>
      </c>
      <c r="AI236" s="495"/>
      <c r="AJ236" s="495"/>
      <c r="AK236" s="495">
        <f t="shared" si="8"/>
        <v>0</v>
      </c>
      <c r="AL236" s="495"/>
      <c r="AM236" s="495"/>
      <c r="AN236" s="495">
        <f t="shared" si="9"/>
        <v>0</v>
      </c>
      <c r="AO236" s="495"/>
      <c r="AP236" s="495"/>
      <c r="AQ236" s="495">
        <f t="shared" si="10"/>
        <v>0</v>
      </c>
      <c r="AR236" s="495"/>
      <c r="AS236" s="495"/>
      <c r="AT236" s="495">
        <f t="shared" si="11"/>
        <v>0</v>
      </c>
      <c r="AU236" s="495"/>
      <c r="AV236" s="495"/>
      <c r="AX236" s="584">
        <f>'Scores and stats'!RC78</f>
        <v>0</v>
      </c>
      <c r="AY236" s="584"/>
      <c r="AZ236" s="584"/>
      <c r="BA236" s="584"/>
      <c r="BB236" s="584">
        <f>'Scores and stats'!RF78</f>
        <v>0</v>
      </c>
      <c r="BC236" s="584"/>
      <c r="BD236" s="584"/>
      <c r="BE236" s="584"/>
      <c r="BF236" s="584">
        <f>'Scores and stats'!RK78</f>
        <v>0</v>
      </c>
      <c r="BG236" s="584"/>
      <c r="BH236" s="584"/>
      <c r="BI236" s="584"/>
      <c r="BJ236" s="584">
        <f>'Scores and stats'!RH78</f>
        <v>0</v>
      </c>
      <c r="BK236" s="584"/>
      <c r="BL236" s="584"/>
      <c r="BM236" s="584"/>
      <c r="BN236" s="584">
        <f>'Scores and stats'!RM78</f>
        <v>0</v>
      </c>
      <c r="BO236" s="584"/>
      <c r="BP236" s="584"/>
      <c r="BQ236" s="584"/>
    </row>
    <row r="237" spans="1:69" hidden="1" x14ac:dyDescent="0.2">
      <c r="A237" s="496">
        <f>'Name List'!B79</f>
        <v>5</v>
      </c>
      <c r="B237" s="496"/>
      <c r="C237" s="496"/>
      <c r="D237" s="496"/>
      <c r="E237" s="496"/>
      <c r="F237" s="496"/>
      <c r="G237" s="587">
        <f>'Scores and stats'!QY79</f>
        <v>0</v>
      </c>
      <c r="H237" s="496"/>
      <c r="I237" s="496"/>
      <c r="J237" s="496"/>
      <c r="K237" s="496">
        <f>'Scores and stats'!RP79</f>
        <v>0</v>
      </c>
      <c r="L237" s="496"/>
      <c r="M237" s="496"/>
      <c r="N237" s="587">
        <f t="shared" si="7"/>
        <v>0</v>
      </c>
      <c r="O237" s="496"/>
      <c r="P237" s="496"/>
      <c r="R237" s="587">
        <v>0</v>
      </c>
      <c r="S237" s="587"/>
      <c r="T237" s="587"/>
      <c r="U237" s="587">
        <f>'Scores and stats'!QT79</f>
        <v>0</v>
      </c>
      <c r="V237" s="587"/>
      <c r="W237" s="587"/>
      <c r="X237" s="587">
        <f>'Scores and stats'!QU79</f>
        <v>0</v>
      </c>
      <c r="Y237" s="587"/>
      <c r="Z237" s="587"/>
      <c r="AA237" s="587">
        <f>'Scores and stats'!QV79</f>
        <v>0</v>
      </c>
      <c r="AB237" s="587"/>
      <c r="AC237" s="587"/>
      <c r="AD237" s="587">
        <f>'Scores and stats'!QW79</f>
        <v>0</v>
      </c>
      <c r="AE237" s="587"/>
      <c r="AF237" s="587"/>
      <c r="AH237" s="587">
        <f t="shared" si="12"/>
        <v>0</v>
      </c>
      <c r="AI237" s="496"/>
      <c r="AJ237" s="496"/>
      <c r="AK237" s="496">
        <f t="shared" si="8"/>
        <v>0</v>
      </c>
      <c r="AL237" s="496"/>
      <c r="AM237" s="496"/>
      <c r="AN237" s="496">
        <f t="shared" si="9"/>
        <v>0</v>
      </c>
      <c r="AO237" s="496"/>
      <c r="AP237" s="496"/>
      <c r="AQ237" s="496">
        <f t="shared" si="10"/>
        <v>0</v>
      </c>
      <c r="AR237" s="496"/>
      <c r="AS237" s="496"/>
      <c r="AT237" s="496">
        <f t="shared" si="11"/>
        <v>0</v>
      </c>
      <c r="AU237" s="496"/>
      <c r="AV237" s="496"/>
      <c r="AX237" s="587">
        <f>'Scores and stats'!RC79</f>
        <v>0</v>
      </c>
      <c r="AY237" s="587"/>
      <c r="AZ237" s="587"/>
      <c r="BA237" s="587"/>
      <c r="BB237" s="587">
        <f>'Scores and stats'!RF79</f>
        <v>0</v>
      </c>
      <c r="BC237" s="587"/>
      <c r="BD237" s="587"/>
      <c r="BE237" s="587"/>
      <c r="BF237" s="587">
        <f>'Scores and stats'!RK79</f>
        <v>0</v>
      </c>
      <c r="BG237" s="587"/>
      <c r="BH237" s="587"/>
      <c r="BI237" s="587"/>
      <c r="BJ237" s="587">
        <f>'Scores and stats'!RH79</f>
        <v>0</v>
      </c>
      <c r="BK237" s="587"/>
      <c r="BL237" s="587"/>
      <c r="BM237" s="587"/>
      <c r="BN237" s="587">
        <f>'Scores and stats'!RM79</f>
        <v>0</v>
      </c>
      <c r="BO237" s="587"/>
      <c r="BP237" s="587"/>
      <c r="BQ237" s="587"/>
    </row>
    <row r="238" spans="1:69" hidden="1" x14ac:dyDescent="0.2">
      <c r="A238" s="495">
        <f>'Name List'!B80</f>
        <v>6</v>
      </c>
      <c r="B238" s="495"/>
      <c r="C238" s="495"/>
      <c r="D238" s="495"/>
      <c r="E238" s="495"/>
      <c r="F238" s="495"/>
      <c r="G238" s="584">
        <f>'Scores and stats'!QY80</f>
        <v>0</v>
      </c>
      <c r="H238" s="495"/>
      <c r="I238" s="495"/>
      <c r="J238" s="495"/>
      <c r="K238" s="495">
        <f>'Scores and stats'!RP80</f>
        <v>0</v>
      </c>
      <c r="L238" s="495"/>
      <c r="M238" s="495"/>
      <c r="N238" s="584">
        <f t="shared" si="7"/>
        <v>0</v>
      </c>
      <c r="O238" s="495"/>
      <c r="P238" s="495"/>
      <c r="R238" s="584">
        <v>0</v>
      </c>
      <c r="S238" s="584"/>
      <c r="T238" s="584"/>
      <c r="U238" s="584">
        <f>'Scores and stats'!QT80</f>
        <v>0</v>
      </c>
      <c r="V238" s="584"/>
      <c r="W238" s="584"/>
      <c r="X238" s="584">
        <f>'Scores and stats'!QU80</f>
        <v>0</v>
      </c>
      <c r="Y238" s="584"/>
      <c r="Z238" s="584"/>
      <c r="AA238" s="584">
        <f>'Scores and stats'!QV80</f>
        <v>0</v>
      </c>
      <c r="AB238" s="584"/>
      <c r="AC238" s="584"/>
      <c r="AD238" s="584">
        <f>'Scores and stats'!QW80</f>
        <v>0</v>
      </c>
      <c r="AE238" s="584"/>
      <c r="AF238" s="584"/>
      <c r="AH238" s="584">
        <f t="shared" si="12"/>
        <v>0</v>
      </c>
      <c r="AI238" s="495"/>
      <c r="AJ238" s="495"/>
      <c r="AK238" s="495">
        <f t="shared" si="8"/>
        <v>0</v>
      </c>
      <c r="AL238" s="495"/>
      <c r="AM238" s="495"/>
      <c r="AN238" s="495">
        <f t="shared" si="9"/>
        <v>0</v>
      </c>
      <c r="AO238" s="495"/>
      <c r="AP238" s="495"/>
      <c r="AQ238" s="495">
        <f t="shared" si="10"/>
        <v>0</v>
      </c>
      <c r="AR238" s="495"/>
      <c r="AS238" s="495"/>
      <c r="AT238" s="495">
        <f t="shared" si="11"/>
        <v>0</v>
      </c>
      <c r="AU238" s="495"/>
      <c r="AV238" s="495"/>
      <c r="AX238" s="584">
        <f>'Scores and stats'!RC80</f>
        <v>0</v>
      </c>
      <c r="AY238" s="584"/>
      <c r="AZ238" s="584"/>
      <c r="BA238" s="584"/>
      <c r="BB238" s="584">
        <f>'Scores and stats'!RF80</f>
        <v>0</v>
      </c>
      <c r="BC238" s="584"/>
      <c r="BD238" s="584"/>
      <c r="BE238" s="584"/>
      <c r="BF238" s="584">
        <f>'Scores and stats'!RK80</f>
        <v>0</v>
      </c>
      <c r="BG238" s="584"/>
      <c r="BH238" s="584"/>
      <c r="BI238" s="584"/>
      <c r="BJ238" s="584">
        <f>'Scores and stats'!RH80</f>
        <v>0</v>
      </c>
      <c r="BK238" s="584"/>
      <c r="BL238" s="584"/>
      <c r="BM238" s="584"/>
      <c r="BN238" s="584">
        <f>'Scores and stats'!RM80</f>
        <v>0</v>
      </c>
      <c r="BO238" s="584"/>
      <c r="BP238" s="584"/>
      <c r="BQ238" s="584"/>
    </row>
    <row r="239" spans="1:69" hidden="1" x14ac:dyDescent="0.2">
      <c r="A239" s="496">
        <f>'Name List'!B81</f>
        <v>7</v>
      </c>
      <c r="B239" s="496"/>
      <c r="C239" s="496"/>
      <c r="D239" s="496"/>
      <c r="E239" s="496"/>
      <c r="F239" s="496"/>
      <c r="G239" s="587">
        <f>'Scores and stats'!QY81</f>
        <v>0</v>
      </c>
      <c r="H239" s="496"/>
      <c r="I239" s="496"/>
      <c r="J239" s="496"/>
      <c r="K239" s="496">
        <f>'Scores and stats'!RP81</f>
        <v>0</v>
      </c>
      <c r="L239" s="496"/>
      <c r="M239" s="496"/>
      <c r="N239" s="587">
        <f t="shared" si="7"/>
        <v>0</v>
      </c>
      <c r="O239" s="496"/>
      <c r="P239" s="496"/>
      <c r="R239" s="587">
        <v>0</v>
      </c>
      <c r="S239" s="587"/>
      <c r="T239" s="587"/>
      <c r="U239" s="587">
        <f>'Scores and stats'!QT81</f>
        <v>0</v>
      </c>
      <c r="V239" s="587"/>
      <c r="W239" s="587"/>
      <c r="X239" s="587">
        <f>'Scores and stats'!QU81</f>
        <v>0</v>
      </c>
      <c r="Y239" s="587"/>
      <c r="Z239" s="587"/>
      <c r="AA239" s="587">
        <f>'Scores and stats'!QV81</f>
        <v>0</v>
      </c>
      <c r="AB239" s="587"/>
      <c r="AC239" s="587"/>
      <c r="AD239" s="587">
        <f>'Scores and stats'!QW81</f>
        <v>0</v>
      </c>
      <c r="AE239" s="587"/>
      <c r="AF239" s="587"/>
      <c r="AH239" s="587">
        <f t="shared" si="12"/>
        <v>0</v>
      </c>
      <c r="AI239" s="496"/>
      <c r="AJ239" s="496"/>
      <c r="AK239" s="496">
        <f t="shared" si="8"/>
        <v>0</v>
      </c>
      <c r="AL239" s="496"/>
      <c r="AM239" s="496"/>
      <c r="AN239" s="496">
        <f t="shared" si="9"/>
        <v>0</v>
      </c>
      <c r="AO239" s="496"/>
      <c r="AP239" s="496"/>
      <c r="AQ239" s="496">
        <f t="shared" si="10"/>
        <v>0</v>
      </c>
      <c r="AR239" s="496"/>
      <c r="AS239" s="496"/>
      <c r="AT239" s="496">
        <f t="shared" si="11"/>
        <v>0</v>
      </c>
      <c r="AU239" s="496"/>
      <c r="AV239" s="496"/>
      <c r="AX239" s="587">
        <f>'Scores and stats'!RC81</f>
        <v>0</v>
      </c>
      <c r="AY239" s="587"/>
      <c r="AZ239" s="587"/>
      <c r="BA239" s="587"/>
      <c r="BB239" s="587">
        <f>'Scores and stats'!RF81</f>
        <v>0</v>
      </c>
      <c r="BC239" s="587"/>
      <c r="BD239" s="587"/>
      <c r="BE239" s="587"/>
      <c r="BF239" s="587">
        <f>'Scores and stats'!RK81</f>
        <v>0</v>
      </c>
      <c r="BG239" s="587"/>
      <c r="BH239" s="587"/>
      <c r="BI239" s="587"/>
      <c r="BJ239" s="587">
        <f>'Scores and stats'!RH81</f>
        <v>0</v>
      </c>
      <c r="BK239" s="587"/>
      <c r="BL239" s="587"/>
      <c r="BM239" s="587"/>
      <c r="BN239" s="587">
        <f>'Scores and stats'!RM81</f>
        <v>0</v>
      </c>
      <c r="BO239" s="587"/>
      <c r="BP239" s="587"/>
      <c r="BQ239" s="587"/>
    </row>
    <row r="240" spans="1:69" hidden="1" x14ac:dyDescent="0.2">
      <c r="A240" s="495">
        <f>'Name List'!B82</f>
        <v>8</v>
      </c>
      <c r="B240" s="495"/>
      <c r="C240" s="495"/>
      <c r="D240" s="495"/>
      <c r="E240" s="495"/>
      <c r="F240" s="495"/>
      <c r="G240" s="584">
        <f>'Scores and stats'!QY82</f>
        <v>0</v>
      </c>
      <c r="H240" s="495"/>
      <c r="I240" s="495"/>
      <c r="J240" s="495"/>
      <c r="K240" s="495">
        <f>'Scores and stats'!RP82</f>
        <v>0</v>
      </c>
      <c r="L240" s="495"/>
      <c r="M240" s="495"/>
      <c r="N240" s="584">
        <f t="shared" si="7"/>
        <v>0</v>
      </c>
      <c r="O240" s="495"/>
      <c r="P240" s="495"/>
      <c r="R240" s="584">
        <v>0</v>
      </c>
      <c r="S240" s="584"/>
      <c r="T240" s="584"/>
      <c r="U240" s="584">
        <f>'Scores and stats'!QT82</f>
        <v>0</v>
      </c>
      <c r="V240" s="584"/>
      <c r="W240" s="584"/>
      <c r="X240" s="584">
        <f>'Scores and stats'!QU82</f>
        <v>0</v>
      </c>
      <c r="Y240" s="584"/>
      <c r="Z240" s="584"/>
      <c r="AA240" s="584">
        <f>'Scores and stats'!QV82</f>
        <v>0</v>
      </c>
      <c r="AB240" s="584"/>
      <c r="AC240" s="584"/>
      <c r="AD240" s="584">
        <f>'Scores and stats'!QW82</f>
        <v>0</v>
      </c>
      <c r="AE240" s="584"/>
      <c r="AF240" s="584"/>
      <c r="AH240" s="584">
        <f t="shared" si="12"/>
        <v>0</v>
      </c>
      <c r="AI240" s="495"/>
      <c r="AJ240" s="495"/>
      <c r="AK240" s="495">
        <f t="shared" si="8"/>
        <v>0</v>
      </c>
      <c r="AL240" s="495"/>
      <c r="AM240" s="495"/>
      <c r="AN240" s="495">
        <f t="shared" si="9"/>
        <v>0</v>
      </c>
      <c r="AO240" s="495"/>
      <c r="AP240" s="495"/>
      <c r="AQ240" s="495">
        <f t="shared" si="10"/>
        <v>0</v>
      </c>
      <c r="AR240" s="495"/>
      <c r="AS240" s="495"/>
      <c r="AT240" s="495">
        <f t="shared" si="11"/>
        <v>0</v>
      </c>
      <c r="AU240" s="495"/>
      <c r="AV240" s="495"/>
      <c r="AX240" s="584">
        <f>'Scores and stats'!RC82</f>
        <v>0</v>
      </c>
      <c r="AY240" s="584"/>
      <c r="AZ240" s="584"/>
      <c r="BA240" s="584"/>
      <c r="BB240" s="584">
        <f>'Scores and stats'!RF82</f>
        <v>0</v>
      </c>
      <c r="BC240" s="584"/>
      <c r="BD240" s="584"/>
      <c r="BE240" s="584"/>
      <c r="BF240" s="584">
        <f>'Scores and stats'!RK82</f>
        <v>0</v>
      </c>
      <c r="BG240" s="584"/>
      <c r="BH240" s="584"/>
      <c r="BI240" s="584"/>
      <c r="BJ240" s="584">
        <f>'Scores and stats'!RH82</f>
        <v>0</v>
      </c>
      <c r="BK240" s="584"/>
      <c r="BL240" s="584"/>
      <c r="BM240" s="584"/>
      <c r="BN240" s="584">
        <f>'Scores and stats'!RM82</f>
        <v>0</v>
      </c>
      <c r="BO240" s="584"/>
      <c r="BP240" s="584"/>
      <c r="BQ240" s="584"/>
    </row>
    <row r="241" spans="1:69" hidden="1" x14ac:dyDescent="0.2">
      <c r="A241" s="496">
        <f>'Name List'!B83</f>
        <v>9</v>
      </c>
      <c r="B241" s="496"/>
      <c r="C241" s="496"/>
      <c r="D241" s="496"/>
      <c r="E241" s="496"/>
      <c r="F241" s="496"/>
      <c r="G241" s="587">
        <f>'Scores and stats'!QY83</f>
        <v>0</v>
      </c>
      <c r="H241" s="496"/>
      <c r="I241" s="496"/>
      <c r="J241" s="496"/>
      <c r="K241" s="496">
        <f>'Scores and stats'!RP83</f>
        <v>0</v>
      </c>
      <c r="L241" s="496"/>
      <c r="M241" s="496"/>
      <c r="N241" s="587">
        <f t="shared" si="7"/>
        <v>0</v>
      </c>
      <c r="O241" s="496"/>
      <c r="P241" s="496"/>
      <c r="R241" s="587">
        <v>0</v>
      </c>
      <c r="S241" s="587"/>
      <c r="T241" s="587"/>
      <c r="U241" s="587">
        <f>'Scores and stats'!QT83</f>
        <v>0</v>
      </c>
      <c r="V241" s="587"/>
      <c r="W241" s="587"/>
      <c r="X241" s="587">
        <f>'Scores and stats'!QU83</f>
        <v>0</v>
      </c>
      <c r="Y241" s="587"/>
      <c r="Z241" s="587"/>
      <c r="AA241" s="587">
        <f>'Scores and stats'!QV83</f>
        <v>0</v>
      </c>
      <c r="AB241" s="587"/>
      <c r="AC241" s="587"/>
      <c r="AD241" s="587">
        <f>'Scores and stats'!QW83</f>
        <v>0</v>
      </c>
      <c r="AE241" s="587"/>
      <c r="AF241" s="587"/>
      <c r="AH241" s="587">
        <f t="shared" si="12"/>
        <v>0</v>
      </c>
      <c r="AI241" s="496"/>
      <c r="AJ241" s="496"/>
      <c r="AK241" s="496">
        <f t="shared" si="8"/>
        <v>0</v>
      </c>
      <c r="AL241" s="496"/>
      <c r="AM241" s="496"/>
      <c r="AN241" s="496">
        <f t="shared" si="9"/>
        <v>0</v>
      </c>
      <c r="AO241" s="496"/>
      <c r="AP241" s="496"/>
      <c r="AQ241" s="496">
        <f t="shared" si="10"/>
        <v>0</v>
      </c>
      <c r="AR241" s="496"/>
      <c r="AS241" s="496"/>
      <c r="AT241" s="496">
        <f t="shared" si="11"/>
        <v>0</v>
      </c>
      <c r="AU241" s="496"/>
      <c r="AV241" s="496"/>
      <c r="AX241" s="587">
        <f>'Scores and stats'!RC83</f>
        <v>0</v>
      </c>
      <c r="AY241" s="587"/>
      <c r="AZ241" s="587"/>
      <c r="BA241" s="587"/>
      <c r="BB241" s="587">
        <f>'Scores and stats'!RF83</f>
        <v>0</v>
      </c>
      <c r="BC241" s="587"/>
      <c r="BD241" s="587"/>
      <c r="BE241" s="587"/>
      <c r="BF241" s="587">
        <f>'Scores and stats'!RK83</f>
        <v>0</v>
      </c>
      <c r="BG241" s="587"/>
      <c r="BH241" s="587"/>
      <c r="BI241" s="587"/>
      <c r="BJ241" s="587">
        <f>'Scores and stats'!RH83</f>
        <v>0</v>
      </c>
      <c r="BK241" s="587"/>
      <c r="BL241" s="587"/>
      <c r="BM241" s="587"/>
      <c r="BN241" s="587">
        <f>'Scores and stats'!RM83</f>
        <v>0</v>
      </c>
      <c r="BO241" s="587"/>
      <c r="BP241" s="587"/>
      <c r="BQ241" s="587"/>
    </row>
    <row r="242" spans="1:69" hidden="1" x14ac:dyDescent="0.2">
      <c r="A242" s="495">
        <f>'Name List'!B84</f>
        <v>10</v>
      </c>
      <c r="B242" s="495"/>
      <c r="C242" s="495"/>
      <c r="D242" s="495"/>
      <c r="E242" s="495"/>
      <c r="F242" s="495"/>
      <c r="G242" s="584">
        <f>'Scores and stats'!QY84</f>
        <v>0</v>
      </c>
      <c r="H242" s="495"/>
      <c r="I242" s="495"/>
      <c r="J242" s="495"/>
      <c r="K242" s="495">
        <f>'Scores and stats'!RP84</f>
        <v>0</v>
      </c>
      <c r="L242" s="495"/>
      <c r="M242" s="495"/>
      <c r="N242" s="584">
        <f t="shared" si="7"/>
        <v>0</v>
      </c>
      <c r="O242" s="495"/>
      <c r="P242" s="495"/>
      <c r="R242" s="584">
        <v>0</v>
      </c>
      <c r="S242" s="584"/>
      <c r="T242" s="584"/>
      <c r="U242" s="584">
        <f>'Scores and stats'!QT84</f>
        <v>0</v>
      </c>
      <c r="V242" s="584"/>
      <c r="W242" s="584"/>
      <c r="X242" s="584">
        <f>'Scores and stats'!QU84</f>
        <v>0</v>
      </c>
      <c r="Y242" s="584"/>
      <c r="Z242" s="584"/>
      <c r="AA242" s="584">
        <f>'Scores and stats'!QV84</f>
        <v>0</v>
      </c>
      <c r="AB242" s="584"/>
      <c r="AC242" s="584"/>
      <c r="AD242" s="584">
        <f>'Scores and stats'!QW84</f>
        <v>0</v>
      </c>
      <c r="AE242" s="584"/>
      <c r="AF242" s="584"/>
      <c r="AH242" s="584">
        <f t="shared" si="12"/>
        <v>0</v>
      </c>
      <c r="AI242" s="495"/>
      <c r="AJ242" s="495"/>
      <c r="AK242" s="495">
        <f t="shared" si="8"/>
        <v>0</v>
      </c>
      <c r="AL242" s="495"/>
      <c r="AM242" s="495"/>
      <c r="AN242" s="495">
        <f t="shared" si="9"/>
        <v>0</v>
      </c>
      <c r="AO242" s="495"/>
      <c r="AP242" s="495"/>
      <c r="AQ242" s="495">
        <f t="shared" si="10"/>
        <v>0</v>
      </c>
      <c r="AR242" s="495"/>
      <c r="AS242" s="495"/>
      <c r="AT242" s="495">
        <f t="shared" si="11"/>
        <v>0</v>
      </c>
      <c r="AU242" s="495"/>
      <c r="AV242" s="495"/>
      <c r="AX242" s="584">
        <f>'Scores and stats'!RC84</f>
        <v>0</v>
      </c>
      <c r="AY242" s="584"/>
      <c r="AZ242" s="584"/>
      <c r="BA242" s="584"/>
      <c r="BB242" s="584">
        <f>'Scores and stats'!RF84</f>
        <v>0</v>
      </c>
      <c r="BC242" s="584"/>
      <c r="BD242" s="584"/>
      <c r="BE242" s="584"/>
      <c r="BF242" s="584">
        <f>'Scores and stats'!RK84</f>
        <v>0</v>
      </c>
      <c r="BG242" s="584"/>
      <c r="BH242" s="584"/>
      <c r="BI242" s="584"/>
      <c r="BJ242" s="584">
        <f>'Scores and stats'!RH84</f>
        <v>0</v>
      </c>
      <c r="BK242" s="584"/>
      <c r="BL242" s="584"/>
      <c r="BM242" s="584"/>
      <c r="BN242" s="584">
        <f>'Scores and stats'!RM84</f>
        <v>0</v>
      </c>
      <c r="BO242" s="584"/>
      <c r="BP242" s="584"/>
      <c r="BQ242" s="584"/>
    </row>
    <row r="243" spans="1:69" hidden="1" x14ac:dyDescent="0.2">
      <c r="A243" s="496">
        <f>'Name List'!B85</f>
        <v>11</v>
      </c>
      <c r="B243" s="496"/>
      <c r="C243" s="496"/>
      <c r="D243" s="496"/>
      <c r="E243" s="496"/>
      <c r="F243" s="496"/>
      <c r="G243" s="587">
        <f>'Scores and stats'!QY85</f>
        <v>0</v>
      </c>
      <c r="H243" s="496"/>
      <c r="I243" s="496"/>
      <c r="J243" s="496"/>
      <c r="K243" s="496">
        <f>'Scores and stats'!RP85</f>
        <v>0</v>
      </c>
      <c r="L243" s="496"/>
      <c r="M243" s="496"/>
      <c r="N243" s="587">
        <f t="shared" si="7"/>
        <v>0</v>
      </c>
      <c r="O243" s="496"/>
      <c r="P243" s="496"/>
      <c r="R243" s="587">
        <v>0</v>
      </c>
      <c r="S243" s="587"/>
      <c r="T243" s="587"/>
      <c r="U243" s="587">
        <f>'Scores and stats'!QT85</f>
        <v>0</v>
      </c>
      <c r="V243" s="587"/>
      <c r="W243" s="587"/>
      <c r="X243" s="587">
        <f>'Scores and stats'!QU85</f>
        <v>0</v>
      </c>
      <c r="Y243" s="587"/>
      <c r="Z243" s="587"/>
      <c r="AA243" s="587">
        <f>'Scores and stats'!QV85</f>
        <v>0</v>
      </c>
      <c r="AB243" s="587"/>
      <c r="AC243" s="587"/>
      <c r="AD243" s="587">
        <f>'Scores and stats'!QW85</f>
        <v>0</v>
      </c>
      <c r="AE243" s="587"/>
      <c r="AF243" s="587"/>
      <c r="AH243" s="587">
        <f t="shared" si="12"/>
        <v>0</v>
      </c>
      <c r="AI243" s="496"/>
      <c r="AJ243" s="496"/>
      <c r="AK243" s="496">
        <f t="shared" si="8"/>
        <v>0</v>
      </c>
      <c r="AL243" s="496"/>
      <c r="AM243" s="496"/>
      <c r="AN243" s="496">
        <f t="shared" si="9"/>
        <v>0</v>
      </c>
      <c r="AO243" s="496"/>
      <c r="AP243" s="496"/>
      <c r="AQ243" s="496">
        <f t="shared" si="10"/>
        <v>0</v>
      </c>
      <c r="AR243" s="496"/>
      <c r="AS243" s="496"/>
      <c r="AT243" s="496">
        <f t="shared" si="11"/>
        <v>0</v>
      </c>
      <c r="AU243" s="496"/>
      <c r="AV243" s="496"/>
      <c r="AX243" s="587">
        <f>'Scores and stats'!RC85</f>
        <v>0</v>
      </c>
      <c r="AY243" s="587"/>
      <c r="AZ243" s="587"/>
      <c r="BA243" s="587"/>
      <c r="BB243" s="587">
        <f>'Scores and stats'!RF85</f>
        <v>0</v>
      </c>
      <c r="BC243" s="587"/>
      <c r="BD243" s="587"/>
      <c r="BE243" s="587"/>
      <c r="BF243" s="587">
        <f>'Scores and stats'!RK85</f>
        <v>0</v>
      </c>
      <c r="BG243" s="587"/>
      <c r="BH243" s="587"/>
      <c r="BI243" s="587"/>
      <c r="BJ243" s="587">
        <f>'Scores and stats'!RH85</f>
        <v>0</v>
      </c>
      <c r="BK243" s="587"/>
      <c r="BL243" s="587"/>
      <c r="BM243" s="587"/>
      <c r="BN243" s="587">
        <f>'Scores and stats'!RM85</f>
        <v>0</v>
      </c>
      <c r="BO243" s="587"/>
      <c r="BP243" s="587"/>
      <c r="BQ243" s="587"/>
    </row>
    <row r="244" spans="1:69" hidden="1" x14ac:dyDescent="0.2">
      <c r="A244" s="495">
        <f>'Name List'!B86</f>
        <v>12</v>
      </c>
      <c r="B244" s="495"/>
      <c r="C244" s="495"/>
      <c r="D244" s="495"/>
      <c r="E244" s="495"/>
      <c r="F244" s="495"/>
      <c r="G244" s="584">
        <f>'Scores and stats'!QY86</f>
        <v>0</v>
      </c>
      <c r="H244" s="495"/>
      <c r="I244" s="495"/>
      <c r="J244" s="495"/>
      <c r="K244" s="495">
        <f>'Scores and stats'!RP86</f>
        <v>0</v>
      </c>
      <c r="L244" s="495"/>
      <c r="M244" s="495"/>
      <c r="N244" s="584">
        <f t="shared" si="7"/>
        <v>0</v>
      </c>
      <c r="O244" s="495"/>
      <c r="P244" s="495"/>
      <c r="R244" s="584">
        <v>0</v>
      </c>
      <c r="S244" s="584"/>
      <c r="T244" s="584"/>
      <c r="U244" s="584">
        <f>'Scores and stats'!QT86</f>
        <v>0</v>
      </c>
      <c r="V244" s="584"/>
      <c r="W244" s="584"/>
      <c r="X244" s="584">
        <f>'Scores and stats'!QU86</f>
        <v>0</v>
      </c>
      <c r="Y244" s="584"/>
      <c r="Z244" s="584"/>
      <c r="AA244" s="584">
        <f>'Scores and stats'!QV86</f>
        <v>0</v>
      </c>
      <c r="AB244" s="584"/>
      <c r="AC244" s="584"/>
      <c r="AD244" s="584">
        <f>'Scores and stats'!QW86</f>
        <v>0</v>
      </c>
      <c r="AE244" s="584"/>
      <c r="AF244" s="584"/>
      <c r="AH244" s="584">
        <f t="shared" si="12"/>
        <v>0</v>
      </c>
      <c r="AI244" s="495"/>
      <c r="AJ244" s="495"/>
      <c r="AK244" s="495">
        <f t="shared" si="8"/>
        <v>0</v>
      </c>
      <c r="AL244" s="495"/>
      <c r="AM244" s="495"/>
      <c r="AN244" s="495">
        <f t="shared" si="9"/>
        <v>0</v>
      </c>
      <c r="AO244" s="495"/>
      <c r="AP244" s="495"/>
      <c r="AQ244" s="495">
        <f t="shared" si="10"/>
        <v>0</v>
      </c>
      <c r="AR244" s="495"/>
      <c r="AS244" s="495"/>
      <c r="AT244" s="495">
        <f t="shared" si="11"/>
        <v>0</v>
      </c>
      <c r="AU244" s="495"/>
      <c r="AV244" s="495"/>
      <c r="AX244" s="584">
        <f>'Scores and stats'!RC86</f>
        <v>0</v>
      </c>
      <c r="AY244" s="584"/>
      <c r="AZ244" s="584"/>
      <c r="BA244" s="584"/>
      <c r="BB244" s="584">
        <f>'Scores and stats'!RF86</f>
        <v>0</v>
      </c>
      <c r="BC244" s="584"/>
      <c r="BD244" s="584"/>
      <c r="BE244" s="584"/>
      <c r="BF244" s="584">
        <f>'Scores and stats'!RK86</f>
        <v>0</v>
      </c>
      <c r="BG244" s="584"/>
      <c r="BH244" s="584"/>
      <c r="BI244" s="584"/>
      <c r="BJ244" s="584">
        <f>'Scores and stats'!RH86</f>
        <v>0</v>
      </c>
      <c r="BK244" s="584"/>
      <c r="BL244" s="584"/>
      <c r="BM244" s="584"/>
      <c r="BN244" s="584">
        <f>'Scores and stats'!RM86</f>
        <v>0</v>
      </c>
      <c r="BO244" s="584"/>
      <c r="BP244" s="584"/>
      <c r="BQ244" s="584"/>
    </row>
    <row r="245" spans="1:69" hidden="1" x14ac:dyDescent="0.2">
      <c r="A245" s="496">
        <f>'Name List'!B87</f>
        <v>13</v>
      </c>
      <c r="B245" s="496"/>
      <c r="C245" s="496"/>
      <c r="D245" s="496"/>
      <c r="E245" s="496"/>
      <c r="F245" s="496"/>
      <c r="G245" s="587">
        <f>'Scores and stats'!QY87</f>
        <v>0</v>
      </c>
      <c r="H245" s="496"/>
      <c r="I245" s="496"/>
      <c r="J245" s="496"/>
      <c r="K245" s="496">
        <f>'Scores and stats'!RP87</f>
        <v>0</v>
      </c>
      <c r="L245" s="496"/>
      <c r="M245" s="496"/>
      <c r="N245" s="587">
        <f t="shared" si="7"/>
        <v>0</v>
      </c>
      <c r="O245" s="496"/>
      <c r="P245" s="496"/>
      <c r="R245" s="587">
        <v>0</v>
      </c>
      <c r="S245" s="587"/>
      <c r="T245" s="587"/>
      <c r="U245" s="587">
        <f>'Scores and stats'!QT87</f>
        <v>0</v>
      </c>
      <c r="V245" s="587"/>
      <c r="W245" s="587"/>
      <c r="X245" s="587">
        <f>'Scores and stats'!QU87</f>
        <v>0</v>
      </c>
      <c r="Y245" s="587"/>
      <c r="Z245" s="587"/>
      <c r="AA245" s="587">
        <f>'Scores and stats'!QV87</f>
        <v>0</v>
      </c>
      <c r="AB245" s="587"/>
      <c r="AC245" s="587"/>
      <c r="AD245" s="587">
        <f>'Scores and stats'!QW87</f>
        <v>0</v>
      </c>
      <c r="AE245" s="587"/>
      <c r="AF245" s="587"/>
      <c r="AH245" s="587">
        <f t="shared" si="12"/>
        <v>0</v>
      </c>
      <c r="AI245" s="496"/>
      <c r="AJ245" s="496"/>
      <c r="AK245" s="496">
        <f t="shared" si="8"/>
        <v>0</v>
      </c>
      <c r="AL245" s="496"/>
      <c r="AM245" s="496"/>
      <c r="AN245" s="496">
        <f t="shared" si="9"/>
        <v>0</v>
      </c>
      <c r="AO245" s="496"/>
      <c r="AP245" s="496"/>
      <c r="AQ245" s="496">
        <f t="shared" si="10"/>
        <v>0</v>
      </c>
      <c r="AR245" s="496"/>
      <c r="AS245" s="496"/>
      <c r="AT245" s="496">
        <f t="shared" si="11"/>
        <v>0</v>
      </c>
      <c r="AU245" s="496"/>
      <c r="AV245" s="496"/>
      <c r="AX245" s="587">
        <f>'Scores and stats'!RC87</f>
        <v>0</v>
      </c>
      <c r="AY245" s="587"/>
      <c r="AZ245" s="587"/>
      <c r="BA245" s="587"/>
      <c r="BB245" s="587">
        <f>'Scores and stats'!RF87</f>
        <v>0</v>
      </c>
      <c r="BC245" s="587"/>
      <c r="BD245" s="587"/>
      <c r="BE245" s="587"/>
      <c r="BF245" s="587">
        <f>'Scores and stats'!RK87</f>
        <v>0</v>
      </c>
      <c r="BG245" s="587"/>
      <c r="BH245" s="587"/>
      <c r="BI245" s="587"/>
      <c r="BJ245" s="587">
        <f>'Scores and stats'!RH87</f>
        <v>0</v>
      </c>
      <c r="BK245" s="587"/>
      <c r="BL245" s="587"/>
      <c r="BM245" s="587"/>
      <c r="BN245" s="587">
        <f>'Scores and stats'!RM87</f>
        <v>0</v>
      </c>
      <c r="BO245" s="587"/>
      <c r="BP245" s="587"/>
      <c r="BQ245" s="587"/>
    </row>
    <row r="246" spans="1:69" hidden="1" x14ac:dyDescent="0.2">
      <c r="A246" s="495">
        <f>'Name List'!B88</f>
        <v>14</v>
      </c>
      <c r="B246" s="495"/>
      <c r="C246" s="495"/>
      <c r="D246" s="495"/>
      <c r="E246" s="495"/>
      <c r="F246" s="495"/>
      <c r="G246" s="584">
        <f>'Scores and stats'!QY88</f>
        <v>0</v>
      </c>
      <c r="H246" s="495"/>
      <c r="I246" s="495"/>
      <c r="J246" s="495"/>
      <c r="K246" s="495">
        <f>'Scores and stats'!RP88</f>
        <v>0</v>
      </c>
      <c r="L246" s="495"/>
      <c r="M246" s="495"/>
      <c r="N246" s="584">
        <f t="shared" si="7"/>
        <v>0</v>
      </c>
      <c r="O246" s="495"/>
      <c r="P246" s="495"/>
      <c r="R246" s="584">
        <v>0</v>
      </c>
      <c r="S246" s="584"/>
      <c r="T246" s="584"/>
      <c r="U246" s="584">
        <f>'Scores and stats'!QT88</f>
        <v>0</v>
      </c>
      <c r="V246" s="584"/>
      <c r="W246" s="584"/>
      <c r="X246" s="584">
        <f>'Scores and stats'!QU88</f>
        <v>0</v>
      </c>
      <c r="Y246" s="584"/>
      <c r="Z246" s="584"/>
      <c r="AA246" s="584">
        <f>'Scores and stats'!QV88</f>
        <v>0</v>
      </c>
      <c r="AB246" s="584"/>
      <c r="AC246" s="584"/>
      <c r="AD246" s="584">
        <f>'Scores and stats'!QW88</f>
        <v>0</v>
      </c>
      <c r="AE246" s="584"/>
      <c r="AF246" s="584"/>
      <c r="AH246" s="584">
        <f t="shared" si="12"/>
        <v>0</v>
      </c>
      <c r="AI246" s="495"/>
      <c r="AJ246" s="495"/>
      <c r="AK246" s="495">
        <f t="shared" si="8"/>
        <v>0</v>
      </c>
      <c r="AL246" s="495"/>
      <c r="AM246" s="495"/>
      <c r="AN246" s="495">
        <f t="shared" si="9"/>
        <v>0</v>
      </c>
      <c r="AO246" s="495"/>
      <c r="AP246" s="495"/>
      <c r="AQ246" s="495">
        <f t="shared" si="10"/>
        <v>0</v>
      </c>
      <c r="AR246" s="495"/>
      <c r="AS246" s="495"/>
      <c r="AT246" s="495">
        <f t="shared" si="11"/>
        <v>0</v>
      </c>
      <c r="AU246" s="495"/>
      <c r="AV246" s="495"/>
      <c r="AX246" s="584">
        <f>'Scores and stats'!RC88</f>
        <v>0</v>
      </c>
      <c r="AY246" s="584"/>
      <c r="AZ246" s="584"/>
      <c r="BA246" s="584"/>
      <c r="BB246" s="584">
        <f>'Scores and stats'!RF88</f>
        <v>0</v>
      </c>
      <c r="BC246" s="584"/>
      <c r="BD246" s="584"/>
      <c r="BE246" s="584"/>
      <c r="BF246" s="584">
        <f>'Scores and stats'!RK88</f>
        <v>0</v>
      </c>
      <c r="BG246" s="584"/>
      <c r="BH246" s="584"/>
      <c r="BI246" s="584"/>
      <c r="BJ246" s="584">
        <f>'Scores and stats'!RH88</f>
        <v>0</v>
      </c>
      <c r="BK246" s="584"/>
      <c r="BL246" s="584"/>
      <c r="BM246" s="584"/>
      <c r="BN246" s="584">
        <f>'Scores and stats'!RM88</f>
        <v>0</v>
      </c>
      <c r="BO246" s="584"/>
      <c r="BP246" s="584"/>
      <c r="BQ246" s="584"/>
    </row>
    <row r="247" spans="1:69" hidden="1" x14ac:dyDescent="0.2">
      <c r="A247" s="496">
        <f>'Name List'!B89</f>
        <v>15</v>
      </c>
      <c r="B247" s="496"/>
      <c r="C247" s="496"/>
      <c r="D247" s="496"/>
      <c r="E247" s="496"/>
      <c r="F247" s="496"/>
      <c r="G247" s="587">
        <f>'Scores and stats'!QY89</f>
        <v>0</v>
      </c>
      <c r="H247" s="496"/>
      <c r="I247" s="496"/>
      <c r="J247" s="496"/>
      <c r="K247" s="496">
        <f>'Scores and stats'!RP89</f>
        <v>0</v>
      </c>
      <c r="L247" s="496"/>
      <c r="M247" s="496"/>
      <c r="N247" s="587">
        <f t="shared" si="7"/>
        <v>0</v>
      </c>
      <c r="O247" s="496"/>
      <c r="P247" s="496"/>
      <c r="R247" s="587">
        <v>0</v>
      </c>
      <c r="S247" s="587"/>
      <c r="T247" s="587"/>
      <c r="U247" s="587">
        <f>'Scores and stats'!QT89</f>
        <v>0</v>
      </c>
      <c r="V247" s="587"/>
      <c r="W247" s="587"/>
      <c r="X247" s="587">
        <f>'Scores and stats'!QU89</f>
        <v>0</v>
      </c>
      <c r="Y247" s="587"/>
      <c r="Z247" s="587"/>
      <c r="AA247" s="587">
        <f>'Scores and stats'!QV89</f>
        <v>0</v>
      </c>
      <c r="AB247" s="587"/>
      <c r="AC247" s="587"/>
      <c r="AD247" s="587">
        <f>'Scores and stats'!QW89</f>
        <v>0</v>
      </c>
      <c r="AE247" s="587"/>
      <c r="AF247" s="587"/>
      <c r="AH247" s="587">
        <f t="shared" si="12"/>
        <v>0</v>
      </c>
      <c r="AI247" s="496"/>
      <c r="AJ247" s="496"/>
      <c r="AK247" s="496">
        <f t="shared" si="8"/>
        <v>0</v>
      </c>
      <c r="AL247" s="496"/>
      <c r="AM247" s="496"/>
      <c r="AN247" s="496">
        <f t="shared" si="9"/>
        <v>0</v>
      </c>
      <c r="AO247" s="496"/>
      <c r="AP247" s="496"/>
      <c r="AQ247" s="496">
        <f t="shared" si="10"/>
        <v>0</v>
      </c>
      <c r="AR247" s="496"/>
      <c r="AS247" s="496"/>
      <c r="AT247" s="496">
        <f t="shared" si="11"/>
        <v>0</v>
      </c>
      <c r="AU247" s="496"/>
      <c r="AV247" s="496"/>
      <c r="AX247" s="587">
        <f>'Scores and stats'!RC89</f>
        <v>0</v>
      </c>
      <c r="AY247" s="587"/>
      <c r="AZ247" s="587"/>
      <c r="BA247" s="587"/>
      <c r="BB247" s="587">
        <f>'Scores and stats'!RF89</f>
        <v>0</v>
      </c>
      <c r="BC247" s="587"/>
      <c r="BD247" s="587"/>
      <c r="BE247" s="587"/>
      <c r="BF247" s="587">
        <f>'Scores and stats'!RK89</f>
        <v>0</v>
      </c>
      <c r="BG247" s="587"/>
      <c r="BH247" s="587"/>
      <c r="BI247" s="587"/>
      <c r="BJ247" s="587">
        <f>'Scores and stats'!RH89</f>
        <v>0</v>
      </c>
      <c r="BK247" s="587"/>
      <c r="BL247" s="587"/>
      <c r="BM247" s="587"/>
      <c r="BN247" s="587">
        <f>'Scores and stats'!RM89</f>
        <v>0</v>
      </c>
      <c r="BO247" s="587"/>
      <c r="BP247" s="587"/>
      <c r="BQ247" s="587"/>
    </row>
    <row r="248" spans="1:69" hidden="1" x14ac:dyDescent="0.2">
      <c r="A248" s="495">
        <f>'Name List'!B90</f>
        <v>16</v>
      </c>
      <c r="B248" s="495"/>
      <c r="C248" s="495"/>
      <c r="D248" s="495"/>
      <c r="E248" s="495"/>
      <c r="F248" s="495"/>
      <c r="G248" s="584">
        <f>'Scores and stats'!QY90</f>
        <v>0</v>
      </c>
      <c r="H248" s="495"/>
      <c r="I248" s="495"/>
      <c r="J248" s="495"/>
      <c r="K248" s="495">
        <f>'Scores and stats'!RP90</f>
        <v>0</v>
      </c>
      <c r="L248" s="495"/>
      <c r="M248" s="495"/>
      <c r="N248" s="584">
        <f t="shared" si="7"/>
        <v>0</v>
      </c>
      <c r="O248" s="495"/>
      <c r="P248" s="495"/>
      <c r="R248" s="584">
        <v>0</v>
      </c>
      <c r="S248" s="584"/>
      <c r="T248" s="584"/>
      <c r="U248" s="584">
        <f>'Scores and stats'!QT90</f>
        <v>0</v>
      </c>
      <c r="V248" s="584"/>
      <c r="W248" s="584"/>
      <c r="X248" s="584">
        <f>'Scores and stats'!QU90</f>
        <v>0</v>
      </c>
      <c r="Y248" s="584"/>
      <c r="Z248" s="584"/>
      <c r="AA248" s="584">
        <f>'Scores and stats'!QV90</f>
        <v>0</v>
      </c>
      <c r="AB248" s="584"/>
      <c r="AC248" s="584"/>
      <c r="AD248" s="584">
        <f>'Scores and stats'!QW90</f>
        <v>0</v>
      </c>
      <c r="AE248" s="584"/>
      <c r="AF248" s="584"/>
      <c r="AH248" s="584">
        <f t="shared" si="12"/>
        <v>0</v>
      </c>
      <c r="AI248" s="495"/>
      <c r="AJ248" s="495"/>
      <c r="AK248" s="495">
        <f t="shared" si="8"/>
        <v>0</v>
      </c>
      <c r="AL248" s="495"/>
      <c r="AM248" s="495"/>
      <c r="AN248" s="495">
        <f t="shared" si="9"/>
        <v>0</v>
      </c>
      <c r="AO248" s="495"/>
      <c r="AP248" s="495"/>
      <c r="AQ248" s="495">
        <f t="shared" si="10"/>
        <v>0</v>
      </c>
      <c r="AR248" s="495"/>
      <c r="AS248" s="495"/>
      <c r="AT248" s="495">
        <f t="shared" si="11"/>
        <v>0</v>
      </c>
      <c r="AU248" s="495"/>
      <c r="AV248" s="495"/>
      <c r="AX248" s="584">
        <f>'Scores and stats'!RC90</f>
        <v>0</v>
      </c>
      <c r="AY248" s="584"/>
      <c r="AZ248" s="584"/>
      <c r="BA248" s="584"/>
      <c r="BB248" s="584">
        <f>'Scores and stats'!RF90</f>
        <v>0</v>
      </c>
      <c r="BC248" s="584"/>
      <c r="BD248" s="584"/>
      <c r="BE248" s="584"/>
      <c r="BF248" s="584">
        <f>'Scores and stats'!RK90</f>
        <v>0</v>
      </c>
      <c r="BG248" s="584"/>
      <c r="BH248" s="584"/>
      <c r="BI248" s="584"/>
      <c r="BJ248" s="584">
        <f>'Scores and stats'!RH90</f>
        <v>0</v>
      </c>
      <c r="BK248" s="584"/>
      <c r="BL248" s="584"/>
      <c r="BM248" s="584"/>
      <c r="BN248" s="584">
        <f>'Scores and stats'!RM90</f>
        <v>0</v>
      </c>
      <c r="BO248" s="584"/>
      <c r="BP248" s="584"/>
      <c r="BQ248" s="584"/>
    </row>
    <row r="249" spans="1:69" hidden="1" x14ac:dyDescent="0.2">
      <c r="A249" s="496">
        <f>'Name List'!B91</f>
        <v>17</v>
      </c>
      <c r="B249" s="496"/>
      <c r="C249" s="496"/>
      <c r="D249" s="496"/>
      <c r="E249" s="496"/>
      <c r="F249" s="496"/>
      <c r="G249" s="587">
        <f>'Scores and stats'!QY91</f>
        <v>0</v>
      </c>
      <c r="H249" s="496"/>
      <c r="I249" s="496"/>
      <c r="J249" s="496"/>
      <c r="K249" s="496">
        <f>'Scores and stats'!RP91</f>
        <v>0</v>
      </c>
      <c r="L249" s="496"/>
      <c r="M249" s="496"/>
      <c r="N249" s="587">
        <f t="shared" si="7"/>
        <v>0</v>
      </c>
      <c r="O249" s="496"/>
      <c r="P249" s="496"/>
      <c r="R249" s="587">
        <v>0</v>
      </c>
      <c r="S249" s="587"/>
      <c r="T249" s="587"/>
      <c r="U249" s="587">
        <f>'Scores and stats'!QT91</f>
        <v>0</v>
      </c>
      <c r="V249" s="587"/>
      <c r="W249" s="587"/>
      <c r="X249" s="587">
        <f>'Scores and stats'!QU91</f>
        <v>0</v>
      </c>
      <c r="Y249" s="587"/>
      <c r="Z249" s="587"/>
      <c r="AA249" s="587">
        <f>'Scores and stats'!QV91</f>
        <v>0</v>
      </c>
      <c r="AB249" s="587"/>
      <c r="AC249" s="587"/>
      <c r="AD249" s="587">
        <f>'Scores and stats'!QW91</f>
        <v>0</v>
      </c>
      <c r="AE249" s="587"/>
      <c r="AF249" s="587"/>
      <c r="AH249" s="587">
        <f t="shared" si="12"/>
        <v>0</v>
      </c>
      <c r="AI249" s="496"/>
      <c r="AJ249" s="496"/>
      <c r="AK249" s="496">
        <f t="shared" si="8"/>
        <v>0</v>
      </c>
      <c r="AL249" s="496"/>
      <c r="AM249" s="496"/>
      <c r="AN249" s="496">
        <f t="shared" si="9"/>
        <v>0</v>
      </c>
      <c r="AO249" s="496"/>
      <c r="AP249" s="496"/>
      <c r="AQ249" s="496">
        <f t="shared" si="10"/>
        <v>0</v>
      </c>
      <c r="AR249" s="496"/>
      <c r="AS249" s="496"/>
      <c r="AT249" s="496">
        <f t="shared" si="11"/>
        <v>0</v>
      </c>
      <c r="AU249" s="496"/>
      <c r="AV249" s="496"/>
      <c r="AX249" s="587">
        <f>'Scores and stats'!RC91</f>
        <v>0</v>
      </c>
      <c r="AY249" s="587"/>
      <c r="AZ249" s="587"/>
      <c r="BA249" s="587"/>
      <c r="BB249" s="587">
        <f>'Scores and stats'!RF91</f>
        <v>0</v>
      </c>
      <c r="BC249" s="587"/>
      <c r="BD249" s="587"/>
      <c r="BE249" s="587"/>
      <c r="BF249" s="587">
        <f>'Scores and stats'!RK91</f>
        <v>0</v>
      </c>
      <c r="BG249" s="587"/>
      <c r="BH249" s="587"/>
      <c r="BI249" s="587"/>
      <c r="BJ249" s="587">
        <f>'Scores and stats'!RH91</f>
        <v>0</v>
      </c>
      <c r="BK249" s="587"/>
      <c r="BL249" s="587"/>
      <c r="BM249" s="587"/>
      <c r="BN249" s="587">
        <f>'Scores and stats'!RM91</f>
        <v>0</v>
      </c>
      <c r="BO249" s="587"/>
      <c r="BP249" s="587"/>
      <c r="BQ249" s="587"/>
    </row>
    <row r="250" spans="1:69" hidden="1" x14ac:dyDescent="0.2">
      <c r="A250" s="495">
        <f>'Name List'!B92</f>
        <v>18</v>
      </c>
      <c r="B250" s="495"/>
      <c r="C250" s="495"/>
      <c r="D250" s="495"/>
      <c r="E250" s="495"/>
      <c r="F250" s="495"/>
      <c r="G250" s="584">
        <f>'Scores and stats'!QY92</f>
        <v>0</v>
      </c>
      <c r="H250" s="495"/>
      <c r="I250" s="495"/>
      <c r="J250" s="495"/>
      <c r="K250" s="495">
        <f>'Scores and stats'!RP92</f>
        <v>0</v>
      </c>
      <c r="L250" s="495"/>
      <c r="M250" s="495"/>
      <c r="N250" s="584">
        <f t="shared" si="7"/>
        <v>0</v>
      </c>
      <c r="O250" s="495"/>
      <c r="P250" s="495"/>
      <c r="R250" s="584">
        <v>0</v>
      </c>
      <c r="S250" s="584"/>
      <c r="T250" s="584"/>
      <c r="U250" s="584">
        <f>'Scores and stats'!QT92</f>
        <v>0</v>
      </c>
      <c r="V250" s="584"/>
      <c r="W250" s="584"/>
      <c r="X250" s="584">
        <f>'Scores and stats'!QU92</f>
        <v>0</v>
      </c>
      <c r="Y250" s="584"/>
      <c r="Z250" s="584"/>
      <c r="AA250" s="584">
        <f>'Scores and stats'!QV92</f>
        <v>0</v>
      </c>
      <c r="AB250" s="584"/>
      <c r="AC250" s="584"/>
      <c r="AD250" s="584">
        <f>'Scores and stats'!QW92</f>
        <v>0</v>
      </c>
      <c r="AE250" s="584"/>
      <c r="AF250" s="584"/>
      <c r="AH250" s="584">
        <f t="shared" si="12"/>
        <v>0</v>
      </c>
      <c r="AI250" s="495"/>
      <c r="AJ250" s="495"/>
      <c r="AK250" s="495">
        <f t="shared" si="8"/>
        <v>0</v>
      </c>
      <c r="AL250" s="495"/>
      <c r="AM250" s="495"/>
      <c r="AN250" s="495">
        <f t="shared" si="9"/>
        <v>0</v>
      </c>
      <c r="AO250" s="495"/>
      <c r="AP250" s="495"/>
      <c r="AQ250" s="495">
        <f t="shared" si="10"/>
        <v>0</v>
      </c>
      <c r="AR250" s="495"/>
      <c r="AS250" s="495"/>
      <c r="AT250" s="495">
        <f t="shared" si="11"/>
        <v>0</v>
      </c>
      <c r="AU250" s="495"/>
      <c r="AV250" s="495"/>
      <c r="AX250" s="584">
        <f>'Scores and stats'!RC92</f>
        <v>0</v>
      </c>
      <c r="AY250" s="584"/>
      <c r="AZ250" s="584"/>
      <c r="BA250" s="584"/>
      <c r="BB250" s="584">
        <f>'Scores and stats'!RF92</f>
        <v>0</v>
      </c>
      <c r="BC250" s="584"/>
      <c r="BD250" s="584"/>
      <c r="BE250" s="584"/>
      <c r="BF250" s="584">
        <f>'Scores and stats'!RK92</f>
        <v>0</v>
      </c>
      <c r="BG250" s="584"/>
      <c r="BH250" s="584"/>
      <c r="BI250" s="584"/>
      <c r="BJ250" s="584">
        <f>'Scores and stats'!RH92</f>
        <v>0</v>
      </c>
      <c r="BK250" s="584"/>
      <c r="BL250" s="584"/>
      <c r="BM250" s="584"/>
      <c r="BN250" s="584">
        <f>'Scores and stats'!RM92</f>
        <v>0</v>
      </c>
      <c r="BO250" s="584"/>
      <c r="BP250" s="584"/>
      <c r="BQ250" s="584"/>
    </row>
    <row r="251" spans="1:69" hidden="1" x14ac:dyDescent="0.2">
      <c r="A251" s="496">
        <f>'Name List'!B93</f>
        <v>19</v>
      </c>
      <c r="B251" s="496"/>
      <c r="C251" s="496"/>
      <c r="D251" s="496"/>
      <c r="E251" s="496"/>
      <c r="F251" s="496"/>
      <c r="G251" s="587">
        <f>'Scores and stats'!QY93</f>
        <v>0</v>
      </c>
      <c r="H251" s="496"/>
      <c r="I251" s="496"/>
      <c r="J251" s="496"/>
      <c r="K251" s="496">
        <f>'Scores and stats'!RP93</f>
        <v>0</v>
      </c>
      <c r="L251" s="496"/>
      <c r="M251" s="496"/>
      <c r="N251" s="587">
        <f t="shared" si="7"/>
        <v>0</v>
      </c>
      <c r="O251" s="496"/>
      <c r="P251" s="496"/>
      <c r="R251" s="587">
        <v>0</v>
      </c>
      <c r="S251" s="587"/>
      <c r="T251" s="587"/>
      <c r="U251" s="587">
        <f>'Scores and stats'!QT93</f>
        <v>0</v>
      </c>
      <c r="V251" s="587"/>
      <c r="W251" s="587"/>
      <c r="X251" s="587">
        <f>'Scores and stats'!QU93</f>
        <v>0</v>
      </c>
      <c r="Y251" s="587"/>
      <c r="Z251" s="587"/>
      <c r="AA251" s="587">
        <f>'Scores and stats'!QV93</f>
        <v>0</v>
      </c>
      <c r="AB251" s="587"/>
      <c r="AC251" s="587"/>
      <c r="AD251" s="587">
        <f>'Scores and stats'!QW93</f>
        <v>0</v>
      </c>
      <c r="AE251" s="587"/>
      <c r="AF251" s="587"/>
      <c r="AH251" s="587">
        <f t="shared" si="12"/>
        <v>0</v>
      </c>
      <c r="AI251" s="496"/>
      <c r="AJ251" s="496"/>
      <c r="AK251" s="496">
        <f t="shared" si="8"/>
        <v>0</v>
      </c>
      <c r="AL251" s="496"/>
      <c r="AM251" s="496"/>
      <c r="AN251" s="496">
        <f t="shared" si="9"/>
        <v>0</v>
      </c>
      <c r="AO251" s="496"/>
      <c r="AP251" s="496"/>
      <c r="AQ251" s="496">
        <f t="shared" si="10"/>
        <v>0</v>
      </c>
      <c r="AR251" s="496"/>
      <c r="AS251" s="496"/>
      <c r="AT251" s="496">
        <f t="shared" si="11"/>
        <v>0</v>
      </c>
      <c r="AU251" s="496"/>
      <c r="AV251" s="496"/>
      <c r="AX251" s="587">
        <f>'Scores and stats'!RC93</f>
        <v>0</v>
      </c>
      <c r="AY251" s="587"/>
      <c r="AZ251" s="587"/>
      <c r="BA251" s="587"/>
      <c r="BB251" s="587">
        <f>'Scores and stats'!RF93</f>
        <v>0</v>
      </c>
      <c r="BC251" s="587"/>
      <c r="BD251" s="587"/>
      <c r="BE251" s="587"/>
      <c r="BF251" s="587">
        <f>'Scores and stats'!RK93</f>
        <v>0</v>
      </c>
      <c r="BG251" s="587"/>
      <c r="BH251" s="587"/>
      <c r="BI251" s="587"/>
      <c r="BJ251" s="587">
        <f>'Scores and stats'!RH93</f>
        <v>0</v>
      </c>
      <c r="BK251" s="587"/>
      <c r="BL251" s="587"/>
      <c r="BM251" s="587"/>
      <c r="BN251" s="587">
        <f>'Scores and stats'!RM93</f>
        <v>0</v>
      </c>
      <c r="BO251" s="587"/>
      <c r="BP251" s="587"/>
      <c r="BQ251" s="587"/>
    </row>
    <row r="252" spans="1:69" hidden="1" x14ac:dyDescent="0.2">
      <c r="A252" s="495">
        <f>'Name List'!B94</f>
        <v>20</v>
      </c>
      <c r="B252" s="495"/>
      <c r="C252" s="495"/>
      <c r="D252" s="495"/>
      <c r="E252" s="495"/>
      <c r="F252" s="495"/>
      <c r="G252" s="584">
        <f>'Scores and stats'!QY94</f>
        <v>0</v>
      </c>
      <c r="H252" s="495"/>
      <c r="I252" s="495"/>
      <c r="J252" s="495"/>
      <c r="K252" s="495">
        <f>'Scores and stats'!RP94</f>
        <v>0</v>
      </c>
      <c r="L252" s="495"/>
      <c r="M252" s="495"/>
      <c r="N252" s="584">
        <f t="shared" si="7"/>
        <v>0</v>
      </c>
      <c r="O252" s="495"/>
      <c r="P252" s="495"/>
      <c r="R252" s="584">
        <v>0</v>
      </c>
      <c r="S252" s="584"/>
      <c r="T252" s="584"/>
      <c r="U252" s="584">
        <f>'Scores and stats'!QT94</f>
        <v>0</v>
      </c>
      <c r="V252" s="584"/>
      <c r="W252" s="584"/>
      <c r="X252" s="584">
        <f>'Scores and stats'!QU94</f>
        <v>0</v>
      </c>
      <c r="Y252" s="584"/>
      <c r="Z252" s="584"/>
      <c r="AA252" s="584">
        <f>'Scores and stats'!QV94</f>
        <v>0</v>
      </c>
      <c r="AB252" s="584"/>
      <c r="AC252" s="584"/>
      <c r="AD252" s="584">
        <f>'Scores and stats'!QW94</f>
        <v>0</v>
      </c>
      <c r="AE252" s="584"/>
      <c r="AF252" s="584"/>
      <c r="AH252" s="584">
        <f t="shared" si="12"/>
        <v>0</v>
      </c>
      <c r="AI252" s="495"/>
      <c r="AJ252" s="495"/>
      <c r="AK252" s="495">
        <f t="shared" si="8"/>
        <v>0</v>
      </c>
      <c r="AL252" s="495"/>
      <c r="AM252" s="495"/>
      <c r="AN252" s="495">
        <f t="shared" si="9"/>
        <v>0</v>
      </c>
      <c r="AO252" s="495"/>
      <c r="AP252" s="495"/>
      <c r="AQ252" s="495">
        <f t="shared" si="10"/>
        <v>0</v>
      </c>
      <c r="AR252" s="495"/>
      <c r="AS252" s="495"/>
      <c r="AT252" s="495">
        <f t="shared" si="11"/>
        <v>0</v>
      </c>
      <c r="AU252" s="495"/>
      <c r="AV252" s="495"/>
      <c r="AX252" s="584">
        <f>'Scores and stats'!RC94</f>
        <v>0</v>
      </c>
      <c r="AY252" s="584"/>
      <c r="AZ252" s="584"/>
      <c r="BA252" s="584"/>
      <c r="BB252" s="584">
        <f>'Scores and stats'!RF94</f>
        <v>0</v>
      </c>
      <c r="BC252" s="584"/>
      <c r="BD252" s="584"/>
      <c r="BE252" s="584"/>
      <c r="BF252" s="584">
        <f>'Scores and stats'!RK94</f>
        <v>0</v>
      </c>
      <c r="BG252" s="584"/>
      <c r="BH252" s="584"/>
      <c r="BI252" s="584"/>
      <c r="BJ252" s="584">
        <f>'Scores and stats'!RH94</f>
        <v>0</v>
      </c>
      <c r="BK252" s="584"/>
      <c r="BL252" s="584"/>
      <c r="BM252" s="584"/>
      <c r="BN252" s="584">
        <f>'Scores and stats'!RM94</f>
        <v>0</v>
      </c>
      <c r="BO252" s="584"/>
      <c r="BP252" s="584"/>
      <c r="BQ252" s="584"/>
    </row>
    <row r="253" spans="1:69" hidden="1" x14ac:dyDescent="0.2">
      <c r="A253" s="496">
        <f>'Name List'!B95</f>
        <v>21</v>
      </c>
      <c r="B253" s="496"/>
      <c r="C253" s="496"/>
      <c r="D253" s="496"/>
      <c r="E253" s="496"/>
      <c r="F253" s="496"/>
      <c r="G253" s="587">
        <f>'Scores and stats'!QY95</f>
        <v>0</v>
      </c>
      <c r="H253" s="496"/>
      <c r="I253" s="496"/>
      <c r="J253" s="496"/>
      <c r="K253" s="496">
        <f>'Scores and stats'!RP95</f>
        <v>0</v>
      </c>
      <c r="L253" s="496"/>
      <c r="M253" s="496"/>
      <c r="N253" s="587">
        <f t="shared" si="7"/>
        <v>0</v>
      </c>
      <c r="O253" s="496"/>
      <c r="P253" s="496"/>
      <c r="R253" s="587">
        <v>0</v>
      </c>
      <c r="S253" s="587"/>
      <c r="T253" s="587"/>
      <c r="U253" s="587">
        <f>'Scores and stats'!QT95</f>
        <v>0</v>
      </c>
      <c r="V253" s="587"/>
      <c r="W253" s="587"/>
      <c r="X253" s="587">
        <f>'Scores and stats'!QU95</f>
        <v>0</v>
      </c>
      <c r="Y253" s="587"/>
      <c r="Z253" s="587"/>
      <c r="AA253" s="587">
        <f>'Scores and stats'!QV95</f>
        <v>0</v>
      </c>
      <c r="AB253" s="587"/>
      <c r="AC253" s="587"/>
      <c r="AD253" s="587">
        <f>'Scores and stats'!QW95</f>
        <v>0</v>
      </c>
      <c r="AE253" s="587"/>
      <c r="AF253" s="587"/>
      <c r="AH253" s="587">
        <f t="shared" si="12"/>
        <v>0</v>
      </c>
      <c r="AI253" s="496"/>
      <c r="AJ253" s="496"/>
      <c r="AK253" s="496">
        <f t="shared" si="8"/>
        <v>0</v>
      </c>
      <c r="AL253" s="496"/>
      <c r="AM253" s="496"/>
      <c r="AN253" s="496">
        <f t="shared" si="9"/>
        <v>0</v>
      </c>
      <c r="AO253" s="496"/>
      <c r="AP253" s="496"/>
      <c r="AQ253" s="496">
        <f t="shared" si="10"/>
        <v>0</v>
      </c>
      <c r="AR253" s="496"/>
      <c r="AS253" s="496"/>
      <c r="AT253" s="496">
        <f t="shared" si="11"/>
        <v>0</v>
      </c>
      <c r="AU253" s="496"/>
      <c r="AV253" s="496"/>
      <c r="AX253" s="587">
        <f>'Scores and stats'!RC95</f>
        <v>0</v>
      </c>
      <c r="AY253" s="587"/>
      <c r="AZ253" s="587"/>
      <c r="BA253" s="587"/>
      <c r="BB253" s="587">
        <f>'Scores and stats'!RF95</f>
        <v>0</v>
      </c>
      <c r="BC253" s="587"/>
      <c r="BD253" s="587"/>
      <c r="BE253" s="587"/>
      <c r="BF253" s="587">
        <f>'Scores and stats'!RK95</f>
        <v>0</v>
      </c>
      <c r="BG253" s="587"/>
      <c r="BH253" s="587"/>
      <c r="BI253" s="587"/>
      <c r="BJ253" s="587">
        <f>'Scores and stats'!RH95</f>
        <v>0</v>
      </c>
      <c r="BK253" s="587"/>
      <c r="BL253" s="587"/>
      <c r="BM253" s="587"/>
      <c r="BN253" s="587">
        <f>'Scores and stats'!RM95</f>
        <v>0</v>
      </c>
      <c r="BO253" s="587"/>
      <c r="BP253" s="587"/>
      <c r="BQ253" s="587"/>
    </row>
    <row r="254" spans="1:69" hidden="1" x14ac:dyDescent="0.2">
      <c r="A254" s="495">
        <f>'Name List'!B96</f>
        <v>22</v>
      </c>
      <c r="B254" s="495"/>
      <c r="C254" s="495"/>
      <c r="D254" s="495"/>
      <c r="E254" s="495"/>
      <c r="F254" s="495"/>
      <c r="G254" s="584">
        <f>'Scores and stats'!QY96</f>
        <v>0</v>
      </c>
      <c r="H254" s="495"/>
      <c r="I254" s="495"/>
      <c r="J254" s="495"/>
      <c r="K254" s="495">
        <f>'Scores and stats'!RP96</f>
        <v>0</v>
      </c>
      <c r="L254" s="495"/>
      <c r="M254" s="495"/>
      <c r="N254" s="584">
        <f t="shared" si="7"/>
        <v>0</v>
      </c>
      <c r="O254" s="495"/>
      <c r="P254" s="495"/>
      <c r="R254" s="584">
        <v>0</v>
      </c>
      <c r="S254" s="584"/>
      <c r="T254" s="584"/>
      <c r="U254" s="584">
        <f>'Scores and stats'!QT96</f>
        <v>0</v>
      </c>
      <c r="V254" s="584"/>
      <c r="W254" s="584"/>
      <c r="X254" s="584">
        <f>'Scores and stats'!QU96</f>
        <v>0</v>
      </c>
      <c r="Y254" s="584"/>
      <c r="Z254" s="584"/>
      <c r="AA254" s="584">
        <f>'Scores and stats'!QV96</f>
        <v>0</v>
      </c>
      <c r="AB254" s="584"/>
      <c r="AC254" s="584"/>
      <c r="AD254" s="584">
        <f>'Scores and stats'!QW96</f>
        <v>0</v>
      </c>
      <c r="AE254" s="584"/>
      <c r="AF254" s="584"/>
      <c r="AH254" s="584">
        <f t="shared" si="12"/>
        <v>0</v>
      </c>
      <c r="AI254" s="495"/>
      <c r="AJ254" s="495"/>
      <c r="AK254" s="495">
        <f t="shared" si="8"/>
        <v>0</v>
      </c>
      <c r="AL254" s="495"/>
      <c r="AM254" s="495"/>
      <c r="AN254" s="495">
        <f t="shared" si="9"/>
        <v>0</v>
      </c>
      <c r="AO254" s="495"/>
      <c r="AP254" s="495"/>
      <c r="AQ254" s="495">
        <f t="shared" si="10"/>
        <v>0</v>
      </c>
      <c r="AR254" s="495"/>
      <c r="AS254" s="495"/>
      <c r="AT254" s="495">
        <f t="shared" si="11"/>
        <v>0</v>
      </c>
      <c r="AU254" s="495"/>
      <c r="AV254" s="495"/>
      <c r="AX254" s="584">
        <f>'Scores and stats'!RC96</f>
        <v>0</v>
      </c>
      <c r="AY254" s="584"/>
      <c r="AZ254" s="584"/>
      <c r="BA254" s="584"/>
      <c r="BB254" s="584">
        <f>'Scores and stats'!RF96</f>
        <v>0</v>
      </c>
      <c r="BC254" s="584"/>
      <c r="BD254" s="584"/>
      <c r="BE254" s="584"/>
      <c r="BF254" s="584">
        <f>'Scores and stats'!RK96</f>
        <v>0</v>
      </c>
      <c r="BG254" s="584"/>
      <c r="BH254" s="584"/>
      <c r="BI254" s="584"/>
      <c r="BJ254" s="584">
        <f>'Scores and stats'!RH96</f>
        <v>0</v>
      </c>
      <c r="BK254" s="584"/>
      <c r="BL254" s="584"/>
      <c r="BM254" s="584"/>
      <c r="BN254" s="584">
        <f>'Scores and stats'!RM96</f>
        <v>0</v>
      </c>
      <c r="BO254" s="584"/>
      <c r="BP254" s="584"/>
      <c r="BQ254" s="584"/>
    </row>
    <row r="255" spans="1:69" hidden="1" x14ac:dyDescent="0.2">
      <c r="A255" s="496">
        <f>'Name List'!B97</f>
        <v>23</v>
      </c>
      <c r="B255" s="496"/>
      <c r="C255" s="496"/>
      <c r="D255" s="496"/>
      <c r="E255" s="496"/>
      <c r="F255" s="496"/>
      <c r="G255" s="587">
        <f>'Scores and stats'!QY97</f>
        <v>0</v>
      </c>
      <c r="H255" s="496"/>
      <c r="I255" s="496"/>
      <c r="J255" s="496"/>
      <c r="K255" s="496">
        <f>'Scores and stats'!RP97</f>
        <v>0</v>
      </c>
      <c r="L255" s="496"/>
      <c r="M255" s="496"/>
      <c r="N255" s="587">
        <f t="shared" si="7"/>
        <v>0</v>
      </c>
      <c r="O255" s="496"/>
      <c r="P255" s="496"/>
      <c r="R255" s="587">
        <v>0</v>
      </c>
      <c r="S255" s="587"/>
      <c r="T255" s="587"/>
      <c r="U255" s="587">
        <f>'Scores and stats'!QT97</f>
        <v>0</v>
      </c>
      <c r="V255" s="587"/>
      <c r="W255" s="587"/>
      <c r="X255" s="587">
        <f>'Scores and stats'!QU97</f>
        <v>0</v>
      </c>
      <c r="Y255" s="587"/>
      <c r="Z255" s="587"/>
      <c r="AA255" s="587">
        <f>'Scores and stats'!QV97</f>
        <v>0</v>
      </c>
      <c r="AB255" s="587"/>
      <c r="AC255" s="587"/>
      <c r="AD255" s="587">
        <f>'Scores and stats'!QW97</f>
        <v>0</v>
      </c>
      <c r="AE255" s="587"/>
      <c r="AF255" s="587"/>
      <c r="AH255" s="587">
        <f t="shared" si="12"/>
        <v>0</v>
      </c>
      <c r="AI255" s="496"/>
      <c r="AJ255" s="496"/>
      <c r="AK255" s="496">
        <f t="shared" si="8"/>
        <v>0</v>
      </c>
      <c r="AL255" s="496"/>
      <c r="AM255" s="496"/>
      <c r="AN255" s="496">
        <f t="shared" si="9"/>
        <v>0</v>
      </c>
      <c r="AO255" s="496"/>
      <c r="AP255" s="496"/>
      <c r="AQ255" s="496">
        <f t="shared" si="10"/>
        <v>0</v>
      </c>
      <c r="AR255" s="496"/>
      <c r="AS255" s="496"/>
      <c r="AT255" s="496">
        <f t="shared" si="11"/>
        <v>0</v>
      </c>
      <c r="AU255" s="496"/>
      <c r="AV255" s="496"/>
      <c r="AX255" s="587">
        <f>'Scores and stats'!RC97</f>
        <v>0</v>
      </c>
      <c r="AY255" s="587"/>
      <c r="AZ255" s="587"/>
      <c r="BA255" s="587"/>
      <c r="BB255" s="587">
        <f>'Scores and stats'!RF97</f>
        <v>0</v>
      </c>
      <c r="BC255" s="587"/>
      <c r="BD255" s="587"/>
      <c r="BE255" s="587"/>
      <c r="BF255" s="587">
        <f>'Scores and stats'!RK97</f>
        <v>0</v>
      </c>
      <c r="BG255" s="587"/>
      <c r="BH255" s="587"/>
      <c r="BI255" s="587"/>
      <c r="BJ255" s="587">
        <f>'Scores and stats'!RH97</f>
        <v>0</v>
      </c>
      <c r="BK255" s="587"/>
      <c r="BL255" s="587"/>
      <c r="BM255" s="587"/>
      <c r="BN255" s="587">
        <f>'Scores and stats'!RM97</f>
        <v>0</v>
      </c>
      <c r="BO255" s="587"/>
      <c r="BP255" s="587"/>
      <c r="BQ255" s="587"/>
    </row>
    <row r="256" spans="1:69" ht="12.75" hidden="1" customHeight="1" x14ac:dyDescent="0.2">
      <c r="A256" s="518" t="s">
        <v>296</v>
      </c>
      <c r="B256" s="518"/>
      <c r="C256" s="518"/>
      <c r="D256" s="518"/>
      <c r="E256" s="518"/>
      <c r="F256" s="518"/>
      <c r="G256" s="518"/>
      <c r="H256" s="518"/>
      <c r="I256" s="518"/>
      <c r="J256" s="518"/>
      <c r="K256" s="518"/>
      <c r="L256" s="518"/>
      <c r="M256" s="518"/>
      <c r="N256" s="518"/>
      <c r="O256" s="518"/>
      <c r="P256" s="518"/>
      <c r="R256" s="518" t="s">
        <v>206</v>
      </c>
      <c r="S256" s="518"/>
      <c r="T256" s="518"/>
      <c r="U256" s="518"/>
      <c r="V256" s="518"/>
      <c r="W256" s="518"/>
      <c r="X256" s="518"/>
      <c r="Y256" s="518"/>
      <c r="Z256" s="518"/>
      <c r="AA256" s="518"/>
      <c r="AB256" s="518"/>
      <c r="AC256" s="518"/>
      <c r="AD256" s="518"/>
      <c r="AE256" s="518"/>
      <c r="AF256" s="518"/>
      <c r="AH256" s="518" t="s">
        <v>207</v>
      </c>
      <c r="AI256" s="518"/>
      <c r="AJ256" s="518"/>
      <c r="AK256" s="518"/>
      <c r="AL256" s="518"/>
      <c r="AM256" s="518"/>
      <c r="AN256" s="518"/>
      <c r="AO256" s="518"/>
      <c r="AP256" s="518"/>
      <c r="AQ256" s="518"/>
      <c r="AR256" s="518"/>
      <c r="AS256" s="518"/>
      <c r="AT256" s="518"/>
      <c r="AU256" s="518"/>
      <c r="AV256" s="518"/>
      <c r="AX256" s="518" t="s">
        <v>224</v>
      </c>
      <c r="AY256" s="518"/>
      <c r="AZ256" s="518"/>
      <c r="BA256" s="518"/>
      <c r="BB256" s="518"/>
      <c r="BC256" s="518"/>
      <c r="BD256" s="518"/>
      <c r="BE256" s="518"/>
      <c r="BF256" s="518"/>
      <c r="BG256" s="518"/>
      <c r="BH256" s="518"/>
      <c r="BI256" s="518"/>
      <c r="BJ256" s="518"/>
      <c r="BK256" s="518"/>
      <c r="BL256" s="518"/>
      <c r="BM256" s="518"/>
      <c r="BN256" s="518"/>
      <c r="BO256" s="518"/>
      <c r="BP256" s="518"/>
      <c r="BQ256" s="518"/>
    </row>
    <row r="257" spans="1:69" ht="57.75" hidden="1" customHeight="1" x14ac:dyDescent="0.2">
      <c r="A257" s="518" t="s">
        <v>49</v>
      </c>
      <c r="B257" s="518"/>
      <c r="C257" s="518"/>
      <c r="D257" s="518"/>
      <c r="E257" s="518"/>
      <c r="F257" s="518"/>
      <c r="G257" s="515" t="s">
        <v>167</v>
      </c>
      <c r="H257" s="515"/>
      <c r="I257" s="515"/>
      <c r="J257" s="515"/>
      <c r="K257" s="518" t="s">
        <v>203</v>
      </c>
      <c r="L257" s="518"/>
      <c r="M257" s="518"/>
      <c r="N257" s="518" t="s">
        <v>204</v>
      </c>
      <c r="O257" s="518"/>
      <c r="P257" s="518"/>
      <c r="R257" s="518" t="s">
        <v>205</v>
      </c>
      <c r="S257" s="518"/>
      <c r="T257" s="518"/>
      <c r="U257" s="518" t="s">
        <v>33</v>
      </c>
      <c r="V257" s="518"/>
      <c r="W257" s="518"/>
      <c r="X257" s="518" t="s">
        <v>34</v>
      </c>
      <c r="Y257" s="518"/>
      <c r="Z257" s="518"/>
      <c r="AA257" s="518" t="s">
        <v>31</v>
      </c>
      <c r="AB257" s="518"/>
      <c r="AC257" s="518"/>
      <c r="AD257" s="518" t="s">
        <v>35</v>
      </c>
      <c r="AE257" s="518"/>
      <c r="AF257" s="518"/>
      <c r="AH257" s="518" t="s">
        <v>205</v>
      </c>
      <c r="AI257" s="518"/>
      <c r="AJ257" s="518"/>
      <c r="AK257" s="518" t="s">
        <v>33</v>
      </c>
      <c r="AL257" s="518"/>
      <c r="AM257" s="518"/>
      <c r="AN257" s="518" t="s">
        <v>34</v>
      </c>
      <c r="AO257" s="518"/>
      <c r="AP257" s="518"/>
      <c r="AQ257" s="518" t="s">
        <v>31</v>
      </c>
      <c r="AR257" s="518"/>
      <c r="AS257" s="518"/>
      <c r="AT257" s="518" t="s">
        <v>35</v>
      </c>
      <c r="AU257" s="518"/>
      <c r="AV257" s="518"/>
      <c r="AX257" s="518" t="s">
        <v>208</v>
      </c>
      <c r="AY257" s="518"/>
      <c r="AZ257" s="518"/>
      <c r="BA257" s="518"/>
      <c r="BB257" s="518" t="s">
        <v>199</v>
      </c>
      <c r="BC257" s="518"/>
      <c r="BD257" s="518"/>
      <c r="BE257" s="518"/>
      <c r="BF257" s="518" t="s">
        <v>200</v>
      </c>
      <c r="BG257" s="518"/>
      <c r="BH257" s="518"/>
      <c r="BI257" s="518"/>
      <c r="BJ257" s="518" t="s">
        <v>201</v>
      </c>
      <c r="BK257" s="518"/>
      <c r="BL257" s="518"/>
      <c r="BM257" s="518"/>
      <c r="BN257" s="518" t="s">
        <v>202</v>
      </c>
      <c r="BO257" s="518"/>
      <c r="BP257" s="518"/>
      <c r="BQ257" s="518"/>
    </row>
    <row r="258" spans="1:69" hidden="1" x14ac:dyDescent="0.2">
      <c r="A258" s="495">
        <f>'Name List'!B98</f>
        <v>24</v>
      </c>
      <c r="B258" s="495"/>
      <c r="C258" s="495"/>
      <c r="D258" s="495"/>
      <c r="E258" s="495"/>
      <c r="F258" s="495"/>
      <c r="G258" s="584">
        <f>'Scores and stats'!QY98</f>
        <v>0</v>
      </c>
      <c r="H258" s="495"/>
      <c r="I258" s="495"/>
      <c r="J258" s="495"/>
      <c r="K258" s="495">
        <f>'Scores and stats'!RP98</f>
        <v>0</v>
      </c>
      <c r="L258" s="495"/>
      <c r="M258" s="495"/>
      <c r="N258" s="584">
        <f t="shared" si="7"/>
        <v>0</v>
      </c>
      <c r="O258" s="495"/>
      <c r="P258" s="495"/>
      <c r="R258" s="584">
        <v>0</v>
      </c>
      <c r="S258" s="584"/>
      <c r="T258" s="584"/>
      <c r="U258" s="584">
        <f>'Scores and stats'!QT98</f>
        <v>0</v>
      </c>
      <c r="V258" s="584"/>
      <c r="W258" s="584"/>
      <c r="X258" s="584">
        <f>'Scores and stats'!QU98</f>
        <v>0</v>
      </c>
      <c r="Y258" s="584"/>
      <c r="Z258" s="584"/>
      <c r="AA258" s="584">
        <f>'Scores and stats'!QV98</f>
        <v>0</v>
      </c>
      <c r="AB258" s="584"/>
      <c r="AC258" s="584"/>
      <c r="AD258" s="584">
        <f>'Scores and stats'!QW98</f>
        <v>0</v>
      </c>
      <c r="AE258" s="584"/>
      <c r="AF258" s="584"/>
      <c r="AH258" s="584">
        <f>IFERROR(R258/N258,0)</f>
        <v>0</v>
      </c>
      <c r="AI258" s="495"/>
      <c r="AJ258" s="495"/>
      <c r="AK258" s="495">
        <f t="shared" si="8"/>
        <v>0</v>
      </c>
      <c r="AL258" s="495"/>
      <c r="AM258" s="495"/>
      <c r="AN258" s="495">
        <f t="shared" si="9"/>
        <v>0</v>
      </c>
      <c r="AO258" s="495"/>
      <c r="AP258" s="495"/>
      <c r="AQ258" s="495">
        <f t="shared" si="10"/>
        <v>0</v>
      </c>
      <c r="AR258" s="495"/>
      <c r="AS258" s="495"/>
      <c r="AT258" s="495">
        <f t="shared" si="11"/>
        <v>0</v>
      </c>
      <c r="AU258" s="495"/>
      <c r="AV258" s="495"/>
      <c r="AX258" s="584">
        <f>'Scores and stats'!RC98</f>
        <v>0</v>
      </c>
      <c r="AY258" s="584"/>
      <c r="AZ258" s="584"/>
      <c r="BA258" s="584"/>
      <c r="BB258" s="584">
        <f>'Scores and stats'!RF98</f>
        <v>0</v>
      </c>
      <c r="BC258" s="584"/>
      <c r="BD258" s="584"/>
      <c r="BE258" s="584"/>
      <c r="BF258" s="584">
        <f>'Scores and stats'!RK98</f>
        <v>0</v>
      </c>
      <c r="BG258" s="584"/>
      <c r="BH258" s="584"/>
      <c r="BI258" s="584"/>
      <c r="BJ258" s="584">
        <f>'Scores and stats'!RH98</f>
        <v>0</v>
      </c>
      <c r="BK258" s="584"/>
      <c r="BL258" s="584"/>
      <c r="BM258" s="584"/>
      <c r="BN258" s="584">
        <f>'Scores and stats'!RM98</f>
        <v>0</v>
      </c>
      <c r="BO258" s="584"/>
      <c r="BP258" s="584"/>
      <c r="BQ258" s="584"/>
    </row>
    <row r="259" spans="1:69" hidden="1" x14ac:dyDescent="0.2">
      <c r="A259" s="496">
        <f>'Name List'!B99</f>
        <v>25</v>
      </c>
      <c r="B259" s="496"/>
      <c r="C259" s="496"/>
      <c r="D259" s="496"/>
      <c r="E259" s="496"/>
      <c r="F259" s="496"/>
      <c r="G259" s="587">
        <f>'Scores and stats'!QY99</f>
        <v>0</v>
      </c>
      <c r="H259" s="496"/>
      <c r="I259" s="496"/>
      <c r="J259" s="496"/>
      <c r="K259" s="496">
        <f>'Scores and stats'!RP99</f>
        <v>0</v>
      </c>
      <c r="L259" s="496"/>
      <c r="M259" s="496"/>
      <c r="N259" s="587">
        <f t="shared" si="7"/>
        <v>0</v>
      </c>
      <c r="O259" s="496"/>
      <c r="P259" s="496"/>
      <c r="R259" s="587">
        <v>0</v>
      </c>
      <c r="S259" s="587"/>
      <c r="T259" s="587"/>
      <c r="U259" s="587">
        <f>'Scores and stats'!QT99</f>
        <v>0</v>
      </c>
      <c r="V259" s="587"/>
      <c r="W259" s="587"/>
      <c r="X259" s="587">
        <f>'Scores and stats'!QU99</f>
        <v>0</v>
      </c>
      <c r="Y259" s="587"/>
      <c r="Z259" s="587"/>
      <c r="AA259" s="587">
        <f>'Scores and stats'!QV99</f>
        <v>0</v>
      </c>
      <c r="AB259" s="587"/>
      <c r="AC259" s="587"/>
      <c r="AD259" s="587">
        <f>'Scores and stats'!QW99</f>
        <v>0</v>
      </c>
      <c r="AE259" s="587"/>
      <c r="AF259" s="587"/>
      <c r="AH259" s="587">
        <f t="shared" ref="AH259:AH265" si="13">IFERROR(R259/N259,0)</f>
        <v>0</v>
      </c>
      <c r="AI259" s="496"/>
      <c r="AJ259" s="496"/>
      <c r="AK259" s="496">
        <f t="shared" si="8"/>
        <v>0</v>
      </c>
      <c r="AL259" s="496"/>
      <c r="AM259" s="496"/>
      <c r="AN259" s="496">
        <f t="shared" si="9"/>
        <v>0</v>
      </c>
      <c r="AO259" s="496"/>
      <c r="AP259" s="496"/>
      <c r="AQ259" s="496">
        <f t="shared" si="10"/>
        <v>0</v>
      </c>
      <c r="AR259" s="496"/>
      <c r="AS259" s="496"/>
      <c r="AT259" s="496">
        <f t="shared" si="11"/>
        <v>0</v>
      </c>
      <c r="AU259" s="496"/>
      <c r="AV259" s="496"/>
      <c r="AX259" s="587">
        <f>'Scores and stats'!RC99</f>
        <v>0</v>
      </c>
      <c r="AY259" s="587"/>
      <c r="AZ259" s="587"/>
      <c r="BA259" s="587"/>
      <c r="BB259" s="587">
        <f>'Scores and stats'!RF99</f>
        <v>0</v>
      </c>
      <c r="BC259" s="587"/>
      <c r="BD259" s="587"/>
      <c r="BE259" s="587"/>
      <c r="BF259" s="587">
        <f>'Scores and stats'!RK99</f>
        <v>0</v>
      </c>
      <c r="BG259" s="587"/>
      <c r="BH259" s="587"/>
      <c r="BI259" s="587"/>
      <c r="BJ259" s="587">
        <f>'Scores and stats'!RH99</f>
        <v>0</v>
      </c>
      <c r="BK259" s="587"/>
      <c r="BL259" s="587"/>
      <c r="BM259" s="587"/>
      <c r="BN259" s="587">
        <f>'Scores and stats'!RM99</f>
        <v>0</v>
      </c>
      <c r="BO259" s="587"/>
      <c r="BP259" s="587"/>
      <c r="BQ259" s="587"/>
    </row>
    <row r="260" spans="1:69" hidden="1" x14ac:dyDescent="0.2">
      <c r="A260" s="495">
        <f>'Name List'!B100</f>
        <v>26</v>
      </c>
      <c r="B260" s="495"/>
      <c r="C260" s="495"/>
      <c r="D260" s="495"/>
      <c r="E260" s="495"/>
      <c r="F260" s="495"/>
      <c r="G260" s="584">
        <f>'Scores and stats'!QY100</f>
        <v>0</v>
      </c>
      <c r="H260" s="495"/>
      <c r="I260" s="495"/>
      <c r="J260" s="495"/>
      <c r="K260" s="495">
        <f>'Scores and stats'!RP100</f>
        <v>0</v>
      </c>
      <c r="L260" s="495"/>
      <c r="M260" s="495"/>
      <c r="N260" s="584">
        <f t="shared" si="7"/>
        <v>0</v>
      </c>
      <c r="O260" s="495"/>
      <c r="P260" s="495"/>
      <c r="R260" s="584">
        <v>0</v>
      </c>
      <c r="S260" s="584"/>
      <c r="T260" s="584"/>
      <c r="U260" s="584">
        <f>'Scores and stats'!QT100</f>
        <v>0</v>
      </c>
      <c r="V260" s="584"/>
      <c r="W260" s="584"/>
      <c r="X260" s="584">
        <f>'Scores and stats'!QU100</f>
        <v>0</v>
      </c>
      <c r="Y260" s="584"/>
      <c r="Z260" s="584"/>
      <c r="AA260" s="584">
        <f>'Scores and stats'!QV100</f>
        <v>0</v>
      </c>
      <c r="AB260" s="584"/>
      <c r="AC260" s="584"/>
      <c r="AD260" s="584">
        <f>'Scores and stats'!QW100</f>
        <v>0</v>
      </c>
      <c r="AE260" s="584"/>
      <c r="AF260" s="584"/>
      <c r="AH260" s="584">
        <f t="shared" si="13"/>
        <v>0</v>
      </c>
      <c r="AI260" s="495"/>
      <c r="AJ260" s="495"/>
      <c r="AK260" s="495">
        <f t="shared" si="8"/>
        <v>0</v>
      </c>
      <c r="AL260" s="495"/>
      <c r="AM260" s="495"/>
      <c r="AN260" s="495">
        <f t="shared" si="9"/>
        <v>0</v>
      </c>
      <c r="AO260" s="495"/>
      <c r="AP260" s="495"/>
      <c r="AQ260" s="495">
        <f t="shared" si="10"/>
        <v>0</v>
      </c>
      <c r="AR260" s="495"/>
      <c r="AS260" s="495"/>
      <c r="AT260" s="495">
        <f t="shared" si="11"/>
        <v>0</v>
      </c>
      <c r="AU260" s="495"/>
      <c r="AV260" s="495"/>
      <c r="AX260" s="584">
        <f>'Scores and stats'!RC100</f>
        <v>0</v>
      </c>
      <c r="AY260" s="584"/>
      <c r="AZ260" s="584"/>
      <c r="BA260" s="584"/>
      <c r="BB260" s="584">
        <f>'Scores and stats'!RF100</f>
        <v>0</v>
      </c>
      <c r="BC260" s="584"/>
      <c r="BD260" s="584"/>
      <c r="BE260" s="584"/>
      <c r="BF260" s="584">
        <f>'Scores and stats'!RK100</f>
        <v>0</v>
      </c>
      <c r="BG260" s="584"/>
      <c r="BH260" s="584"/>
      <c r="BI260" s="584"/>
      <c r="BJ260" s="584">
        <f>'Scores and stats'!RH100</f>
        <v>0</v>
      </c>
      <c r="BK260" s="584"/>
      <c r="BL260" s="584"/>
      <c r="BM260" s="584"/>
      <c r="BN260" s="584">
        <f>'Scores and stats'!RM100</f>
        <v>0</v>
      </c>
      <c r="BO260" s="584"/>
      <c r="BP260" s="584"/>
      <c r="BQ260" s="584"/>
    </row>
    <row r="261" spans="1:69" hidden="1" x14ac:dyDescent="0.2">
      <c r="A261" s="496">
        <f>'Name List'!B101</f>
        <v>27</v>
      </c>
      <c r="B261" s="496"/>
      <c r="C261" s="496"/>
      <c r="D261" s="496"/>
      <c r="E261" s="496"/>
      <c r="F261" s="496"/>
      <c r="G261" s="587">
        <f>'Scores and stats'!QY101</f>
        <v>0</v>
      </c>
      <c r="H261" s="496"/>
      <c r="I261" s="496"/>
      <c r="J261" s="496"/>
      <c r="K261" s="496">
        <f>'Scores and stats'!RP101</f>
        <v>0</v>
      </c>
      <c r="L261" s="496"/>
      <c r="M261" s="496"/>
      <c r="N261" s="587">
        <f t="shared" si="7"/>
        <v>0</v>
      </c>
      <c r="O261" s="496"/>
      <c r="P261" s="496"/>
      <c r="R261" s="587">
        <v>0</v>
      </c>
      <c r="S261" s="587"/>
      <c r="T261" s="587"/>
      <c r="U261" s="587">
        <f>'Scores and stats'!QT101</f>
        <v>0</v>
      </c>
      <c r="V261" s="587"/>
      <c r="W261" s="587"/>
      <c r="X261" s="587">
        <f>'Scores and stats'!QU101</f>
        <v>0</v>
      </c>
      <c r="Y261" s="587"/>
      <c r="Z261" s="587"/>
      <c r="AA261" s="587">
        <f>'Scores and stats'!QV101</f>
        <v>0</v>
      </c>
      <c r="AB261" s="587"/>
      <c r="AC261" s="587"/>
      <c r="AD261" s="587">
        <f>'Scores and stats'!QW101</f>
        <v>0</v>
      </c>
      <c r="AE261" s="587"/>
      <c r="AF261" s="587"/>
      <c r="AH261" s="587">
        <f t="shared" si="13"/>
        <v>0</v>
      </c>
      <c r="AI261" s="496"/>
      <c r="AJ261" s="496"/>
      <c r="AK261" s="496">
        <f t="shared" si="8"/>
        <v>0</v>
      </c>
      <c r="AL261" s="496"/>
      <c r="AM261" s="496"/>
      <c r="AN261" s="496">
        <f t="shared" si="9"/>
        <v>0</v>
      </c>
      <c r="AO261" s="496"/>
      <c r="AP261" s="496"/>
      <c r="AQ261" s="496">
        <f t="shared" si="10"/>
        <v>0</v>
      </c>
      <c r="AR261" s="496"/>
      <c r="AS261" s="496"/>
      <c r="AT261" s="496">
        <f t="shared" si="11"/>
        <v>0</v>
      </c>
      <c r="AU261" s="496"/>
      <c r="AV261" s="496"/>
      <c r="AX261" s="587">
        <f>'Scores and stats'!RC101</f>
        <v>0</v>
      </c>
      <c r="AY261" s="587"/>
      <c r="AZ261" s="587"/>
      <c r="BA261" s="587"/>
      <c r="BB261" s="587">
        <f>'Scores and stats'!RF101</f>
        <v>0</v>
      </c>
      <c r="BC261" s="587"/>
      <c r="BD261" s="587"/>
      <c r="BE261" s="587"/>
      <c r="BF261" s="587">
        <f>'Scores and stats'!RK101</f>
        <v>0</v>
      </c>
      <c r="BG261" s="587"/>
      <c r="BH261" s="587"/>
      <c r="BI261" s="587"/>
      <c r="BJ261" s="587">
        <f>'Scores and stats'!RH101</f>
        <v>0</v>
      </c>
      <c r="BK261" s="587"/>
      <c r="BL261" s="587"/>
      <c r="BM261" s="587"/>
      <c r="BN261" s="587">
        <f>'Scores and stats'!RM101</f>
        <v>0</v>
      </c>
      <c r="BO261" s="587"/>
      <c r="BP261" s="587"/>
      <c r="BQ261" s="587"/>
    </row>
    <row r="262" spans="1:69" hidden="1" x14ac:dyDescent="0.2">
      <c r="A262" s="495">
        <f>'Name List'!B102</f>
        <v>28</v>
      </c>
      <c r="B262" s="495"/>
      <c r="C262" s="495"/>
      <c r="D262" s="495"/>
      <c r="E262" s="495"/>
      <c r="F262" s="495"/>
      <c r="G262" s="584">
        <f>'Scores and stats'!QY102</f>
        <v>0</v>
      </c>
      <c r="H262" s="495"/>
      <c r="I262" s="495"/>
      <c r="J262" s="495"/>
      <c r="K262" s="495">
        <f>'Scores and stats'!RP102</f>
        <v>0</v>
      </c>
      <c r="L262" s="495"/>
      <c r="M262" s="495"/>
      <c r="N262" s="584">
        <f t="shared" si="7"/>
        <v>0</v>
      </c>
      <c r="O262" s="495"/>
      <c r="P262" s="495"/>
      <c r="R262" s="584">
        <v>0</v>
      </c>
      <c r="S262" s="584"/>
      <c r="T262" s="584"/>
      <c r="U262" s="584">
        <f>'Scores and stats'!QT102</f>
        <v>0</v>
      </c>
      <c r="V262" s="584"/>
      <c r="W262" s="584"/>
      <c r="X262" s="584">
        <f>'Scores and stats'!QU102</f>
        <v>0</v>
      </c>
      <c r="Y262" s="584"/>
      <c r="Z262" s="584"/>
      <c r="AA262" s="584">
        <f>'Scores and stats'!QV102</f>
        <v>0</v>
      </c>
      <c r="AB262" s="584"/>
      <c r="AC262" s="584"/>
      <c r="AD262" s="584">
        <f>'Scores and stats'!QW102</f>
        <v>0</v>
      </c>
      <c r="AE262" s="584"/>
      <c r="AF262" s="584"/>
      <c r="AH262" s="584">
        <f t="shared" si="13"/>
        <v>0</v>
      </c>
      <c r="AI262" s="495"/>
      <c r="AJ262" s="495"/>
      <c r="AK262" s="495">
        <f t="shared" si="8"/>
        <v>0</v>
      </c>
      <c r="AL262" s="495"/>
      <c r="AM262" s="495"/>
      <c r="AN262" s="495">
        <f t="shared" si="9"/>
        <v>0</v>
      </c>
      <c r="AO262" s="495"/>
      <c r="AP262" s="495"/>
      <c r="AQ262" s="495">
        <f t="shared" si="10"/>
        <v>0</v>
      </c>
      <c r="AR262" s="495"/>
      <c r="AS262" s="495"/>
      <c r="AT262" s="495">
        <f t="shared" si="11"/>
        <v>0</v>
      </c>
      <c r="AU262" s="495"/>
      <c r="AV262" s="495"/>
      <c r="AX262" s="584">
        <f>'Scores and stats'!RC102</f>
        <v>0</v>
      </c>
      <c r="AY262" s="584"/>
      <c r="AZ262" s="584"/>
      <c r="BA262" s="584"/>
      <c r="BB262" s="584">
        <f>'Scores and stats'!RF102</f>
        <v>0</v>
      </c>
      <c r="BC262" s="584"/>
      <c r="BD262" s="584"/>
      <c r="BE262" s="584"/>
      <c r="BF262" s="584">
        <f>'Scores and stats'!RK102</f>
        <v>0</v>
      </c>
      <c r="BG262" s="584"/>
      <c r="BH262" s="584"/>
      <c r="BI262" s="584"/>
      <c r="BJ262" s="584">
        <f>'Scores and stats'!RH102</f>
        <v>0</v>
      </c>
      <c r="BK262" s="584"/>
      <c r="BL262" s="584"/>
      <c r="BM262" s="584"/>
      <c r="BN262" s="584">
        <f>'Scores and stats'!RM102</f>
        <v>0</v>
      </c>
      <c r="BO262" s="584"/>
      <c r="BP262" s="584"/>
      <c r="BQ262" s="584"/>
    </row>
    <row r="263" spans="1:69" hidden="1" x14ac:dyDescent="0.2">
      <c r="A263" s="496">
        <f>'Name List'!B103</f>
        <v>29</v>
      </c>
      <c r="B263" s="496"/>
      <c r="C263" s="496"/>
      <c r="D263" s="496"/>
      <c r="E263" s="496"/>
      <c r="F263" s="496"/>
      <c r="G263" s="587">
        <f>'Scores and stats'!QY103</f>
        <v>0</v>
      </c>
      <c r="H263" s="496"/>
      <c r="I263" s="496"/>
      <c r="J263" s="496"/>
      <c r="K263" s="496">
        <f>'Scores and stats'!RP103</f>
        <v>0</v>
      </c>
      <c r="L263" s="496"/>
      <c r="M263" s="496"/>
      <c r="N263" s="587">
        <f t="shared" si="7"/>
        <v>0</v>
      </c>
      <c r="O263" s="496"/>
      <c r="P263" s="496"/>
      <c r="R263" s="587">
        <v>0</v>
      </c>
      <c r="S263" s="587"/>
      <c r="T263" s="587"/>
      <c r="U263" s="587">
        <f>'Scores and stats'!QT103</f>
        <v>0</v>
      </c>
      <c r="V263" s="587"/>
      <c r="W263" s="587"/>
      <c r="X263" s="587">
        <f>'Scores and stats'!QU103</f>
        <v>0</v>
      </c>
      <c r="Y263" s="587"/>
      <c r="Z263" s="587"/>
      <c r="AA263" s="587">
        <f>'Scores and stats'!QV103</f>
        <v>0</v>
      </c>
      <c r="AB263" s="587"/>
      <c r="AC263" s="587"/>
      <c r="AD263" s="587">
        <f>'Scores and stats'!QW103</f>
        <v>0</v>
      </c>
      <c r="AE263" s="587"/>
      <c r="AF263" s="587"/>
      <c r="AH263" s="587">
        <f t="shared" si="13"/>
        <v>0</v>
      </c>
      <c r="AI263" s="496"/>
      <c r="AJ263" s="496"/>
      <c r="AK263" s="496">
        <f t="shared" si="8"/>
        <v>0</v>
      </c>
      <c r="AL263" s="496"/>
      <c r="AM263" s="496"/>
      <c r="AN263" s="496">
        <f t="shared" si="9"/>
        <v>0</v>
      </c>
      <c r="AO263" s="496"/>
      <c r="AP263" s="496"/>
      <c r="AQ263" s="496">
        <f t="shared" si="10"/>
        <v>0</v>
      </c>
      <c r="AR263" s="496"/>
      <c r="AS263" s="496"/>
      <c r="AT263" s="496">
        <f t="shared" si="11"/>
        <v>0</v>
      </c>
      <c r="AU263" s="496"/>
      <c r="AV263" s="496"/>
      <c r="AX263" s="587">
        <f>'Scores and stats'!RC103</f>
        <v>0</v>
      </c>
      <c r="AY263" s="587"/>
      <c r="AZ263" s="587"/>
      <c r="BA263" s="587"/>
      <c r="BB263" s="587">
        <f>'Scores and stats'!RF103</f>
        <v>0</v>
      </c>
      <c r="BC263" s="587"/>
      <c r="BD263" s="587"/>
      <c r="BE263" s="587"/>
      <c r="BF263" s="587">
        <f>'Scores and stats'!RK103</f>
        <v>0</v>
      </c>
      <c r="BG263" s="587"/>
      <c r="BH263" s="587"/>
      <c r="BI263" s="587"/>
      <c r="BJ263" s="587">
        <f>'Scores and stats'!RH103</f>
        <v>0</v>
      </c>
      <c r="BK263" s="587"/>
      <c r="BL263" s="587"/>
      <c r="BM263" s="587"/>
      <c r="BN263" s="587">
        <f>'Scores and stats'!RM103</f>
        <v>0</v>
      </c>
      <c r="BO263" s="587"/>
      <c r="BP263" s="587"/>
      <c r="BQ263" s="587"/>
    </row>
    <row r="264" spans="1:69" hidden="1" x14ac:dyDescent="0.2">
      <c r="A264" s="495">
        <f>'Name List'!B104</f>
        <v>30</v>
      </c>
      <c r="B264" s="495"/>
      <c r="C264" s="495"/>
      <c r="D264" s="495"/>
      <c r="E264" s="495"/>
      <c r="F264" s="495"/>
      <c r="G264" s="584">
        <f>'Scores and stats'!QY104</f>
        <v>0</v>
      </c>
      <c r="H264" s="495"/>
      <c r="I264" s="495"/>
      <c r="J264" s="495"/>
      <c r="K264" s="495">
        <f>'Scores and stats'!RP104</f>
        <v>0</v>
      </c>
      <c r="L264" s="495"/>
      <c r="M264" s="495"/>
      <c r="N264" s="584">
        <f t="shared" si="7"/>
        <v>0</v>
      </c>
      <c r="O264" s="495"/>
      <c r="P264" s="495"/>
      <c r="R264" s="584">
        <v>0</v>
      </c>
      <c r="S264" s="584"/>
      <c r="T264" s="584"/>
      <c r="U264" s="584">
        <f>'Scores and stats'!QT104</f>
        <v>0</v>
      </c>
      <c r="V264" s="584"/>
      <c r="W264" s="584"/>
      <c r="X264" s="584">
        <f>'Scores and stats'!QU104</f>
        <v>0</v>
      </c>
      <c r="Y264" s="584"/>
      <c r="Z264" s="584"/>
      <c r="AA264" s="584">
        <f>'Scores and stats'!QV104</f>
        <v>0</v>
      </c>
      <c r="AB264" s="584"/>
      <c r="AC264" s="584"/>
      <c r="AD264" s="584">
        <f>'Scores and stats'!QW104</f>
        <v>0</v>
      </c>
      <c r="AE264" s="584"/>
      <c r="AF264" s="584"/>
      <c r="AH264" s="584">
        <f t="shared" si="13"/>
        <v>0</v>
      </c>
      <c r="AI264" s="495"/>
      <c r="AJ264" s="495"/>
      <c r="AK264" s="495">
        <f t="shared" si="8"/>
        <v>0</v>
      </c>
      <c r="AL264" s="495"/>
      <c r="AM264" s="495"/>
      <c r="AN264" s="495">
        <f t="shared" si="9"/>
        <v>0</v>
      </c>
      <c r="AO264" s="495"/>
      <c r="AP264" s="495"/>
      <c r="AQ264" s="495">
        <f t="shared" si="10"/>
        <v>0</v>
      </c>
      <c r="AR264" s="495"/>
      <c r="AS264" s="495"/>
      <c r="AT264" s="495">
        <f t="shared" si="11"/>
        <v>0</v>
      </c>
      <c r="AU264" s="495"/>
      <c r="AV264" s="495"/>
      <c r="AX264" s="584">
        <f>'Scores and stats'!RC104</f>
        <v>0</v>
      </c>
      <c r="AY264" s="584"/>
      <c r="AZ264" s="584"/>
      <c r="BA264" s="584"/>
      <c r="BB264" s="584">
        <f>'Scores and stats'!RF104</f>
        <v>0</v>
      </c>
      <c r="BC264" s="584"/>
      <c r="BD264" s="584"/>
      <c r="BE264" s="584"/>
      <c r="BF264" s="584">
        <f>'Scores and stats'!RK104</f>
        <v>0</v>
      </c>
      <c r="BG264" s="584"/>
      <c r="BH264" s="584"/>
      <c r="BI264" s="584"/>
      <c r="BJ264" s="584">
        <f>'Scores and stats'!RH104</f>
        <v>0</v>
      </c>
      <c r="BK264" s="584"/>
      <c r="BL264" s="584"/>
      <c r="BM264" s="584"/>
      <c r="BN264" s="584">
        <f>'Scores and stats'!RM104</f>
        <v>0</v>
      </c>
      <c r="BO264" s="584"/>
      <c r="BP264" s="584"/>
      <c r="BQ264" s="584"/>
    </row>
    <row r="265" spans="1:69" hidden="1" x14ac:dyDescent="0.2">
      <c r="A265" s="496">
        <f>'Name List'!B105</f>
        <v>31</v>
      </c>
      <c r="B265" s="496"/>
      <c r="C265" s="496"/>
      <c r="D265" s="496"/>
      <c r="E265" s="496"/>
      <c r="F265" s="496"/>
      <c r="G265" s="587">
        <f>'Scores and stats'!QY105</f>
        <v>0</v>
      </c>
      <c r="H265" s="496"/>
      <c r="I265" s="496"/>
      <c r="J265" s="496"/>
      <c r="K265" s="496">
        <f>'Scores and stats'!RP105</f>
        <v>0</v>
      </c>
      <c r="L265" s="496"/>
      <c r="M265" s="496"/>
      <c r="N265" s="587">
        <f t="shared" si="7"/>
        <v>0</v>
      </c>
      <c r="O265" s="496"/>
      <c r="P265" s="496"/>
      <c r="R265" s="587">
        <v>0</v>
      </c>
      <c r="S265" s="587"/>
      <c r="T265" s="587"/>
      <c r="U265" s="587">
        <f>'Scores and stats'!QT105</f>
        <v>0</v>
      </c>
      <c r="V265" s="587"/>
      <c r="W265" s="587"/>
      <c r="X265" s="587">
        <f>'Scores and stats'!QU105</f>
        <v>0</v>
      </c>
      <c r="Y265" s="587"/>
      <c r="Z265" s="587"/>
      <c r="AA265" s="587">
        <f>'Scores and stats'!QV105</f>
        <v>0</v>
      </c>
      <c r="AB265" s="587"/>
      <c r="AC265" s="587"/>
      <c r="AD265" s="587">
        <f>'Scores and stats'!QW105</f>
        <v>0</v>
      </c>
      <c r="AE265" s="587"/>
      <c r="AF265" s="587"/>
      <c r="AH265" s="587">
        <f t="shared" si="13"/>
        <v>0</v>
      </c>
      <c r="AI265" s="496"/>
      <c r="AJ265" s="496"/>
      <c r="AK265" s="496">
        <f t="shared" si="8"/>
        <v>0</v>
      </c>
      <c r="AL265" s="496"/>
      <c r="AM265" s="496"/>
      <c r="AN265" s="496">
        <f t="shared" si="9"/>
        <v>0</v>
      </c>
      <c r="AO265" s="496"/>
      <c r="AP265" s="496"/>
      <c r="AQ265" s="496">
        <f t="shared" si="10"/>
        <v>0</v>
      </c>
      <c r="AR265" s="496"/>
      <c r="AS265" s="496"/>
      <c r="AT265" s="496">
        <f t="shared" si="11"/>
        <v>0</v>
      </c>
      <c r="AU265" s="496"/>
      <c r="AV265" s="496"/>
      <c r="AX265" s="587">
        <f>'Scores and stats'!RC105</f>
        <v>0</v>
      </c>
      <c r="AY265" s="587"/>
      <c r="AZ265" s="587"/>
      <c r="BA265" s="587"/>
      <c r="BB265" s="587">
        <f>'Scores and stats'!RF105</f>
        <v>0</v>
      </c>
      <c r="BC265" s="587"/>
      <c r="BD265" s="587"/>
      <c r="BE265" s="587"/>
      <c r="BF265" s="587">
        <f>'Scores and stats'!RK105</f>
        <v>0</v>
      </c>
      <c r="BG265" s="587"/>
      <c r="BH265" s="587"/>
      <c r="BI265" s="587"/>
      <c r="BJ265" s="587">
        <f>'Scores and stats'!RH105</f>
        <v>0</v>
      </c>
      <c r="BK265" s="587"/>
      <c r="BL265" s="587"/>
      <c r="BM265" s="587"/>
      <c r="BN265" s="587">
        <f>'Scores and stats'!RM105</f>
        <v>0</v>
      </c>
      <c r="BO265" s="587"/>
      <c r="BP265" s="587"/>
      <c r="BQ265" s="587"/>
    </row>
    <row r="266" spans="1:69" x14ac:dyDescent="0.2">
      <c r="A266" s="516"/>
      <c r="B266" s="516"/>
      <c r="C266" s="516"/>
      <c r="D266" s="516"/>
      <c r="E266" s="516"/>
      <c r="F266" s="516"/>
      <c r="G266" s="516"/>
      <c r="H266" s="516"/>
      <c r="I266" s="516"/>
      <c r="J266" s="516"/>
      <c r="K266" s="516"/>
      <c r="L266" s="516"/>
      <c r="M266" s="516"/>
      <c r="N266" s="516"/>
      <c r="O266" s="516"/>
      <c r="P266" s="516"/>
      <c r="R266" s="516"/>
      <c r="S266" s="516"/>
      <c r="T266" s="516"/>
      <c r="U266" s="516"/>
      <c r="V266" s="516"/>
      <c r="W266" s="516"/>
      <c r="X266" s="516"/>
      <c r="Y266" s="516"/>
      <c r="Z266" s="516"/>
      <c r="AA266" s="516"/>
      <c r="AB266" s="516"/>
      <c r="AC266" s="516"/>
      <c r="AD266" s="516"/>
      <c r="AE266" s="516"/>
      <c r="AF266" s="516"/>
      <c r="AH266" s="516"/>
      <c r="AI266" s="516"/>
      <c r="AJ266" s="516"/>
      <c r="AK266" s="516"/>
      <c r="AL266" s="516"/>
      <c r="AM266" s="516"/>
      <c r="AN266" s="516"/>
      <c r="AO266" s="516"/>
      <c r="AP266" s="516"/>
      <c r="AQ266" s="516"/>
      <c r="AR266" s="516"/>
      <c r="AS266" s="516"/>
      <c r="AT266" s="516"/>
      <c r="AU266" s="516"/>
      <c r="AV266" s="516"/>
      <c r="AX266" s="516"/>
      <c r="AY266" s="516"/>
      <c r="AZ266" s="516"/>
      <c r="BA266" s="516"/>
      <c r="BB266" s="516"/>
      <c r="BC266" s="516"/>
      <c r="BD266" s="516"/>
      <c r="BE266" s="516"/>
      <c r="BF266" s="516"/>
      <c r="BG266" s="516"/>
      <c r="BH266" s="516"/>
      <c r="BI266" s="516"/>
      <c r="BJ266" s="516"/>
      <c r="BK266" s="516"/>
      <c r="BL266" s="516"/>
      <c r="BM266" s="516"/>
      <c r="BN266" s="516"/>
      <c r="BO266" s="516"/>
      <c r="BP266" s="516"/>
      <c r="BQ266" s="516"/>
    </row>
    <row r="267" spans="1:69" x14ac:dyDescent="0.2">
      <c r="A267" s="516"/>
      <c r="B267" s="516"/>
      <c r="C267" s="516"/>
      <c r="D267" s="516"/>
      <c r="E267" s="516"/>
      <c r="F267" s="516"/>
      <c r="G267" s="516"/>
      <c r="H267" s="516"/>
      <c r="I267" s="516"/>
      <c r="J267" s="516"/>
      <c r="K267" s="516"/>
      <c r="L267" s="516"/>
      <c r="M267" s="516"/>
      <c r="N267" s="516"/>
      <c r="O267" s="516"/>
      <c r="P267" s="516"/>
      <c r="R267" s="516"/>
      <c r="S267" s="516"/>
      <c r="T267" s="516"/>
      <c r="U267" s="516"/>
      <c r="V267" s="516"/>
      <c r="W267" s="516"/>
      <c r="X267" s="516"/>
      <c r="Y267" s="516"/>
      <c r="Z267" s="516"/>
      <c r="AA267" s="516"/>
      <c r="AB267" s="516"/>
      <c r="AC267" s="516"/>
      <c r="AD267" s="516"/>
      <c r="AE267" s="516"/>
      <c r="AF267" s="516"/>
      <c r="AH267" s="516"/>
      <c r="AI267" s="516"/>
      <c r="AJ267" s="516"/>
      <c r="AK267" s="516"/>
      <c r="AL267" s="516"/>
      <c r="AM267" s="516"/>
      <c r="AN267" s="516"/>
      <c r="AO267" s="516"/>
      <c r="AP267" s="516"/>
      <c r="AQ267" s="516"/>
      <c r="AR267" s="516"/>
      <c r="AS267" s="516"/>
      <c r="AT267" s="516"/>
      <c r="AU267" s="516"/>
      <c r="AV267" s="516"/>
      <c r="AX267" s="516"/>
      <c r="AY267" s="516"/>
      <c r="AZ267" s="516"/>
      <c r="BA267" s="516"/>
      <c r="BB267" s="516"/>
      <c r="BC267" s="516"/>
      <c r="BD267" s="516"/>
      <c r="BE267" s="516"/>
      <c r="BF267" s="516"/>
      <c r="BG267" s="516"/>
      <c r="BH267" s="516"/>
      <c r="BI267" s="516"/>
      <c r="BJ267" s="516"/>
      <c r="BK267" s="516"/>
      <c r="BL267" s="516"/>
      <c r="BM267" s="516"/>
      <c r="BN267" s="516"/>
      <c r="BO267" s="516"/>
      <c r="BP267" s="516"/>
      <c r="BQ267" s="516"/>
    </row>
    <row r="268" spans="1:69" x14ac:dyDescent="0.2">
      <c r="A268" s="516"/>
      <c r="B268" s="516"/>
      <c r="C268" s="516"/>
      <c r="D268" s="516"/>
      <c r="E268" s="516"/>
      <c r="F268" s="516"/>
      <c r="G268" s="516"/>
      <c r="H268" s="516"/>
      <c r="I268" s="516"/>
      <c r="J268" s="516"/>
      <c r="K268" s="516"/>
      <c r="L268" s="516"/>
      <c r="M268" s="516"/>
      <c r="N268" s="516"/>
      <c r="O268" s="516"/>
      <c r="P268" s="516"/>
      <c r="R268" s="516"/>
      <c r="S268" s="516"/>
      <c r="T268" s="516"/>
      <c r="U268" s="516"/>
      <c r="V268" s="516"/>
      <c r="W268" s="516"/>
      <c r="X268" s="516"/>
      <c r="Y268" s="516"/>
      <c r="Z268" s="516"/>
      <c r="AA268" s="516"/>
      <c r="AB268" s="516"/>
      <c r="AC268" s="516"/>
      <c r="AD268" s="516"/>
      <c r="AE268" s="516"/>
      <c r="AF268" s="516"/>
      <c r="AH268" s="516"/>
      <c r="AI268" s="516"/>
      <c r="AJ268" s="516"/>
      <c r="AK268" s="516"/>
      <c r="AL268" s="516"/>
      <c r="AM268" s="516"/>
      <c r="AN268" s="516"/>
      <c r="AO268" s="516"/>
      <c r="AP268" s="516"/>
      <c r="AQ268" s="516"/>
      <c r="AR268" s="516"/>
      <c r="AS268" s="516"/>
      <c r="AT268" s="516"/>
      <c r="AU268" s="516"/>
      <c r="AV268" s="516"/>
      <c r="AX268" s="516"/>
      <c r="AY268" s="516"/>
      <c r="AZ268" s="516"/>
      <c r="BA268" s="516"/>
      <c r="BB268" s="516"/>
      <c r="BC268" s="516"/>
      <c r="BD268" s="516"/>
      <c r="BE268" s="516"/>
      <c r="BF268" s="516"/>
      <c r="BG268" s="516"/>
      <c r="BH268" s="516"/>
      <c r="BI268" s="516"/>
      <c r="BJ268" s="516"/>
      <c r="BK268" s="516"/>
      <c r="BL268" s="516"/>
      <c r="BM268" s="516"/>
      <c r="BN268" s="516"/>
      <c r="BO268" s="516"/>
      <c r="BP268" s="516"/>
      <c r="BQ268" s="516"/>
    </row>
    <row r="269" spans="1:69" x14ac:dyDescent="0.2">
      <c r="A269" s="516"/>
      <c r="B269" s="516"/>
      <c r="C269" s="516"/>
      <c r="D269" s="516"/>
      <c r="E269" s="516"/>
      <c r="F269" s="516"/>
      <c r="G269" s="516"/>
      <c r="H269" s="516"/>
      <c r="I269" s="516"/>
      <c r="J269" s="516"/>
      <c r="K269" s="516"/>
      <c r="L269" s="516"/>
      <c r="M269" s="516"/>
      <c r="N269" s="516"/>
      <c r="O269" s="516"/>
      <c r="P269" s="516"/>
      <c r="R269" s="516"/>
      <c r="S269" s="516"/>
      <c r="T269" s="516"/>
      <c r="U269" s="516"/>
      <c r="V269" s="516"/>
      <c r="W269" s="516"/>
      <c r="X269" s="516"/>
      <c r="Y269" s="516"/>
      <c r="Z269" s="516"/>
      <c r="AA269" s="516"/>
      <c r="AB269" s="516"/>
      <c r="AC269" s="516"/>
      <c r="AD269" s="516"/>
      <c r="AE269" s="516"/>
      <c r="AF269" s="516"/>
      <c r="AH269" s="516"/>
      <c r="AI269" s="516"/>
      <c r="AJ269" s="516"/>
      <c r="AK269" s="516"/>
      <c r="AL269" s="516"/>
      <c r="AM269" s="516"/>
      <c r="AN269" s="516"/>
      <c r="AO269" s="516"/>
      <c r="AP269" s="516"/>
      <c r="AQ269" s="516"/>
      <c r="AR269" s="516"/>
      <c r="AS269" s="516"/>
      <c r="AT269" s="516"/>
      <c r="AU269" s="516"/>
      <c r="AV269" s="516"/>
      <c r="AX269" s="516"/>
      <c r="AY269" s="516"/>
      <c r="AZ269" s="516"/>
      <c r="BA269" s="516"/>
      <c r="BB269" s="516"/>
      <c r="BC269" s="516"/>
      <c r="BD269" s="516"/>
      <c r="BE269" s="516"/>
      <c r="BF269" s="516"/>
      <c r="BG269" s="516"/>
      <c r="BH269" s="516"/>
      <c r="BI269" s="516"/>
      <c r="BJ269" s="516"/>
      <c r="BK269" s="516"/>
      <c r="BL269" s="516"/>
      <c r="BM269" s="516"/>
      <c r="BN269" s="516"/>
      <c r="BO269" s="516"/>
      <c r="BP269" s="516"/>
      <c r="BQ269" s="516"/>
    </row>
    <row r="270" spans="1:69" x14ac:dyDescent="0.2">
      <c r="A270" s="516"/>
      <c r="B270" s="516"/>
      <c r="C270" s="516"/>
      <c r="D270" s="516"/>
      <c r="E270" s="516"/>
      <c r="F270" s="516"/>
      <c r="G270" s="516"/>
      <c r="H270" s="516"/>
      <c r="I270" s="516"/>
      <c r="J270" s="516"/>
      <c r="K270" s="516"/>
      <c r="L270" s="516"/>
      <c r="M270" s="516"/>
      <c r="N270" s="516"/>
      <c r="O270" s="516"/>
      <c r="P270" s="516"/>
      <c r="R270" s="516"/>
      <c r="S270" s="516"/>
      <c r="T270" s="516"/>
      <c r="U270" s="516"/>
      <c r="V270" s="516"/>
      <c r="W270" s="516"/>
      <c r="X270" s="516"/>
      <c r="Y270" s="516"/>
      <c r="Z270" s="516"/>
      <c r="AA270" s="516"/>
      <c r="AB270" s="516"/>
      <c r="AC270" s="516"/>
      <c r="AD270" s="516"/>
      <c r="AE270" s="516"/>
      <c r="AF270" s="516"/>
      <c r="AH270" s="516"/>
      <c r="AI270" s="516"/>
      <c r="AJ270" s="516"/>
      <c r="AK270" s="516"/>
      <c r="AL270" s="516"/>
      <c r="AM270" s="516"/>
      <c r="AN270" s="516"/>
      <c r="AO270" s="516"/>
      <c r="AP270" s="516"/>
      <c r="AQ270" s="516"/>
      <c r="AR270" s="516"/>
      <c r="AS270" s="516"/>
      <c r="AT270" s="516"/>
      <c r="AU270" s="516"/>
      <c r="AV270" s="516"/>
      <c r="AX270" s="516"/>
      <c r="AY270" s="516"/>
      <c r="AZ270" s="516"/>
      <c r="BA270" s="516"/>
      <c r="BB270" s="516"/>
      <c r="BC270" s="516"/>
      <c r="BD270" s="516"/>
      <c r="BE270" s="516"/>
      <c r="BF270" s="516"/>
      <c r="BG270" s="516"/>
      <c r="BH270" s="516"/>
      <c r="BI270" s="516"/>
      <c r="BJ270" s="516"/>
      <c r="BK270" s="516"/>
      <c r="BL270" s="516"/>
      <c r="BM270" s="516"/>
      <c r="BN270" s="516"/>
      <c r="BO270" s="516"/>
      <c r="BP270" s="516"/>
      <c r="BQ270" s="516"/>
    </row>
    <row r="271" spans="1:69" x14ac:dyDescent="0.2">
      <c r="A271" s="516"/>
      <c r="B271" s="516"/>
      <c r="C271" s="516"/>
      <c r="D271" s="516"/>
      <c r="E271" s="516"/>
      <c r="F271" s="516"/>
      <c r="G271" s="516"/>
      <c r="H271" s="516"/>
      <c r="I271" s="516"/>
      <c r="J271" s="516"/>
      <c r="K271" s="516"/>
      <c r="L271" s="516"/>
      <c r="M271" s="516"/>
      <c r="N271" s="516"/>
      <c r="O271" s="516"/>
      <c r="P271" s="516"/>
      <c r="R271" s="516"/>
      <c r="S271" s="516"/>
      <c r="T271" s="516"/>
      <c r="U271" s="516"/>
      <c r="V271" s="516"/>
      <c r="W271" s="516"/>
      <c r="X271" s="516"/>
      <c r="Y271" s="516"/>
      <c r="Z271" s="516"/>
      <c r="AA271" s="516"/>
      <c r="AB271" s="516"/>
      <c r="AC271" s="516"/>
      <c r="AD271" s="516"/>
      <c r="AE271" s="516"/>
      <c r="AF271" s="516"/>
      <c r="AH271" s="516"/>
      <c r="AI271" s="516"/>
      <c r="AJ271" s="516"/>
      <c r="AK271" s="516"/>
      <c r="AL271" s="516"/>
      <c r="AM271" s="516"/>
      <c r="AN271" s="516"/>
      <c r="AO271" s="516"/>
      <c r="AP271" s="516"/>
      <c r="AQ271" s="516"/>
      <c r="AR271" s="516"/>
      <c r="AS271" s="516"/>
      <c r="AT271" s="516"/>
      <c r="AU271" s="516"/>
      <c r="AV271" s="516"/>
      <c r="AX271" s="516"/>
      <c r="AY271" s="516"/>
      <c r="AZ271" s="516"/>
      <c r="BA271" s="516"/>
      <c r="BB271" s="516"/>
      <c r="BC271" s="516"/>
      <c r="BD271" s="516"/>
      <c r="BE271" s="516"/>
      <c r="BF271" s="516"/>
      <c r="BG271" s="516"/>
      <c r="BH271" s="516"/>
      <c r="BI271" s="516"/>
      <c r="BJ271" s="516"/>
      <c r="BK271" s="516"/>
      <c r="BL271" s="516"/>
      <c r="BM271" s="516"/>
      <c r="BN271" s="516"/>
      <c r="BO271" s="516"/>
      <c r="BP271" s="516"/>
      <c r="BQ271" s="516"/>
    </row>
    <row r="272" spans="1:69" x14ac:dyDescent="0.2">
      <c r="A272" s="516"/>
      <c r="B272" s="516"/>
      <c r="C272" s="516"/>
      <c r="D272" s="516"/>
      <c r="E272" s="516"/>
      <c r="F272" s="516"/>
      <c r="G272" s="516"/>
      <c r="H272" s="516"/>
      <c r="I272" s="516"/>
      <c r="J272" s="516"/>
      <c r="K272" s="516"/>
      <c r="L272" s="516"/>
      <c r="M272" s="516"/>
      <c r="N272" s="516"/>
      <c r="O272" s="516"/>
      <c r="P272" s="516"/>
      <c r="R272" s="516"/>
      <c r="S272" s="516"/>
      <c r="T272" s="516"/>
      <c r="U272" s="516"/>
      <c r="V272" s="516"/>
      <c r="W272" s="516"/>
      <c r="X272" s="516"/>
      <c r="Y272" s="516"/>
      <c r="Z272" s="516"/>
      <c r="AA272" s="516"/>
      <c r="AB272" s="516"/>
      <c r="AC272" s="516"/>
      <c r="AD272" s="516"/>
      <c r="AE272" s="516"/>
      <c r="AF272" s="516"/>
      <c r="AH272" s="516"/>
      <c r="AI272" s="516"/>
      <c r="AJ272" s="516"/>
      <c r="AK272" s="516"/>
      <c r="AL272" s="516"/>
      <c r="AM272" s="516"/>
      <c r="AN272" s="516"/>
      <c r="AO272" s="516"/>
      <c r="AP272" s="516"/>
      <c r="AQ272" s="516"/>
      <c r="AR272" s="516"/>
      <c r="AS272" s="516"/>
      <c r="AT272" s="516"/>
      <c r="AU272" s="516"/>
      <c r="AV272" s="516"/>
      <c r="AX272" s="516"/>
      <c r="AY272" s="516"/>
      <c r="AZ272" s="516"/>
      <c r="BA272" s="516"/>
      <c r="BB272" s="516"/>
      <c r="BC272" s="516"/>
      <c r="BD272" s="516"/>
      <c r="BE272" s="516"/>
      <c r="BF272" s="516"/>
      <c r="BG272" s="516"/>
      <c r="BH272" s="516"/>
      <c r="BI272" s="516"/>
      <c r="BJ272" s="516"/>
      <c r="BK272" s="516"/>
      <c r="BL272" s="516"/>
      <c r="BM272" s="516"/>
      <c r="BN272" s="516"/>
      <c r="BO272" s="516"/>
      <c r="BP272" s="516"/>
      <c r="BQ272" s="516"/>
    </row>
    <row r="273" spans="1:69" x14ac:dyDescent="0.2">
      <c r="A273" s="516"/>
      <c r="B273" s="516"/>
      <c r="C273" s="516"/>
      <c r="D273" s="516"/>
      <c r="E273" s="516"/>
      <c r="F273" s="516"/>
      <c r="G273" s="516"/>
      <c r="H273" s="516"/>
      <c r="I273" s="516"/>
      <c r="J273" s="516"/>
      <c r="K273" s="516"/>
      <c r="L273" s="516"/>
      <c r="M273" s="516"/>
      <c r="N273" s="516"/>
      <c r="O273" s="516"/>
      <c r="P273" s="516"/>
      <c r="R273" s="516"/>
      <c r="S273" s="516"/>
      <c r="T273" s="516"/>
      <c r="U273" s="516"/>
      <c r="V273" s="516"/>
      <c r="W273" s="516"/>
      <c r="X273" s="516"/>
      <c r="Y273" s="516"/>
      <c r="Z273" s="516"/>
      <c r="AA273" s="516"/>
      <c r="AB273" s="516"/>
      <c r="AC273" s="516"/>
      <c r="AD273" s="516"/>
      <c r="AE273" s="516"/>
      <c r="AF273" s="516"/>
      <c r="AH273" s="516"/>
      <c r="AI273" s="516"/>
      <c r="AJ273" s="516"/>
      <c r="AK273" s="516"/>
      <c r="AL273" s="516"/>
      <c r="AM273" s="516"/>
      <c r="AN273" s="516"/>
      <c r="AO273" s="516"/>
      <c r="AP273" s="516"/>
      <c r="AQ273" s="516"/>
      <c r="AR273" s="516"/>
      <c r="AS273" s="516"/>
      <c r="AT273" s="516"/>
      <c r="AU273" s="516"/>
      <c r="AV273" s="516"/>
      <c r="AX273" s="516"/>
      <c r="AY273" s="516"/>
      <c r="AZ273" s="516"/>
      <c r="BA273" s="516"/>
      <c r="BB273" s="516"/>
      <c r="BC273" s="516"/>
      <c r="BD273" s="516"/>
      <c r="BE273" s="516"/>
      <c r="BF273" s="516"/>
      <c r="BG273" s="516"/>
      <c r="BH273" s="516"/>
      <c r="BI273" s="516"/>
      <c r="BJ273" s="516"/>
      <c r="BK273" s="516"/>
      <c r="BL273" s="516"/>
      <c r="BM273" s="516"/>
      <c r="BN273" s="516"/>
      <c r="BO273" s="516"/>
      <c r="BP273" s="516"/>
      <c r="BQ273" s="516"/>
    </row>
    <row r="274" spans="1:69" x14ac:dyDescent="0.2">
      <c r="A274" s="516"/>
      <c r="B274" s="516"/>
      <c r="C274" s="516"/>
      <c r="D274" s="516"/>
      <c r="E274" s="516"/>
      <c r="F274" s="516"/>
      <c r="G274" s="516"/>
      <c r="H274" s="516"/>
      <c r="I274" s="516"/>
      <c r="J274" s="516"/>
      <c r="K274" s="516"/>
      <c r="L274" s="516"/>
      <c r="M274" s="516"/>
      <c r="N274" s="516"/>
      <c r="O274" s="516"/>
      <c r="P274" s="516"/>
      <c r="R274" s="516"/>
      <c r="S274" s="516"/>
      <c r="T274" s="516"/>
      <c r="U274" s="516"/>
      <c r="V274" s="516"/>
      <c r="W274" s="516"/>
      <c r="X274" s="516"/>
      <c r="Y274" s="516"/>
      <c r="Z274" s="516"/>
      <c r="AA274" s="516"/>
      <c r="AB274" s="516"/>
      <c r="AC274" s="516"/>
      <c r="AD274" s="516"/>
      <c r="AE274" s="516"/>
      <c r="AF274" s="516"/>
      <c r="AH274" s="516"/>
      <c r="AI274" s="516"/>
      <c r="AJ274" s="516"/>
      <c r="AK274" s="516"/>
      <c r="AL274" s="516"/>
      <c r="AM274" s="516"/>
      <c r="AN274" s="516"/>
      <c r="AO274" s="516"/>
      <c r="AP274" s="516"/>
      <c r="AQ274" s="516"/>
      <c r="AR274" s="516"/>
      <c r="AS274" s="516"/>
      <c r="AT274" s="516"/>
      <c r="AU274" s="516"/>
      <c r="AV274" s="516"/>
      <c r="AX274" s="516"/>
      <c r="AY274" s="516"/>
      <c r="AZ274" s="516"/>
      <c r="BA274" s="516"/>
      <c r="BB274" s="516"/>
      <c r="BC274" s="516"/>
      <c r="BD274" s="516"/>
      <c r="BE274" s="516"/>
      <c r="BF274" s="516"/>
      <c r="BG274" s="516"/>
      <c r="BH274" s="516"/>
      <c r="BI274" s="516"/>
      <c r="BJ274" s="516"/>
      <c r="BK274" s="516"/>
      <c r="BL274" s="516"/>
      <c r="BM274" s="516"/>
      <c r="BN274" s="516"/>
      <c r="BO274" s="516"/>
      <c r="BP274" s="516"/>
      <c r="BQ274" s="516"/>
    </row>
    <row r="275" spans="1:69" x14ac:dyDescent="0.2">
      <c r="A275" s="516"/>
      <c r="B275" s="516"/>
      <c r="C275" s="516"/>
      <c r="D275" s="516"/>
      <c r="E275" s="516"/>
      <c r="F275" s="516"/>
      <c r="G275" s="516"/>
      <c r="H275" s="516"/>
      <c r="I275" s="516"/>
      <c r="J275" s="516"/>
      <c r="K275" s="516"/>
      <c r="L275" s="516"/>
      <c r="M275" s="516"/>
      <c r="N275" s="516"/>
      <c r="O275" s="516"/>
      <c r="P275" s="516"/>
      <c r="R275" s="516"/>
      <c r="S275" s="516"/>
      <c r="T275" s="516"/>
      <c r="U275" s="516"/>
      <c r="V275" s="516"/>
      <c r="W275" s="516"/>
      <c r="X275" s="516"/>
      <c r="Y275" s="516"/>
      <c r="Z275" s="516"/>
      <c r="AA275" s="516"/>
      <c r="AB275" s="516"/>
      <c r="AC275" s="516"/>
      <c r="AD275" s="516"/>
      <c r="AE275" s="516"/>
      <c r="AF275" s="516"/>
      <c r="AH275" s="516"/>
      <c r="AI275" s="516"/>
      <c r="AJ275" s="516"/>
      <c r="AK275" s="516"/>
      <c r="AL275" s="516"/>
      <c r="AM275" s="516"/>
      <c r="AN275" s="516"/>
      <c r="AO275" s="516"/>
      <c r="AP275" s="516"/>
      <c r="AQ275" s="516"/>
      <c r="AR275" s="516"/>
      <c r="AS275" s="516"/>
      <c r="AT275" s="516"/>
      <c r="AU275" s="516"/>
      <c r="AV275" s="516"/>
      <c r="AX275" s="516"/>
      <c r="AY275" s="516"/>
      <c r="AZ275" s="516"/>
      <c r="BA275" s="516"/>
      <c r="BB275" s="516"/>
      <c r="BC275" s="516"/>
      <c r="BD275" s="516"/>
      <c r="BE275" s="516"/>
      <c r="BF275" s="516"/>
      <c r="BG275" s="516"/>
      <c r="BH275" s="516"/>
      <c r="BI275" s="516"/>
      <c r="BJ275" s="516"/>
      <c r="BK275" s="516"/>
      <c r="BL275" s="516"/>
      <c r="BM275" s="516"/>
      <c r="BN275" s="516"/>
      <c r="BO275" s="516"/>
      <c r="BP275" s="516"/>
      <c r="BQ275" s="516"/>
    </row>
    <row r="276" spans="1:69" x14ac:dyDescent="0.2">
      <c r="A276" s="516"/>
      <c r="B276" s="516"/>
      <c r="C276" s="516"/>
      <c r="D276" s="516"/>
      <c r="E276" s="516"/>
      <c r="F276" s="516"/>
      <c r="G276" s="516"/>
      <c r="H276" s="516"/>
      <c r="I276" s="516"/>
      <c r="J276" s="516"/>
      <c r="K276" s="516"/>
      <c r="L276" s="516"/>
      <c r="M276" s="516"/>
      <c r="N276" s="516"/>
      <c r="O276" s="516"/>
      <c r="P276" s="516"/>
      <c r="R276" s="516"/>
      <c r="S276" s="516"/>
      <c r="T276" s="516"/>
      <c r="U276" s="516"/>
      <c r="V276" s="516"/>
      <c r="W276" s="516"/>
      <c r="X276" s="516"/>
      <c r="Y276" s="516"/>
      <c r="Z276" s="516"/>
      <c r="AA276" s="516"/>
      <c r="AB276" s="516"/>
      <c r="AC276" s="516"/>
      <c r="AD276" s="516"/>
      <c r="AE276" s="516"/>
      <c r="AF276" s="516"/>
      <c r="AH276" s="516"/>
      <c r="AI276" s="516"/>
      <c r="AJ276" s="516"/>
      <c r="AK276" s="516"/>
      <c r="AL276" s="516"/>
      <c r="AM276" s="516"/>
      <c r="AN276" s="516"/>
      <c r="AO276" s="516"/>
      <c r="AP276" s="516"/>
      <c r="AQ276" s="516"/>
      <c r="AR276" s="516"/>
      <c r="AS276" s="516"/>
      <c r="AT276" s="516"/>
      <c r="AU276" s="516"/>
      <c r="AV276" s="516"/>
      <c r="AX276" s="516"/>
      <c r="AY276" s="516"/>
      <c r="AZ276" s="516"/>
      <c r="BA276" s="516"/>
      <c r="BB276" s="516"/>
      <c r="BC276" s="516"/>
      <c r="BD276" s="516"/>
      <c r="BE276" s="516"/>
      <c r="BF276" s="516"/>
      <c r="BG276" s="516"/>
      <c r="BH276" s="516"/>
      <c r="BI276" s="516"/>
      <c r="BJ276" s="516"/>
      <c r="BK276" s="516"/>
      <c r="BL276" s="516"/>
      <c r="BM276" s="516"/>
      <c r="BN276" s="516"/>
      <c r="BO276" s="516"/>
      <c r="BP276" s="516"/>
      <c r="BQ276" s="516"/>
    </row>
    <row r="277" spans="1:69" x14ac:dyDescent="0.2">
      <c r="A277" s="516"/>
      <c r="B277" s="516"/>
      <c r="C277" s="516"/>
      <c r="D277" s="516"/>
      <c r="E277" s="516"/>
      <c r="F277" s="516"/>
      <c r="G277" s="516"/>
      <c r="H277" s="516"/>
      <c r="I277" s="516"/>
      <c r="J277" s="516"/>
      <c r="K277" s="516"/>
      <c r="L277" s="516"/>
      <c r="M277" s="516"/>
      <c r="N277" s="516"/>
      <c r="O277" s="516"/>
      <c r="P277" s="516"/>
      <c r="R277" s="516"/>
      <c r="S277" s="516"/>
      <c r="T277" s="516"/>
      <c r="U277" s="516"/>
      <c r="V277" s="516"/>
      <c r="W277" s="516"/>
      <c r="X277" s="516"/>
      <c r="Y277" s="516"/>
      <c r="Z277" s="516"/>
      <c r="AA277" s="516"/>
      <c r="AB277" s="516"/>
      <c r="AC277" s="516"/>
      <c r="AD277" s="516"/>
      <c r="AE277" s="516"/>
      <c r="AF277" s="516"/>
      <c r="AH277" s="516"/>
      <c r="AI277" s="516"/>
      <c r="AJ277" s="516"/>
      <c r="AK277" s="516"/>
      <c r="AL277" s="516"/>
      <c r="AM277" s="516"/>
      <c r="AN277" s="516"/>
      <c r="AO277" s="516"/>
      <c r="AP277" s="516"/>
      <c r="AQ277" s="516"/>
      <c r="AR277" s="516"/>
      <c r="AS277" s="516"/>
      <c r="AT277" s="516"/>
      <c r="AU277" s="516"/>
      <c r="AV277" s="516"/>
      <c r="AX277" s="516"/>
      <c r="AY277" s="516"/>
      <c r="AZ277" s="516"/>
      <c r="BA277" s="516"/>
      <c r="BB277" s="516"/>
      <c r="BC277" s="516"/>
      <c r="BD277" s="516"/>
      <c r="BE277" s="516"/>
      <c r="BF277" s="516"/>
      <c r="BG277" s="516"/>
      <c r="BH277" s="516"/>
      <c r="BI277" s="516"/>
      <c r="BJ277" s="516"/>
      <c r="BK277" s="516"/>
      <c r="BL277" s="516"/>
      <c r="BM277" s="516"/>
      <c r="BN277" s="516"/>
      <c r="BO277" s="516"/>
      <c r="BP277" s="516"/>
      <c r="BQ277" s="516"/>
    </row>
    <row r="278" spans="1:69" x14ac:dyDescent="0.2">
      <c r="A278" s="516"/>
      <c r="B278" s="516"/>
      <c r="C278" s="516"/>
      <c r="D278" s="516"/>
      <c r="E278" s="516"/>
      <c r="F278" s="516"/>
      <c r="G278" s="516"/>
      <c r="H278" s="516"/>
      <c r="I278" s="516"/>
      <c r="J278" s="516"/>
      <c r="K278" s="516"/>
      <c r="L278" s="516"/>
      <c r="M278" s="516"/>
      <c r="N278" s="516"/>
      <c r="O278" s="516"/>
      <c r="P278" s="516"/>
      <c r="R278" s="516"/>
      <c r="S278" s="516"/>
      <c r="T278" s="516"/>
      <c r="U278" s="516"/>
      <c r="V278" s="516"/>
      <c r="W278" s="516"/>
      <c r="X278" s="516"/>
      <c r="Y278" s="516"/>
      <c r="Z278" s="516"/>
      <c r="AA278" s="516"/>
      <c r="AB278" s="516"/>
      <c r="AC278" s="516"/>
      <c r="AD278" s="516"/>
      <c r="AE278" s="516"/>
      <c r="AF278" s="516"/>
      <c r="AH278" s="516"/>
      <c r="AI278" s="516"/>
      <c r="AJ278" s="516"/>
      <c r="AK278" s="516"/>
      <c r="AL278" s="516"/>
      <c r="AM278" s="516"/>
      <c r="AN278" s="516"/>
      <c r="AO278" s="516"/>
      <c r="AP278" s="516"/>
      <c r="AQ278" s="516"/>
      <c r="AR278" s="516"/>
      <c r="AS278" s="516"/>
      <c r="AT278" s="516"/>
      <c r="AU278" s="516"/>
      <c r="AV278" s="516"/>
      <c r="AX278" s="516"/>
      <c r="AY278" s="516"/>
      <c r="AZ278" s="516"/>
      <c r="BA278" s="516"/>
      <c r="BB278" s="516"/>
      <c r="BC278" s="516"/>
      <c r="BD278" s="516"/>
      <c r="BE278" s="516"/>
      <c r="BF278" s="516"/>
      <c r="BG278" s="516"/>
      <c r="BH278" s="516"/>
      <c r="BI278" s="516"/>
      <c r="BJ278" s="516"/>
      <c r="BK278" s="516"/>
      <c r="BL278" s="516"/>
      <c r="BM278" s="516"/>
      <c r="BN278" s="516"/>
      <c r="BO278" s="516"/>
      <c r="BP278" s="516"/>
      <c r="BQ278" s="516"/>
    </row>
    <row r="279" spans="1:69" x14ac:dyDescent="0.2">
      <c r="A279" s="516"/>
      <c r="B279" s="516"/>
      <c r="C279" s="516"/>
      <c r="D279" s="516"/>
      <c r="E279" s="516"/>
      <c r="F279" s="516"/>
      <c r="G279" s="516"/>
      <c r="H279" s="516"/>
      <c r="I279" s="516"/>
      <c r="J279" s="516"/>
      <c r="K279" s="516"/>
      <c r="L279" s="516"/>
      <c r="M279" s="516"/>
      <c r="N279" s="516"/>
      <c r="O279" s="516"/>
      <c r="P279" s="516"/>
      <c r="R279" s="516"/>
      <c r="S279" s="516"/>
      <c r="T279" s="516"/>
      <c r="U279" s="516"/>
      <c r="V279" s="516"/>
      <c r="W279" s="516"/>
      <c r="X279" s="516"/>
      <c r="Y279" s="516"/>
      <c r="Z279" s="516"/>
      <c r="AA279" s="516"/>
      <c r="AB279" s="516"/>
      <c r="AC279" s="516"/>
      <c r="AD279" s="516"/>
      <c r="AE279" s="516"/>
      <c r="AF279" s="516"/>
      <c r="AH279" s="516"/>
      <c r="AI279" s="516"/>
      <c r="AJ279" s="516"/>
      <c r="AK279" s="516"/>
      <c r="AL279" s="516"/>
      <c r="AM279" s="516"/>
      <c r="AN279" s="516"/>
      <c r="AO279" s="516"/>
      <c r="AP279" s="516"/>
      <c r="AQ279" s="516"/>
      <c r="AR279" s="516"/>
      <c r="AS279" s="516"/>
      <c r="AT279" s="516"/>
      <c r="AU279" s="516"/>
      <c r="AV279" s="516"/>
      <c r="AX279" s="516"/>
      <c r="AY279" s="516"/>
      <c r="AZ279" s="516"/>
      <c r="BA279" s="516"/>
      <c r="BB279" s="516"/>
      <c r="BC279" s="516"/>
      <c r="BD279" s="516"/>
      <c r="BE279" s="516"/>
      <c r="BF279" s="516"/>
      <c r="BG279" s="516"/>
      <c r="BH279" s="516"/>
      <c r="BI279" s="516"/>
      <c r="BJ279" s="516"/>
      <c r="BK279" s="516"/>
      <c r="BL279" s="516"/>
      <c r="BM279" s="516"/>
      <c r="BN279" s="516"/>
      <c r="BO279" s="516"/>
      <c r="BP279" s="516"/>
      <c r="BQ279" s="516"/>
    </row>
    <row r="280" spans="1:69" x14ac:dyDescent="0.2">
      <c r="A280" s="516"/>
      <c r="B280" s="516"/>
      <c r="C280" s="516"/>
      <c r="D280" s="516"/>
      <c r="E280" s="516"/>
      <c r="F280" s="516"/>
      <c r="G280" s="516"/>
      <c r="H280" s="516"/>
      <c r="I280" s="516"/>
      <c r="J280" s="516"/>
      <c r="K280" s="516"/>
      <c r="L280" s="516"/>
      <c r="M280" s="516"/>
      <c r="N280" s="516"/>
      <c r="O280" s="516"/>
      <c r="P280" s="516"/>
      <c r="R280" s="516"/>
      <c r="S280" s="516"/>
      <c r="T280" s="516"/>
      <c r="U280" s="516"/>
      <c r="V280" s="516"/>
      <c r="W280" s="516"/>
      <c r="X280" s="516"/>
      <c r="Y280" s="516"/>
      <c r="Z280" s="516"/>
      <c r="AA280" s="516"/>
      <c r="AB280" s="516"/>
      <c r="AC280" s="516"/>
      <c r="AD280" s="516"/>
      <c r="AE280" s="516"/>
      <c r="AF280" s="516"/>
      <c r="AH280" s="516"/>
      <c r="AI280" s="516"/>
      <c r="AJ280" s="516"/>
      <c r="AK280" s="516"/>
      <c r="AL280" s="516"/>
      <c r="AM280" s="516"/>
      <c r="AN280" s="516"/>
      <c r="AO280" s="516"/>
      <c r="AP280" s="516"/>
      <c r="AQ280" s="516"/>
      <c r="AR280" s="516"/>
      <c r="AS280" s="516"/>
      <c r="AT280" s="516"/>
      <c r="AU280" s="516"/>
      <c r="AV280" s="516"/>
      <c r="AX280" s="516"/>
      <c r="AY280" s="516"/>
      <c r="AZ280" s="516"/>
      <c r="BA280" s="516"/>
      <c r="BB280" s="516"/>
      <c r="BC280" s="516"/>
      <c r="BD280" s="516"/>
      <c r="BE280" s="516"/>
      <c r="BF280" s="516"/>
      <c r="BG280" s="516"/>
      <c r="BH280" s="516"/>
      <c r="BI280" s="516"/>
      <c r="BJ280" s="516"/>
      <c r="BK280" s="516"/>
      <c r="BL280" s="516"/>
      <c r="BM280" s="516"/>
      <c r="BN280" s="516"/>
      <c r="BO280" s="516"/>
      <c r="BP280" s="516"/>
      <c r="BQ280" s="516"/>
    </row>
    <row r="281" spans="1:69" x14ac:dyDescent="0.2">
      <c r="A281" s="516"/>
      <c r="B281" s="516"/>
      <c r="C281" s="516"/>
      <c r="D281" s="516"/>
      <c r="E281" s="516"/>
      <c r="F281" s="516"/>
      <c r="G281" s="516"/>
      <c r="H281" s="516"/>
      <c r="I281" s="516"/>
      <c r="J281" s="516"/>
      <c r="K281" s="516"/>
      <c r="L281" s="516"/>
      <c r="M281" s="516"/>
      <c r="N281" s="516"/>
      <c r="O281" s="516"/>
      <c r="P281" s="516"/>
      <c r="R281" s="516"/>
      <c r="S281" s="516"/>
      <c r="T281" s="516"/>
      <c r="U281" s="516"/>
      <c r="V281" s="516"/>
      <c r="W281" s="516"/>
      <c r="X281" s="516"/>
      <c r="Y281" s="516"/>
      <c r="Z281" s="516"/>
      <c r="AA281" s="516"/>
      <c r="AB281" s="516"/>
      <c r="AC281" s="516"/>
      <c r="AD281" s="516"/>
      <c r="AE281" s="516"/>
      <c r="AF281" s="516"/>
      <c r="AH281" s="516"/>
      <c r="AI281" s="516"/>
      <c r="AJ281" s="516"/>
      <c r="AK281" s="516"/>
      <c r="AL281" s="516"/>
      <c r="AM281" s="516"/>
      <c r="AN281" s="516"/>
      <c r="AO281" s="516"/>
      <c r="AP281" s="516"/>
      <c r="AQ281" s="516"/>
      <c r="AR281" s="516"/>
      <c r="AS281" s="516"/>
      <c r="AT281" s="516"/>
      <c r="AU281" s="516"/>
      <c r="AV281" s="516"/>
      <c r="AX281" s="516"/>
      <c r="AY281" s="516"/>
      <c r="AZ281" s="516"/>
      <c r="BA281" s="516"/>
      <c r="BB281" s="516"/>
      <c r="BC281" s="516"/>
      <c r="BD281" s="516"/>
      <c r="BE281" s="516"/>
      <c r="BF281" s="516"/>
      <c r="BG281" s="516"/>
      <c r="BH281" s="516"/>
      <c r="BI281" s="516"/>
      <c r="BJ281" s="516"/>
      <c r="BK281" s="516"/>
      <c r="BL281" s="516"/>
      <c r="BM281" s="516"/>
      <c r="BN281" s="516"/>
      <c r="BO281" s="516"/>
      <c r="BP281" s="516"/>
      <c r="BQ281" s="516"/>
    </row>
    <row r="282" spans="1:69" x14ac:dyDescent="0.2">
      <c r="A282" s="516"/>
      <c r="B282" s="516"/>
      <c r="C282" s="516"/>
      <c r="D282" s="516"/>
      <c r="E282" s="516"/>
      <c r="F282" s="516"/>
      <c r="G282" s="516"/>
      <c r="H282" s="516"/>
      <c r="I282" s="516"/>
      <c r="J282" s="516"/>
      <c r="K282" s="516"/>
      <c r="L282" s="516"/>
      <c r="M282" s="516"/>
      <c r="N282" s="516"/>
      <c r="O282" s="516"/>
      <c r="P282" s="516"/>
      <c r="R282" s="516"/>
      <c r="S282" s="516"/>
      <c r="T282" s="516"/>
      <c r="U282" s="516"/>
      <c r="V282" s="516"/>
      <c r="W282" s="516"/>
      <c r="X282" s="516"/>
      <c r="Y282" s="516"/>
      <c r="Z282" s="516"/>
      <c r="AA282" s="516"/>
      <c r="AB282" s="516"/>
      <c r="AC282" s="516"/>
      <c r="AD282" s="516"/>
      <c r="AE282" s="516"/>
      <c r="AF282" s="516"/>
      <c r="AH282" s="516"/>
      <c r="AI282" s="516"/>
      <c r="AJ282" s="516"/>
      <c r="AK282" s="516"/>
      <c r="AL282" s="516"/>
      <c r="AM282" s="516"/>
      <c r="AN282" s="516"/>
      <c r="AO282" s="516"/>
      <c r="AP282" s="516"/>
      <c r="AQ282" s="516"/>
      <c r="AR282" s="516"/>
      <c r="AS282" s="516"/>
      <c r="AT282" s="516"/>
      <c r="AU282" s="516"/>
      <c r="AV282" s="516"/>
      <c r="AX282" s="516"/>
      <c r="AY282" s="516"/>
      <c r="AZ282" s="516"/>
      <c r="BA282" s="516"/>
      <c r="BB282" s="516"/>
      <c r="BC282" s="516"/>
      <c r="BD282" s="516"/>
      <c r="BE282" s="516"/>
      <c r="BF282" s="516"/>
      <c r="BG282" s="516"/>
      <c r="BH282" s="516"/>
      <c r="BI282" s="516"/>
      <c r="BJ282" s="516"/>
      <c r="BK282" s="516"/>
      <c r="BL282" s="516"/>
      <c r="BM282" s="516"/>
      <c r="BN282" s="516"/>
      <c r="BO282" s="516"/>
      <c r="BP282" s="516"/>
      <c r="BQ282" s="516"/>
    </row>
    <row r="283" spans="1:69" x14ac:dyDescent="0.2">
      <c r="A283" s="516"/>
      <c r="B283" s="516"/>
      <c r="C283" s="516"/>
      <c r="D283" s="516"/>
      <c r="E283" s="516"/>
      <c r="F283" s="516"/>
      <c r="G283" s="516"/>
      <c r="H283" s="516"/>
      <c r="I283" s="516"/>
      <c r="J283" s="516"/>
      <c r="K283" s="516"/>
      <c r="L283" s="516"/>
      <c r="M283" s="516"/>
      <c r="N283" s="516"/>
      <c r="O283" s="516"/>
      <c r="P283" s="516"/>
      <c r="R283" s="516"/>
      <c r="S283" s="516"/>
      <c r="T283" s="516"/>
      <c r="U283" s="516"/>
      <c r="V283" s="516"/>
      <c r="W283" s="516"/>
      <c r="X283" s="516"/>
      <c r="Y283" s="516"/>
      <c r="Z283" s="516"/>
      <c r="AA283" s="516"/>
      <c r="AB283" s="516"/>
      <c r="AC283" s="516"/>
      <c r="AD283" s="516"/>
      <c r="AE283" s="516"/>
      <c r="AF283" s="516"/>
      <c r="AH283" s="516"/>
      <c r="AI283" s="516"/>
      <c r="AJ283" s="516"/>
      <c r="AK283" s="516"/>
      <c r="AL283" s="516"/>
      <c r="AM283" s="516"/>
      <c r="AN283" s="516"/>
      <c r="AO283" s="516"/>
      <c r="AP283" s="516"/>
      <c r="AQ283" s="516"/>
      <c r="AR283" s="516"/>
      <c r="AS283" s="516"/>
      <c r="AT283" s="516"/>
      <c r="AU283" s="516"/>
      <c r="AV283" s="516"/>
      <c r="AX283" s="516"/>
      <c r="AY283" s="516"/>
      <c r="AZ283" s="516"/>
      <c r="BA283" s="516"/>
      <c r="BB283" s="516"/>
      <c r="BC283" s="516"/>
      <c r="BD283" s="516"/>
      <c r="BE283" s="516"/>
      <c r="BF283" s="516"/>
      <c r="BG283" s="516"/>
      <c r="BH283" s="516"/>
      <c r="BI283" s="516"/>
      <c r="BJ283" s="516"/>
      <c r="BK283" s="516"/>
      <c r="BL283" s="516"/>
      <c r="BM283" s="516"/>
      <c r="BN283" s="516"/>
      <c r="BO283" s="516"/>
      <c r="BP283" s="516"/>
      <c r="BQ283" s="516"/>
    </row>
    <row r="284" spans="1:69" x14ac:dyDescent="0.2">
      <c r="A284" s="516"/>
      <c r="B284" s="516"/>
      <c r="C284" s="516"/>
      <c r="D284" s="516"/>
      <c r="E284" s="516"/>
      <c r="F284" s="516"/>
      <c r="G284" s="516"/>
      <c r="H284" s="516"/>
      <c r="I284" s="516"/>
      <c r="J284" s="516"/>
      <c r="K284" s="516"/>
      <c r="L284" s="516"/>
      <c r="M284" s="516"/>
      <c r="N284" s="516"/>
      <c r="O284" s="516"/>
      <c r="P284" s="516"/>
      <c r="R284" s="516"/>
      <c r="S284" s="516"/>
      <c r="T284" s="516"/>
      <c r="U284" s="516"/>
      <c r="V284" s="516"/>
      <c r="W284" s="516"/>
      <c r="X284" s="516"/>
      <c r="Y284" s="516"/>
      <c r="Z284" s="516"/>
      <c r="AA284" s="516"/>
      <c r="AB284" s="516"/>
      <c r="AC284" s="516"/>
      <c r="AD284" s="516"/>
      <c r="AE284" s="516"/>
      <c r="AF284" s="516"/>
      <c r="AH284" s="516"/>
      <c r="AI284" s="516"/>
      <c r="AJ284" s="516"/>
      <c r="AK284" s="516"/>
      <c r="AL284" s="516"/>
      <c r="AM284" s="516"/>
      <c r="AN284" s="516"/>
      <c r="AO284" s="516"/>
      <c r="AP284" s="516"/>
      <c r="AQ284" s="516"/>
      <c r="AR284" s="516"/>
      <c r="AS284" s="516"/>
      <c r="AT284" s="516"/>
      <c r="AU284" s="516"/>
      <c r="AV284" s="516"/>
      <c r="AX284" s="516"/>
      <c r="AY284" s="516"/>
      <c r="AZ284" s="516"/>
      <c r="BA284" s="516"/>
      <c r="BB284" s="516"/>
      <c r="BC284" s="516"/>
      <c r="BD284" s="516"/>
      <c r="BE284" s="516"/>
      <c r="BF284" s="516"/>
      <c r="BG284" s="516"/>
      <c r="BH284" s="516"/>
      <c r="BI284" s="516"/>
      <c r="BJ284" s="516"/>
      <c r="BK284" s="516"/>
      <c r="BL284" s="516"/>
      <c r="BM284" s="516"/>
      <c r="BN284" s="516"/>
      <c r="BO284" s="516"/>
      <c r="BP284" s="516"/>
      <c r="BQ284" s="516"/>
    </row>
    <row r="285" spans="1:69" x14ac:dyDescent="0.2">
      <c r="A285" s="516"/>
      <c r="B285" s="516"/>
      <c r="C285" s="516"/>
      <c r="D285" s="516"/>
      <c r="E285" s="516"/>
      <c r="F285" s="516"/>
      <c r="G285" s="516"/>
      <c r="H285" s="516"/>
      <c r="I285" s="516"/>
      <c r="J285" s="516"/>
      <c r="K285" s="516"/>
      <c r="L285" s="516"/>
      <c r="M285" s="516"/>
      <c r="N285" s="516"/>
      <c r="O285" s="516"/>
      <c r="P285" s="516"/>
      <c r="R285" s="516"/>
      <c r="S285" s="516"/>
      <c r="T285" s="516"/>
      <c r="U285" s="516"/>
      <c r="V285" s="516"/>
      <c r="W285" s="516"/>
      <c r="X285" s="516"/>
      <c r="Y285" s="516"/>
      <c r="Z285" s="516"/>
      <c r="AA285" s="516"/>
      <c r="AB285" s="516"/>
      <c r="AC285" s="516"/>
      <c r="AD285" s="516"/>
      <c r="AE285" s="516"/>
      <c r="AF285" s="516"/>
      <c r="AH285" s="516"/>
      <c r="AI285" s="516"/>
      <c r="AJ285" s="516"/>
      <c r="AK285" s="516"/>
      <c r="AL285" s="516"/>
      <c r="AM285" s="516"/>
      <c r="AN285" s="516"/>
      <c r="AO285" s="516"/>
      <c r="AP285" s="516"/>
      <c r="AQ285" s="516"/>
      <c r="AR285" s="516"/>
      <c r="AS285" s="516"/>
      <c r="AT285" s="516"/>
      <c r="AU285" s="516"/>
      <c r="AV285" s="516"/>
      <c r="AX285" s="516"/>
      <c r="AY285" s="516"/>
      <c r="AZ285" s="516"/>
      <c r="BA285" s="516"/>
      <c r="BB285" s="516"/>
      <c r="BC285" s="516"/>
      <c r="BD285" s="516"/>
      <c r="BE285" s="516"/>
      <c r="BF285" s="516"/>
      <c r="BG285" s="516"/>
      <c r="BH285" s="516"/>
      <c r="BI285" s="516"/>
      <c r="BJ285" s="516"/>
      <c r="BK285" s="516"/>
      <c r="BL285" s="516"/>
      <c r="BM285" s="516"/>
      <c r="BN285" s="516"/>
      <c r="BO285" s="516"/>
      <c r="BP285" s="516"/>
      <c r="BQ285" s="516"/>
    </row>
  </sheetData>
  <mergeCells count="3022">
    <mergeCell ref="BB244:BE244"/>
    <mergeCell ref="AK242:AM242"/>
    <mergeCell ref="BC142:BQ142"/>
    <mergeCell ref="A256:P256"/>
    <mergeCell ref="R256:AF256"/>
    <mergeCell ref="AH256:AV256"/>
    <mergeCell ref="AX256:BQ256"/>
    <mergeCell ref="A257:F257"/>
    <mergeCell ref="G257:J257"/>
    <mergeCell ref="K257:M257"/>
    <mergeCell ref="N257:P257"/>
    <mergeCell ref="R257:T257"/>
    <mergeCell ref="U257:W257"/>
    <mergeCell ref="X257:Z257"/>
    <mergeCell ref="AA257:AC257"/>
    <mergeCell ref="AD257:AF257"/>
    <mergeCell ref="AH257:AJ257"/>
    <mergeCell ref="AK257:AM257"/>
    <mergeCell ref="AN257:AP257"/>
    <mergeCell ref="AQ257:AS257"/>
    <mergeCell ref="AT257:AV257"/>
    <mergeCell ref="AX257:BA257"/>
    <mergeCell ref="BB257:BE257"/>
    <mergeCell ref="BF257:BI257"/>
    <mergeCell ref="BJ257:BM257"/>
    <mergeCell ref="BN257:BQ257"/>
    <mergeCell ref="BN252:BQ252"/>
    <mergeCell ref="BJ253:BM253"/>
    <mergeCell ref="BN253:BQ253"/>
    <mergeCell ref="AH252:AJ252"/>
    <mergeCell ref="AK252:AM252"/>
    <mergeCell ref="AN252:AP252"/>
    <mergeCell ref="AQ248:AS248"/>
    <mergeCell ref="AT248:AV248"/>
    <mergeCell ref="AX252:BA252"/>
    <mergeCell ref="BB252:BE252"/>
    <mergeCell ref="G209:J209"/>
    <mergeCell ref="K209:M209"/>
    <mergeCell ref="N209:P209"/>
    <mergeCell ref="R209:T209"/>
    <mergeCell ref="U209:W209"/>
    <mergeCell ref="X209:Z209"/>
    <mergeCell ref="AA209:AC209"/>
    <mergeCell ref="AD209:AF209"/>
    <mergeCell ref="AH209:AJ209"/>
    <mergeCell ref="AK209:AM209"/>
    <mergeCell ref="AN209:AP209"/>
    <mergeCell ref="AQ209:AS209"/>
    <mergeCell ref="AT209:AV209"/>
    <mergeCell ref="AX209:BA209"/>
    <mergeCell ref="BB209:BE209"/>
    <mergeCell ref="AX248:BA248"/>
    <mergeCell ref="BB248:BE248"/>
    <mergeCell ref="AK246:AM246"/>
    <mergeCell ref="AN246:AP246"/>
    <mergeCell ref="AQ246:AS246"/>
    <mergeCell ref="AT246:AV246"/>
    <mergeCell ref="AX246:BA246"/>
    <mergeCell ref="BB246:BE246"/>
    <mergeCell ref="AK244:AM244"/>
    <mergeCell ref="AN244:AP244"/>
    <mergeCell ref="AQ244:AS244"/>
    <mergeCell ref="AT244:AV244"/>
    <mergeCell ref="AX244:BA244"/>
    <mergeCell ref="BF252:BI252"/>
    <mergeCell ref="BJ252:BM252"/>
    <mergeCell ref="AQ250:AS250"/>
    <mergeCell ref="AT250:AV250"/>
    <mergeCell ref="AX250:BA250"/>
    <mergeCell ref="BJ254:BM254"/>
    <mergeCell ref="BN254:BQ254"/>
    <mergeCell ref="G255:J255"/>
    <mergeCell ref="K255:M255"/>
    <mergeCell ref="N255:P255"/>
    <mergeCell ref="R255:T255"/>
    <mergeCell ref="U255:W255"/>
    <mergeCell ref="X255:Z255"/>
    <mergeCell ref="AA255:AC255"/>
    <mergeCell ref="AD255:AF255"/>
    <mergeCell ref="AH255:AJ255"/>
    <mergeCell ref="AK255:AM255"/>
    <mergeCell ref="AN255:AP255"/>
    <mergeCell ref="AQ255:AS255"/>
    <mergeCell ref="AT255:AV255"/>
    <mergeCell ref="AX255:BA255"/>
    <mergeCell ref="BB255:BE255"/>
    <mergeCell ref="BF255:BI255"/>
    <mergeCell ref="BJ255:BM255"/>
    <mergeCell ref="BN255:BQ255"/>
    <mergeCell ref="BB250:BE250"/>
    <mergeCell ref="BF250:BI250"/>
    <mergeCell ref="BJ250:BM250"/>
    <mergeCell ref="AQ252:AS252"/>
    <mergeCell ref="AT252:AV252"/>
    <mergeCell ref="AQ207:AS207"/>
    <mergeCell ref="AT207:AV207"/>
    <mergeCell ref="AX207:BA207"/>
    <mergeCell ref="BB207:BE207"/>
    <mergeCell ref="BF207:BI207"/>
    <mergeCell ref="BJ207:BM207"/>
    <mergeCell ref="BN207:BQ207"/>
    <mergeCell ref="A254:F254"/>
    <mergeCell ref="A255:F255"/>
    <mergeCell ref="G254:J254"/>
    <mergeCell ref="K254:M254"/>
    <mergeCell ref="N254:P254"/>
    <mergeCell ref="R254:T254"/>
    <mergeCell ref="U254:W254"/>
    <mergeCell ref="X254:Z254"/>
    <mergeCell ref="AA254:AC254"/>
    <mergeCell ref="AD254:AF254"/>
    <mergeCell ref="AH254:AJ254"/>
    <mergeCell ref="AK254:AM254"/>
    <mergeCell ref="AN254:AP254"/>
    <mergeCell ref="AQ254:AS254"/>
    <mergeCell ref="AT254:AV254"/>
    <mergeCell ref="AX254:BA254"/>
    <mergeCell ref="BB254:BE254"/>
    <mergeCell ref="N207:P207"/>
    <mergeCell ref="R207:T207"/>
    <mergeCell ref="U207:W207"/>
    <mergeCell ref="X207:Z207"/>
    <mergeCell ref="AA207:AC207"/>
    <mergeCell ref="AD207:AF207"/>
    <mergeCell ref="AH207:AJ207"/>
    <mergeCell ref="AK207:AM207"/>
    <mergeCell ref="AN207:AP207"/>
    <mergeCell ref="BJ259:BM259"/>
    <mergeCell ref="BN259:BQ259"/>
    <mergeCell ref="A206:F206"/>
    <mergeCell ref="A207:F207"/>
    <mergeCell ref="G206:J206"/>
    <mergeCell ref="K206:M206"/>
    <mergeCell ref="N206:P206"/>
    <mergeCell ref="R206:T206"/>
    <mergeCell ref="U206:W206"/>
    <mergeCell ref="X206:Z206"/>
    <mergeCell ref="AA206:AC206"/>
    <mergeCell ref="AD206:AF206"/>
    <mergeCell ref="AH206:AJ206"/>
    <mergeCell ref="AK206:AM206"/>
    <mergeCell ref="AN206:AP206"/>
    <mergeCell ref="AQ206:AS206"/>
    <mergeCell ref="AT206:AV206"/>
    <mergeCell ref="AX206:BA206"/>
    <mergeCell ref="BB206:BE206"/>
    <mergeCell ref="BF206:BI206"/>
    <mergeCell ref="BJ206:BM206"/>
    <mergeCell ref="BN206:BQ206"/>
    <mergeCell ref="G207:J207"/>
    <mergeCell ref="K207:M207"/>
    <mergeCell ref="BF211:BI211"/>
    <mergeCell ref="BJ211:BM211"/>
    <mergeCell ref="BN211:BQ211"/>
    <mergeCell ref="G259:J259"/>
    <mergeCell ref="K259:M259"/>
    <mergeCell ref="N259:P259"/>
    <mergeCell ref="R259:T259"/>
    <mergeCell ref="A208:P208"/>
    <mergeCell ref="R208:AF208"/>
    <mergeCell ref="A209:F209"/>
    <mergeCell ref="G211:J211"/>
    <mergeCell ref="K211:M211"/>
    <mergeCell ref="N211:P211"/>
    <mergeCell ref="R211:T211"/>
    <mergeCell ref="U211:W211"/>
    <mergeCell ref="X211:Z211"/>
    <mergeCell ref="AA211:AC211"/>
    <mergeCell ref="AD211:AF211"/>
    <mergeCell ref="AH211:AJ211"/>
    <mergeCell ref="AK211:AM211"/>
    <mergeCell ref="AN211:AP211"/>
    <mergeCell ref="AQ211:AS211"/>
    <mergeCell ref="AT211:AV211"/>
    <mergeCell ref="AX211:BA211"/>
    <mergeCell ref="AH208:AV208"/>
    <mergeCell ref="AX208:BQ208"/>
    <mergeCell ref="BN209:BQ209"/>
    <mergeCell ref="BF209:BI209"/>
    <mergeCell ref="BJ209:BM209"/>
    <mergeCell ref="BN284:BQ284"/>
    <mergeCell ref="A285:F285"/>
    <mergeCell ref="G285:J285"/>
    <mergeCell ref="K285:M285"/>
    <mergeCell ref="N285:P285"/>
    <mergeCell ref="R285:T285"/>
    <mergeCell ref="U285:W285"/>
    <mergeCell ref="X285:Z285"/>
    <mergeCell ref="AA285:AC285"/>
    <mergeCell ref="AD285:AF285"/>
    <mergeCell ref="AH285:AJ285"/>
    <mergeCell ref="AK285:AM285"/>
    <mergeCell ref="AN285:AP285"/>
    <mergeCell ref="AQ285:AS285"/>
    <mergeCell ref="AT285:AV285"/>
    <mergeCell ref="AX285:BA285"/>
    <mergeCell ref="BB285:BE285"/>
    <mergeCell ref="BF285:BI285"/>
    <mergeCell ref="BJ285:BM285"/>
    <mergeCell ref="BN285:BQ285"/>
    <mergeCell ref="AH284:AJ284"/>
    <mergeCell ref="AK284:AM284"/>
    <mergeCell ref="AN284:AP284"/>
    <mergeCell ref="AQ284:AS284"/>
    <mergeCell ref="AT284:AV284"/>
    <mergeCell ref="AX284:BA284"/>
    <mergeCell ref="BB284:BE284"/>
    <mergeCell ref="BF284:BI284"/>
    <mergeCell ref="BJ284:BM284"/>
    <mergeCell ref="A284:F284"/>
    <mergeCell ref="G284:J284"/>
    <mergeCell ref="K284:M284"/>
    <mergeCell ref="N284:P284"/>
    <mergeCell ref="R284:T284"/>
    <mergeCell ref="U284:W284"/>
    <mergeCell ref="X284:Z284"/>
    <mergeCell ref="AA284:AC284"/>
    <mergeCell ref="AD284:AF284"/>
    <mergeCell ref="BN282:BQ282"/>
    <mergeCell ref="A283:F283"/>
    <mergeCell ref="G283:J283"/>
    <mergeCell ref="K283:M283"/>
    <mergeCell ref="N283:P283"/>
    <mergeCell ref="R283:T283"/>
    <mergeCell ref="U283:W283"/>
    <mergeCell ref="X283:Z283"/>
    <mergeCell ref="AA283:AC283"/>
    <mergeCell ref="AD283:AF283"/>
    <mergeCell ref="AH283:AJ283"/>
    <mergeCell ref="AK283:AM283"/>
    <mergeCell ref="AN283:AP283"/>
    <mergeCell ref="AQ283:AS283"/>
    <mergeCell ref="AT283:AV283"/>
    <mergeCell ref="AX283:BA283"/>
    <mergeCell ref="BB283:BE283"/>
    <mergeCell ref="BF283:BI283"/>
    <mergeCell ref="BJ283:BM283"/>
    <mergeCell ref="BN283:BQ283"/>
    <mergeCell ref="AH282:AJ282"/>
    <mergeCell ref="AK282:AM282"/>
    <mergeCell ref="AN282:AP282"/>
    <mergeCell ref="AQ282:AS282"/>
    <mergeCell ref="AT282:AV282"/>
    <mergeCell ref="AX282:BA282"/>
    <mergeCell ref="BB282:BE282"/>
    <mergeCell ref="BF282:BI282"/>
    <mergeCell ref="BJ282:BM282"/>
    <mergeCell ref="A282:F282"/>
    <mergeCell ref="G282:J282"/>
    <mergeCell ref="K282:M282"/>
    <mergeCell ref="N282:P282"/>
    <mergeCell ref="R282:T282"/>
    <mergeCell ref="U282:W282"/>
    <mergeCell ref="X282:Z282"/>
    <mergeCell ref="AA282:AC282"/>
    <mergeCell ref="AD282:AF282"/>
    <mergeCell ref="BN280:BQ280"/>
    <mergeCell ref="A281:F281"/>
    <mergeCell ref="G281:J281"/>
    <mergeCell ref="K281:M281"/>
    <mergeCell ref="N281:P281"/>
    <mergeCell ref="R281:T281"/>
    <mergeCell ref="U281:W281"/>
    <mergeCell ref="X281:Z281"/>
    <mergeCell ref="AA281:AC281"/>
    <mergeCell ref="AD281:AF281"/>
    <mergeCell ref="AH281:AJ281"/>
    <mergeCell ref="AK281:AM281"/>
    <mergeCell ref="AN281:AP281"/>
    <mergeCell ref="AQ281:AS281"/>
    <mergeCell ref="AT281:AV281"/>
    <mergeCell ref="AX281:BA281"/>
    <mergeCell ref="BB281:BE281"/>
    <mergeCell ref="BF281:BI281"/>
    <mergeCell ref="BJ281:BM281"/>
    <mergeCell ref="BN281:BQ281"/>
    <mergeCell ref="AH280:AJ280"/>
    <mergeCell ref="AK280:AM280"/>
    <mergeCell ref="AN280:AP280"/>
    <mergeCell ref="AQ280:AS280"/>
    <mergeCell ref="AT280:AV280"/>
    <mergeCell ref="AX280:BA280"/>
    <mergeCell ref="BB280:BE280"/>
    <mergeCell ref="BF280:BI280"/>
    <mergeCell ref="BJ280:BM280"/>
    <mergeCell ref="A280:F280"/>
    <mergeCell ref="G280:J280"/>
    <mergeCell ref="K280:M280"/>
    <mergeCell ref="N280:P280"/>
    <mergeCell ref="R280:T280"/>
    <mergeCell ref="U280:W280"/>
    <mergeCell ref="X280:Z280"/>
    <mergeCell ref="AA280:AC280"/>
    <mergeCell ref="AD280:AF280"/>
    <mergeCell ref="BN278:BQ278"/>
    <mergeCell ref="A279:F279"/>
    <mergeCell ref="G279:J279"/>
    <mergeCell ref="K279:M279"/>
    <mergeCell ref="N279:P279"/>
    <mergeCell ref="R279:T279"/>
    <mergeCell ref="U279:W279"/>
    <mergeCell ref="X279:Z279"/>
    <mergeCell ref="AA279:AC279"/>
    <mergeCell ref="AD279:AF279"/>
    <mergeCell ref="AH279:AJ279"/>
    <mergeCell ref="AK279:AM279"/>
    <mergeCell ref="AN279:AP279"/>
    <mergeCell ref="AQ279:AS279"/>
    <mergeCell ref="AT279:AV279"/>
    <mergeCell ref="AX279:BA279"/>
    <mergeCell ref="BB279:BE279"/>
    <mergeCell ref="BF279:BI279"/>
    <mergeCell ref="BJ279:BM279"/>
    <mergeCell ref="BN279:BQ279"/>
    <mergeCell ref="AH278:AJ278"/>
    <mergeCell ref="AK278:AM278"/>
    <mergeCell ref="AN278:AP278"/>
    <mergeCell ref="AQ278:AS278"/>
    <mergeCell ref="AT278:AV278"/>
    <mergeCell ref="AX278:BA278"/>
    <mergeCell ref="BB278:BE278"/>
    <mergeCell ref="BF278:BI278"/>
    <mergeCell ref="BJ278:BM278"/>
    <mergeCell ref="A278:F278"/>
    <mergeCell ref="G278:J278"/>
    <mergeCell ref="K278:M278"/>
    <mergeCell ref="N278:P278"/>
    <mergeCell ref="R278:T278"/>
    <mergeCell ref="U278:W278"/>
    <mergeCell ref="X278:Z278"/>
    <mergeCell ref="AA278:AC278"/>
    <mergeCell ref="AD278:AF278"/>
    <mergeCell ref="BN276:BQ276"/>
    <mergeCell ref="A277:F277"/>
    <mergeCell ref="G277:J277"/>
    <mergeCell ref="K277:M277"/>
    <mergeCell ref="N277:P277"/>
    <mergeCell ref="R277:T277"/>
    <mergeCell ref="U277:W277"/>
    <mergeCell ref="X277:Z277"/>
    <mergeCell ref="AA277:AC277"/>
    <mergeCell ref="AD277:AF277"/>
    <mergeCell ref="AH277:AJ277"/>
    <mergeCell ref="AK277:AM277"/>
    <mergeCell ref="AN277:AP277"/>
    <mergeCell ref="AQ277:AS277"/>
    <mergeCell ref="AT277:AV277"/>
    <mergeCell ref="AX277:BA277"/>
    <mergeCell ref="BB277:BE277"/>
    <mergeCell ref="BF277:BI277"/>
    <mergeCell ref="BJ277:BM277"/>
    <mergeCell ref="BN277:BQ277"/>
    <mergeCell ref="AH276:AJ276"/>
    <mergeCell ref="AK276:AM276"/>
    <mergeCell ref="AN276:AP276"/>
    <mergeCell ref="AQ276:AS276"/>
    <mergeCell ref="AT276:AV276"/>
    <mergeCell ref="AX276:BA276"/>
    <mergeCell ref="BB276:BE276"/>
    <mergeCell ref="BF276:BI276"/>
    <mergeCell ref="BJ276:BM276"/>
    <mergeCell ref="A276:F276"/>
    <mergeCell ref="G276:J276"/>
    <mergeCell ref="K276:M276"/>
    <mergeCell ref="N276:P276"/>
    <mergeCell ref="R276:T276"/>
    <mergeCell ref="U276:W276"/>
    <mergeCell ref="X276:Z276"/>
    <mergeCell ref="AA276:AC276"/>
    <mergeCell ref="AD276:AF276"/>
    <mergeCell ref="BN274:BQ274"/>
    <mergeCell ref="A275:F275"/>
    <mergeCell ref="G275:J275"/>
    <mergeCell ref="K275:M275"/>
    <mergeCell ref="N275:P275"/>
    <mergeCell ref="R275:T275"/>
    <mergeCell ref="U275:W275"/>
    <mergeCell ref="X275:Z275"/>
    <mergeCell ref="AA275:AC275"/>
    <mergeCell ref="AD275:AF275"/>
    <mergeCell ref="AH275:AJ275"/>
    <mergeCell ref="AK275:AM275"/>
    <mergeCell ref="AN275:AP275"/>
    <mergeCell ref="AQ275:AS275"/>
    <mergeCell ref="AT275:AV275"/>
    <mergeCell ref="AX275:BA275"/>
    <mergeCell ref="BB275:BE275"/>
    <mergeCell ref="BF275:BI275"/>
    <mergeCell ref="BJ275:BM275"/>
    <mergeCell ref="BN275:BQ275"/>
    <mergeCell ref="AH274:AJ274"/>
    <mergeCell ref="AK274:AM274"/>
    <mergeCell ref="AN274:AP274"/>
    <mergeCell ref="AQ274:AS274"/>
    <mergeCell ref="AT274:AV274"/>
    <mergeCell ref="AX274:BA274"/>
    <mergeCell ref="BB274:BE274"/>
    <mergeCell ref="BF274:BI274"/>
    <mergeCell ref="BJ274:BM274"/>
    <mergeCell ref="A274:F274"/>
    <mergeCell ref="G274:J274"/>
    <mergeCell ref="K274:M274"/>
    <mergeCell ref="N274:P274"/>
    <mergeCell ref="R274:T274"/>
    <mergeCell ref="U274:W274"/>
    <mergeCell ref="X274:Z274"/>
    <mergeCell ref="AA274:AC274"/>
    <mergeCell ref="AD274:AF274"/>
    <mergeCell ref="BN272:BQ272"/>
    <mergeCell ref="A273:F273"/>
    <mergeCell ref="G273:J273"/>
    <mergeCell ref="K273:M273"/>
    <mergeCell ref="N273:P273"/>
    <mergeCell ref="R273:T273"/>
    <mergeCell ref="U273:W273"/>
    <mergeCell ref="X273:Z273"/>
    <mergeCell ref="AA273:AC273"/>
    <mergeCell ref="AD273:AF273"/>
    <mergeCell ref="AH273:AJ273"/>
    <mergeCell ref="AK273:AM273"/>
    <mergeCell ref="AN273:AP273"/>
    <mergeCell ref="AQ273:AS273"/>
    <mergeCell ref="AT273:AV273"/>
    <mergeCell ref="AX273:BA273"/>
    <mergeCell ref="BB273:BE273"/>
    <mergeCell ref="BF273:BI273"/>
    <mergeCell ref="BJ273:BM273"/>
    <mergeCell ref="BN273:BQ273"/>
    <mergeCell ref="AH272:AJ272"/>
    <mergeCell ref="AK272:AM272"/>
    <mergeCell ref="AN272:AP272"/>
    <mergeCell ref="AQ272:AS272"/>
    <mergeCell ref="AT272:AV272"/>
    <mergeCell ref="AX272:BA272"/>
    <mergeCell ref="BB272:BE272"/>
    <mergeCell ref="BF272:BI272"/>
    <mergeCell ref="BJ272:BM272"/>
    <mergeCell ref="A272:F272"/>
    <mergeCell ref="G272:J272"/>
    <mergeCell ref="K272:M272"/>
    <mergeCell ref="N272:P272"/>
    <mergeCell ref="R272:T272"/>
    <mergeCell ref="U272:W272"/>
    <mergeCell ref="X272:Z272"/>
    <mergeCell ref="AA272:AC272"/>
    <mergeCell ref="AD272:AF272"/>
    <mergeCell ref="BN270:BQ270"/>
    <mergeCell ref="A271:F271"/>
    <mergeCell ref="G271:J271"/>
    <mergeCell ref="K271:M271"/>
    <mergeCell ref="N271:P271"/>
    <mergeCell ref="R271:T271"/>
    <mergeCell ref="U271:W271"/>
    <mergeCell ref="X271:Z271"/>
    <mergeCell ref="AA271:AC271"/>
    <mergeCell ref="AD271:AF271"/>
    <mergeCell ref="AH271:AJ271"/>
    <mergeCell ref="AK271:AM271"/>
    <mergeCell ref="AN271:AP271"/>
    <mergeCell ref="AQ271:AS271"/>
    <mergeCell ref="AT271:AV271"/>
    <mergeCell ref="AX271:BA271"/>
    <mergeCell ref="BB271:BE271"/>
    <mergeCell ref="BF271:BI271"/>
    <mergeCell ref="BJ271:BM271"/>
    <mergeCell ref="BN271:BQ271"/>
    <mergeCell ref="AH270:AJ270"/>
    <mergeCell ref="AK270:AM270"/>
    <mergeCell ref="AN270:AP270"/>
    <mergeCell ref="AQ270:AS270"/>
    <mergeCell ref="AT270:AV270"/>
    <mergeCell ref="AX270:BA270"/>
    <mergeCell ref="BB270:BE270"/>
    <mergeCell ref="BF270:BI270"/>
    <mergeCell ref="BJ270:BM270"/>
    <mergeCell ref="A270:F270"/>
    <mergeCell ref="G270:J270"/>
    <mergeCell ref="K270:M270"/>
    <mergeCell ref="N270:P270"/>
    <mergeCell ref="R270:T270"/>
    <mergeCell ref="U270:W270"/>
    <mergeCell ref="X270:Z270"/>
    <mergeCell ref="AA270:AC270"/>
    <mergeCell ref="AD270:AF270"/>
    <mergeCell ref="BN268:BQ268"/>
    <mergeCell ref="A269:F269"/>
    <mergeCell ref="G269:J269"/>
    <mergeCell ref="K269:M269"/>
    <mergeCell ref="N269:P269"/>
    <mergeCell ref="R269:T269"/>
    <mergeCell ref="U269:W269"/>
    <mergeCell ref="X269:Z269"/>
    <mergeCell ref="AA269:AC269"/>
    <mergeCell ref="AD269:AF269"/>
    <mergeCell ref="AH269:AJ269"/>
    <mergeCell ref="AK269:AM269"/>
    <mergeCell ref="AN269:AP269"/>
    <mergeCell ref="AQ269:AS269"/>
    <mergeCell ref="AT269:AV269"/>
    <mergeCell ref="AX269:BA269"/>
    <mergeCell ref="BB269:BE269"/>
    <mergeCell ref="BF269:BI269"/>
    <mergeCell ref="BJ269:BM269"/>
    <mergeCell ref="BN269:BQ269"/>
    <mergeCell ref="AH268:AJ268"/>
    <mergeCell ref="AK268:AM268"/>
    <mergeCell ref="AN268:AP268"/>
    <mergeCell ref="AQ268:AS268"/>
    <mergeCell ref="AT268:AV268"/>
    <mergeCell ref="AX268:BA268"/>
    <mergeCell ref="BB268:BE268"/>
    <mergeCell ref="BF268:BI268"/>
    <mergeCell ref="BJ268:BM268"/>
    <mergeCell ref="A268:F268"/>
    <mergeCell ref="G268:J268"/>
    <mergeCell ref="K268:M268"/>
    <mergeCell ref="N268:P268"/>
    <mergeCell ref="R268:T268"/>
    <mergeCell ref="U268:W268"/>
    <mergeCell ref="X268:Z268"/>
    <mergeCell ref="AA268:AC268"/>
    <mergeCell ref="AD268:AF268"/>
    <mergeCell ref="BN266:BQ266"/>
    <mergeCell ref="A267:F267"/>
    <mergeCell ref="G267:J267"/>
    <mergeCell ref="K267:M267"/>
    <mergeCell ref="N267:P267"/>
    <mergeCell ref="R267:T267"/>
    <mergeCell ref="U267:W267"/>
    <mergeCell ref="X267:Z267"/>
    <mergeCell ref="AA267:AC267"/>
    <mergeCell ref="AD267:AF267"/>
    <mergeCell ref="AH267:AJ267"/>
    <mergeCell ref="AK267:AM267"/>
    <mergeCell ref="AN267:AP267"/>
    <mergeCell ref="AQ267:AS267"/>
    <mergeCell ref="AT267:AV267"/>
    <mergeCell ref="AX267:BA267"/>
    <mergeCell ref="BB267:BE267"/>
    <mergeCell ref="BF267:BI267"/>
    <mergeCell ref="BJ267:BM267"/>
    <mergeCell ref="BN267:BQ267"/>
    <mergeCell ref="AH266:AJ266"/>
    <mergeCell ref="AK266:AM266"/>
    <mergeCell ref="AN266:AP266"/>
    <mergeCell ref="AQ266:AS266"/>
    <mergeCell ref="AT266:AV266"/>
    <mergeCell ref="AX266:BA266"/>
    <mergeCell ref="BB266:BE266"/>
    <mergeCell ref="BF266:BI266"/>
    <mergeCell ref="BJ266:BM266"/>
    <mergeCell ref="A266:F266"/>
    <mergeCell ref="G266:J266"/>
    <mergeCell ref="K266:M266"/>
    <mergeCell ref="N266:P266"/>
    <mergeCell ref="R266:T266"/>
    <mergeCell ref="U266:W266"/>
    <mergeCell ref="X266:Z266"/>
    <mergeCell ref="AA266:AC266"/>
    <mergeCell ref="AD266:AF266"/>
    <mergeCell ref="BN264:BQ264"/>
    <mergeCell ref="A265:F265"/>
    <mergeCell ref="G265:J265"/>
    <mergeCell ref="K265:M265"/>
    <mergeCell ref="N265:P265"/>
    <mergeCell ref="R265:T265"/>
    <mergeCell ref="U265:W265"/>
    <mergeCell ref="X265:Z265"/>
    <mergeCell ref="AA265:AC265"/>
    <mergeCell ref="AD265:AF265"/>
    <mergeCell ref="AH265:AJ265"/>
    <mergeCell ref="AK265:AM265"/>
    <mergeCell ref="AN265:AP265"/>
    <mergeCell ref="AQ265:AS265"/>
    <mergeCell ref="AT265:AV265"/>
    <mergeCell ref="AX265:BA265"/>
    <mergeCell ref="BB265:BE265"/>
    <mergeCell ref="BF265:BI265"/>
    <mergeCell ref="BJ265:BM265"/>
    <mergeCell ref="BN265:BQ265"/>
    <mergeCell ref="AH264:AJ264"/>
    <mergeCell ref="AK264:AM264"/>
    <mergeCell ref="AN264:AP264"/>
    <mergeCell ref="AQ264:AS264"/>
    <mergeCell ref="AT264:AV264"/>
    <mergeCell ref="AX264:BA264"/>
    <mergeCell ref="BB264:BE264"/>
    <mergeCell ref="BF264:BI264"/>
    <mergeCell ref="BJ264:BM264"/>
    <mergeCell ref="A264:F264"/>
    <mergeCell ref="G264:J264"/>
    <mergeCell ref="K264:M264"/>
    <mergeCell ref="N264:P264"/>
    <mergeCell ref="R264:T264"/>
    <mergeCell ref="U264:W264"/>
    <mergeCell ref="X264:Z264"/>
    <mergeCell ref="AA264:AC264"/>
    <mergeCell ref="AD264:AF264"/>
    <mergeCell ref="BN262:BQ262"/>
    <mergeCell ref="A263:F263"/>
    <mergeCell ref="G263:J263"/>
    <mergeCell ref="K263:M263"/>
    <mergeCell ref="N263:P263"/>
    <mergeCell ref="R263:T263"/>
    <mergeCell ref="U263:W263"/>
    <mergeCell ref="X263:Z263"/>
    <mergeCell ref="AA263:AC263"/>
    <mergeCell ref="AD263:AF263"/>
    <mergeCell ref="AH263:AJ263"/>
    <mergeCell ref="AK263:AM263"/>
    <mergeCell ref="AN263:AP263"/>
    <mergeCell ref="AQ263:AS263"/>
    <mergeCell ref="AT263:AV263"/>
    <mergeCell ref="AX263:BA263"/>
    <mergeCell ref="BB263:BE263"/>
    <mergeCell ref="BF263:BI263"/>
    <mergeCell ref="BJ263:BM263"/>
    <mergeCell ref="BN263:BQ263"/>
    <mergeCell ref="AH262:AJ262"/>
    <mergeCell ref="AK262:AM262"/>
    <mergeCell ref="AN262:AP262"/>
    <mergeCell ref="AQ262:AS262"/>
    <mergeCell ref="AT262:AV262"/>
    <mergeCell ref="AX262:BA262"/>
    <mergeCell ref="BB262:BE262"/>
    <mergeCell ref="BF262:BI262"/>
    <mergeCell ref="BJ262:BM262"/>
    <mergeCell ref="A262:F262"/>
    <mergeCell ref="G262:J262"/>
    <mergeCell ref="K262:M262"/>
    <mergeCell ref="N262:P262"/>
    <mergeCell ref="R262:T262"/>
    <mergeCell ref="U262:W262"/>
    <mergeCell ref="X262:Z262"/>
    <mergeCell ref="AA262:AC262"/>
    <mergeCell ref="AD262:AF262"/>
    <mergeCell ref="BN260:BQ260"/>
    <mergeCell ref="A261:F261"/>
    <mergeCell ref="G261:J261"/>
    <mergeCell ref="K261:M261"/>
    <mergeCell ref="N261:P261"/>
    <mergeCell ref="R261:T261"/>
    <mergeCell ref="U261:W261"/>
    <mergeCell ref="X261:Z261"/>
    <mergeCell ref="AA261:AC261"/>
    <mergeCell ref="AD261:AF261"/>
    <mergeCell ref="AH261:AJ261"/>
    <mergeCell ref="AK261:AM261"/>
    <mergeCell ref="AN261:AP261"/>
    <mergeCell ref="AQ261:AS261"/>
    <mergeCell ref="AT261:AV261"/>
    <mergeCell ref="AX261:BA261"/>
    <mergeCell ref="BB261:BE261"/>
    <mergeCell ref="BF261:BI261"/>
    <mergeCell ref="BJ261:BM261"/>
    <mergeCell ref="BN261:BQ261"/>
    <mergeCell ref="AH260:AJ260"/>
    <mergeCell ref="AK260:AM260"/>
    <mergeCell ref="AN260:AP260"/>
    <mergeCell ref="AQ260:AS260"/>
    <mergeCell ref="AT260:AV260"/>
    <mergeCell ref="AX260:BA260"/>
    <mergeCell ref="BB260:BE260"/>
    <mergeCell ref="BF260:BI260"/>
    <mergeCell ref="BJ260:BM260"/>
    <mergeCell ref="A260:F260"/>
    <mergeCell ref="G260:J260"/>
    <mergeCell ref="K260:M260"/>
    <mergeCell ref="N260:P260"/>
    <mergeCell ref="R260:T260"/>
    <mergeCell ref="U260:W260"/>
    <mergeCell ref="X260:Z260"/>
    <mergeCell ref="AA260:AC260"/>
    <mergeCell ref="AD260:AF260"/>
    <mergeCell ref="BN258:BQ258"/>
    <mergeCell ref="A259:F259"/>
    <mergeCell ref="AH258:AJ258"/>
    <mergeCell ref="AK258:AM258"/>
    <mergeCell ref="AN258:AP258"/>
    <mergeCell ref="AQ258:AS258"/>
    <mergeCell ref="AT258:AV258"/>
    <mergeCell ref="AX258:BA258"/>
    <mergeCell ref="BB258:BE258"/>
    <mergeCell ref="BF258:BI258"/>
    <mergeCell ref="BJ258:BM258"/>
    <mergeCell ref="A258:F258"/>
    <mergeCell ref="G258:J258"/>
    <mergeCell ref="K258:M258"/>
    <mergeCell ref="N258:P258"/>
    <mergeCell ref="R258:T258"/>
    <mergeCell ref="U258:W258"/>
    <mergeCell ref="X258:Z258"/>
    <mergeCell ref="AA258:AC258"/>
    <mergeCell ref="AD258:AF258"/>
    <mergeCell ref="U259:W259"/>
    <mergeCell ref="X259:Z259"/>
    <mergeCell ref="AA259:AC259"/>
    <mergeCell ref="AD259:AF259"/>
    <mergeCell ref="AH259:AJ259"/>
    <mergeCell ref="AK259:AM259"/>
    <mergeCell ref="AN259:AP259"/>
    <mergeCell ref="AQ259:AS259"/>
    <mergeCell ref="AT259:AV259"/>
    <mergeCell ref="AX259:BA259"/>
    <mergeCell ref="BB259:BE259"/>
    <mergeCell ref="BF259:BI259"/>
    <mergeCell ref="A253:F253"/>
    <mergeCell ref="G253:J253"/>
    <mergeCell ref="K253:M253"/>
    <mergeCell ref="N253:P253"/>
    <mergeCell ref="R253:T253"/>
    <mergeCell ref="U253:W253"/>
    <mergeCell ref="X253:Z253"/>
    <mergeCell ref="AA253:AC253"/>
    <mergeCell ref="AD253:AF253"/>
    <mergeCell ref="AH253:AJ253"/>
    <mergeCell ref="AK253:AM253"/>
    <mergeCell ref="AN253:AP253"/>
    <mergeCell ref="AQ253:AS253"/>
    <mergeCell ref="AT253:AV253"/>
    <mergeCell ref="AX253:BA253"/>
    <mergeCell ref="BB253:BE253"/>
    <mergeCell ref="BF253:BI253"/>
    <mergeCell ref="BF254:BI254"/>
    <mergeCell ref="A252:F252"/>
    <mergeCell ref="G252:J252"/>
    <mergeCell ref="K252:M252"/>
    <mergeCell ref="N252:P252"/>
    <mergeCell ref="R252:T252"/>
    <mergeCell ref="U252:W252"/>
    <mergeCell ref="X252:Z252"/>
    <mergeCell ref="AA252:AC252"/>
    <mergeCell ref="AD252:AF252"/>
    <mergeCell ref="BN250:BQ250"/>
    <mergeCell ref="A251:F251"/>
    <mergeCell ref="G251:J251"/>
    <mergeCell ref="K251:M251"/>
    <mergeCell ref="N251:P251"/>
    <mergeCell ref="R251:T251"/>
    <mergeCell ref="U251:W251"/>
    <mergeCell ref="X251:Z251"/>
    <mergeCell ref="AA251:AC251"/>
    <mergeCell ref="AD251:AF251"/>
    <mergeCell ref="AH251:AJ251"/>
    <mergeCell ref="AK251:AM251"/>
    <mergeCell ref="AN251:AP251"/>
    <mergeCell ref="AQ251:AS251"/>
    <mergeCell ref="AT251:AV251"/>
    <mergeCell ref="AX251:BA251"/>
    <mergeCell ref="BB251:BE251"/>
    <mergeCell ref="BF251:BI251"/>
    <mergeCell ref="BJ251:BM251"/>
    <mergeCell ref="BN251:BQ251"/>
    <mergeCell ref="AH250:AJ250"/>
    <mergeCell ref="AK250:AM250"/>
    <mergeCell ref="AN250:AP250"/>
    <mergeCell ref="A250:F250"/>
    <mergeCell ref="G250:J250"/>
    <mergeCell ref="K250:M250"/>
    <mergeCell ref="N250:P250"/>
    <mergeCell ref="R250:T250"/>
    <mergeCell ref="U250:W250"/>
    <mergeCell ref="X250:Z250"/>
    <mergeCell ref="AA250:AC250"/>
    <mergeCell ref="AD250:AF250"/>
    <mergeCell ref="BN248:BQ248"/>
    <mergeCell ref="A249:F249"/>
    <mergeCell ref="G249:J249"/>
    <mergeCell ref="K249:M249"/>
    <mergeCell ref="N249:P249"/>
    <mergeCell ref="R249:T249"/>
    <mergeCell ref="U249:W249"/>
    <mergeCell ref="X249:Z249"/>
    <mergeCell ref="AA249:AC249"/>
    <mergeCell ref="AD249:AF249"/>
    <mergeCell ref="AH249:AJ249"/>
    <mergeCell ref="AK249:AM249"/>
    <mergeCell ref="AN249:AP249"/>
    <mergeCell ref="AQ249:AS249"/>
    <mergeCell ref="AT249:AV249"/>
    <mergeCell ref="AX249:BA249"/>
    <mergeCell ref="BB249:BE249"/>
    <mergeCell ref="BF249:BI249"/>
    <mergeCell ref="BJ249:BM249"/>
    <mergeCell ref="BN249:BQ249"/>
    <mergeCell ref="AH248:AJ248"/>
    <mergeCell ref="AK248:AM248"/>
    <mergeCell ref="AN248:AP248"/>
    <mergeCell ref="BF248:BI248"/>
    <mergeCell ref="BJ248:BM248"/>
    <mergeCell ref="A248:F248"/>
    <mergeCell ref="G248:J248"/>
    <mergeCell ref="K248:M248"/>
    <mergeCell ref="N248:P248"/>
    <mergeCell ref="R248:T248"/>
    <mergeCell ref="U248:W248"/>
    <mergeCell ref="X248:Z248"/>
    <mergeCell ref="AA248:AC248"/>
    <mergeCell ref="AD248:AF248"/>
    <mergeCell ref="BN246:BQ246"/>
    <mergeCell ref="A247:F247"/>
    <mergeCell ref="G247:J247"/>
    <mergeCell ref="K247:M247"/>
    <mergeCell ref="N247:P247"/>
    <mergeCell ref="R247:T247"/>
    <mergeCell ref="U247:W247"/>
    <mergeCell ref="X247:Z247"/>
    <mergeCell ref="AA247:AC247"/>
    <mergeCell ref="AD247:AF247"/>
    <mergeCell ref="AH247:AJ247"/>
    <mergeCell ref="AK247:AM247"/>
    <mergeCell ref="AN247:AP247"/>
    <mergeCell ref="AQ247:AS247"/>
    <mergeCell ref="AT247:AV247"/>
    <mergeCell ref="AX247:BA247"/>
    <mergeCell ref="BB247:BE247"/>
    <mergeCell ref="BF247:BI247"/>
    <mergeCell ref="BJ247:BM247"/>
    <mergeCell ref="BN247:BQ247"/>
    <mergeCell ref="AH246:AJ246"/>
    <mergeCell ref="BF246:BI246"/>
    <mergeCell ref="BJ246:BM246"/>
    <mergeCell ref="A246:F246"/>
    <mergeCell ref="G246:J246"/>
    <mergeCell ref="K246:M246"/>
    <mergeCell ref="N246:P246"/>
    <mergeCell ref="R246:T246"/>
    <mergeCell ref="U246:W246"/>
    <mergeCell ref="X246:Z246"/>
    <mergeCell ref="AA246:AC246"/>
    <mergeCell ref="AD246:AF246"/>
    <mergeCell ref="BN244:BQ244"/>
    <mergeCell ref="A245:F245"/>
    <mergeCell ref="G245:J245"/>
    <mergeCell ref="K245:M245"/>
    <mergeCell ref="N245:P245"/>
    <mergeCell ref="R245:T245"/>
    <mergeCell ref="U245:W245"/>
    <mergeCell ref="X245:Z245"/>
    <mergeCell ref="AA245:AC245"/>
    <mergeCell ref="AD245:AF245"/>
    <mergeCell ref="AH245:AJ245"/>
    <mergeCell ref="AK245:AM245"/>
    <mergeCell ref="AN245:AP245"/>
    <mergeCell ref="AQ245:AS245"/>
    <mergeCell ref="AT245:AV245"/>
    <mergeCell ref="AX245:BA245"/>
    <mergeCell ref="BB245:BE245"/>
    <mergeCell ref="BF245:BI245"/>
    <mergeCell ref="BJ245:BM245"/>
    <mergeCell ref="BN245:BQ245"/>
    <mergeCell ref="AH244:AJ244"/>
    <mergeCell ref="BF244:BI244"/>
    <mergeCell ref="BJ244:BM244"/>
    <mergeCell ref="A244:F244"/>
    <mergeCell ref="G244:J244"/>
    <mergeCell ref="K244:M244"/>
    <mergeCell ref="N244:P244"/>
    <mergeCell ref="R244:T244"/>
    <mergeCell ref="U244:W244"/>
    <mergeCell ref="X244:Z244"/>
    <mergeCell ref="AA244:AC244"/>
    <mergeCell ref="AD244:AF244"/>
    <mergeCell ref="BN242:BQ242"/>
    <mergeCell ref="A243:F243"/>
    <mergeCell ref="G243:J243"/>
    <mergeCell ref="K243:M243"/>
    <mergeCell ref="N243:P243"/>
    <mergeCell ref="R243:T243"/>
    <mergeCell ref="U243:W243"/>
    <mergeCell ref="X243:Z243"/>
    <mergeCell ref="AA243:AC243"/>
    <mergeCell ref="AD243:AF243"/>
    <mergeCell ref="AH243:AJ243"/>
    <mergeCell ref="AK243:AM243"/>
    <mergeCell ref="AN243:AP243"/>
    <mergeCell ref="AQ243:AS243"/>
    <mergeCell ref="AT243:AV243"/>
    <mergeCell ref="AX243:BA243"/>
    <mergeCell ref="BB243:BE243"/>
    <mergeCell ref="BF243:BI243"/>
    <mergeCell ref="BJ243:BM243"/>
    <mergeCell ref="BN243:BQ243"/>
    <mergeCell ref="AH242:AJ242"/>
    <mergeCell ref="AN242:AP242"/>
    <mergeCell ref="AQ242:AS242"/>
    <mergeCell ref="AT242:AV242"/>
    <mergeCell ref="AX242:BA242"/>
    <mergeCell ref="BB242:BE242"/>
    <mergeCell ref="BF242:BI242"/>
    <mergeCell ref="BJ242:BM242"/>
    <mergeCell ref="A242:F242"/>
    <mergeCell ref="G242:J242"/>
    <mergeCell ref="K242:M242"/>
    <mergeCell ref="N242:P242"/>
    <mergeCell ref="R242:T242"/>
    <mergeCell ref="U242:W242"/>
    <mergeCell ref="X242:Z242"/>
    <mergeCell ref="AA242:AC242"/>
    <mergeCell ref="AD242:AF242"/>
    <mergeCell ref="BN240:BQ240"/>
    <mergeCell ref="A241:F241"/>
    <mergeCell ref="G241:J241"/>
    <mergeCell ref="K241:M241"/>
    <mergeCell ref="N241:P241"/>
    <mergeCell ref="R241:T241"/>
    <mergeCell ref="U241:W241"/>
    <mergeCell ref="X241:Z241"/>
    <mergeCell ref="AA241:AC241"/>
    <mergeCell ref="AD241:AF241"/>
    <mergeCell ref="AH241:AJ241"/>
    <mergeCell ref="AK241:AM241"/>
    <mergeCell ref="AN241:AP241"/>
    <mergeCell ref="AQ241:AS241"/>
    <mergeCell ref="AT241:AV241"/>
    <mergeCell ref="AX241:BA241"/>
    <mergeCell ref="BB241:BE241"/>
    <mergeCell ref="BF241:BI241"/>
    <mergeCell ref="BJ241:BM241"/>
    <mergeCell ref="BN241:BQ241"/>
    <mergeCell ref="AH240:AJ240"/>
    <mergeCell ref="AK240:AM240"/>
    <mergeCell ref="AN240:AP240"/>
    <mergeCell ref="AQ240:AS240"/>
    <mergeCell ref="AT240:AV240"/>
    <mergeCell ref="AX240:BA240"/>
    <mergeCell ref="BB240:BE240"/>
    <mergeCell ref="BF240:BI240"/>
    <mergeCell ref="BJ240:BM240"/>
    <mergeCell ref="A240:F240"/>
    <mergeCell ref="G240:J240"/>
    <mergeCell ref="K240:M240"/>
    <mergeCell ref="N240:P240"/>
    <mergeCell ref="R240:T240"/>
    <mergeCell ref="U240:W240"/>
    <mergeCell ref="X240:Z240"/>
    <mergeCell ref="AA240:AC240"/>
    <mergeCell ref="AD240:AF240"/>
    <mergeCell ref="BN238:BQ238"/>
    <mergeCell ref="A239:F239"/>
    <mergeCell ref="G239:J239"/>
    <mergeCell ref="K239:M239"/>
    <mergeCell ref="N239:P239"/>
    <mergeCell ref="R239:T239"/>
    <mergeCell ref="U239:W239"/>
    <mergeCell ref="X239:Z239"/>
    <mergeCell ref="AA239:AC239"/>
    <mergeCell ref="AD239:AF239"/>
    <mergeCell ref="AH239:AJ239"/>
    <mergeCell ref="AK239:AM239"/>
    <mergeCell ref="AN239:AP239"/>
    <mergeCell ref="AQ239:AS239"/>
    <mergeCell ref="AT239:AV239"/>
    <mergeCell ref="AX239:BA239"/>
    <mergeCell ref="BB239:BE239"/>
    <mergeCell ref="BF239:BI239"/>
    <mergeCell ref="BJ239:BM239"/>
    <mergeCell ref="BN239:BQ239"/>
    <mergeCell ref="AH238:AJ238"/>
    <mergeCell ref="AK238:AM238"/>
    <mergeCell ref="AN238:AP238"/>
    <mergeCell ref="AQ238:AS238"/>
    <mergeCell ref="AT238:AV238"/>
    <mergeCell ref="AX238:BA238"/>
    <mergeCell ref="BB238:BE238"/>
    <mergeCell ref="BF238:BI238"/>
    <mergeCell ref="BJ238:BM238"/>
    <mergeCell ref="A238:F238"/>
    <mergeCell ref="G238:J238"/>
    <mergeCell ref="K238:M238"/>
    <mergeCell ref="N238:P238"/>
    <mergeCell ref="R238:T238"/>
    <mergeCell ref="U238:W238"/>
    <mergeCell ref="X238:Z238"/>
    <mergeCell ref="AA238:AC238"/>
    <mergeCell ref="AD238:AF238"/>
    <mergeCell ref="BN236:BQ236"/>
    <mergeCell ref="A237:F237"/>
    <mergeCell ref="G237:J237"/>
    <mergeCell ref="K237:M237"/>
    <mergeCell ref="N237:P237"/>
    <mergeCell ref="R237:T237"/>
    <mergeCell ref="U237:W237"/>
    <mergeCell ref="X237:Z237"/>
    <mergeCell ref="AA237:AC237"/>
    <mergeCell ref="AD237:AF237"/>
    <mergeCell ref="AH237:AJ237"/>
    <mergeCell ref="AK237:AM237"/>
    <mergeCell ref="AN237:AP237"/>
    <mergeCell ref="AQ237:AS237"/>
    <mergeCell ref="AT237:AV237"/>
    <mergeCell ref="AX237:BA237"/>
    <mergeCell ref="BB237:BE237"/>
    <mergeCell ref="BF237:BI237"/>
    <mergeCell ref="BJ237:BM237"/>
    <mergeCell ref="BN237:BQ237"/>
    <mergeCell ref="AH236:AJ236"/>
    <mergeCell ref="AK236:AM236"/>
    <mergeCell ref="AN236:AP236"/>
    <mergeCell ref="AQ236:AS236"/>
    <mergeCell ref="AT236:AV236"/>
    <mergeCell ref="AX236:BA236"/>
    <mergeCell ref="BB236:BE236"/>
    <mergeCell ref="BF236:BI236"/>
    <mergeCell ref="BJ236:BM236"/>
    <mergeCell ref="A236:F236"/>
    <mergeCell ref="G236:J236"/>
    <mergeCell ref="K236:M236"/>
    <mergeCell ref="N236:P236"/>
    <mergeCell ref="R236:T236"/>
    <mergeCell ref="U236:W236"/>
    <mergeCell ref="X236:Z236"/>
    <mergeCell ref="AA236:AC236"/>
    <mergeCell ref="AD236:AF236"/>
    <mergeCell ref="BN234:BQ234"/>
    <mergeCell ref="A235:F235"/>
    <mergeCell ref="G235:J235"/>
    <mergeCell ref="K235:M235"/>
    <mergeCell ref="N235:P235"/>
    <mergeCell ref="R235:T235"/>
    <mergeCell ref="U235:W235"/>
    <mergeCell ref="X235:Z235"/>
    <mergeCell ref="AA235:AC235"/>
    <mergeCell ref="AD235:AF235"/>
    <mergeCell ref="AH235:AJ235"/>
    <mergeCell ref="AK235:AM235"/>
    <mergeCell ref="AN235:AP235"/>
    <mergeCell ref="AQ235:AS235"/>
    <mergeCell ref="AT235:AV235"/>
    <mergeCell ref="AX235:BA235"/>
    <mergeCell ref="BB235:BE235"/>
    <mergeCell ref="BF235:BI235"/>
    <mergeCell ref="BJ235:BM235"/>
    <mergeCell ref="BN235:BQ235"/>
    <mergeCell ref="AH234:AJ234"/>
    <mergeCell ref="AK234:AM234"/>
    <mergeCell ref="AN234:AP234"/>
    <mergeCell ref="AQ234:AS234"/>
    <mergeCell ref="AT234:AV234"/>
    <mergeCell ref="AX234:BA234"/>
    <mergeCell ref="BB234:BE234"/>
    <mergeCell ref="BF234:BI234"/>
    <mergeCell ref="BJ234:BM234"/>
    <mergeCell ref="A234:F234"/>
    <mergeCell ref="G234:J234"/>
    <mergeCell ref="K234:M234"/>
    <mergeCell ref="N234:P234"/>
    <mergeCell ref="R234:T234"/>
    <mergeCell ref="U234:W234"/>
    <mergeCell ref="X234:Z234"/>
    <mergeCell ref="AA234:AC234"/>
    <mergeCell ref="AD234:AF234"/>
    <mergeCell ref="BN232:BQ232"/>
    <mergeCell ref="A233:F233"/>
    <mergeCell ref="G233:J233"/>
    <mergeCell ref="K233:M233"/>
    <mergeCell ref="N233:P233"/>
    <mergeCell ref="R233:T233"/>
    <mergeCell ref="U233:W233"/>
    <mergeCell ref="X233:Z233"/>
    <mergeCell ref="AA233:AC233"/>
    <mergeCell ref="AD233:AF233"/>
    <mergeCell ref="AH233:AJ233"/>
    <mergeCell ref="AK233:AM233"/>
    <mergeCell ref="AN233:AP233"/>
    <mergeCell ref="AQ233:AS233"/>
    <mergeCell ref="AT233:AV233"/>
    <mergeCell ref="AX233:BA233"/>
    <mergeCell ref="BB233:BE233"/>
    <mergeCell ref="BF233:BI233"/>
    <mergeCell ref="BJ233:BM233"/>
    <mergeCell ref="BN233:BQ233"/>
    <mergeCell ref="AH232:AJ232"/>
    <mergeCell ref="AK232:AM232"/>
    <mergeCell ref="AN232:AP232"/>
    <mergeCell ref="AQ232:AS232"/>
    <mergeCell ref="AT232:AV232"/>
    <mergeCell ref="AX232:BA232"/>
    <mergeCell ref="BB232:BE232"/>
    <mergeCell ref="BF232:BI232"/>
    <mergeCell ref="BJ232:BM232"/>
    <mergeCell ref="A232:F232"/>
    <mergeCell ref="G232:J232"/>
    <mergeCell ref="K232:M232"/>
    <mergeCell ref="N232:P232"/>
    <mergeCell ref="R232:T232"/>
    <mergeCell ref="U232:W232"/>
    <mergeCell ref="X232:Z232"/>
    <mergeCell ref="AA232:AC232"/>
    <mergeCell ref="AD232:AF232"/>
    <mergeCell ref="BN230:BQ230"/>
    <mergeCell ref="A231:F231"/>
    <mergeCell ref="G231:J231"/>
    <mergeCell ref="K231:M231"/>
    <mergeCell ref="N231:P231"/>
    <mergeCell ref="R231:T231"/>
    <mergeCell ref="U231:W231"/>
    <mergeCell ref="X231:Z231"/>
    <mergeCell ref="AA231:AC231"/>
    <mergeCell ref="AD231:AF231"/>
    <mergeCell ref="AH231:AJ231"/>
    <mergeCell ref="AK231:AM231"/>
    <mergeCell ref="AN231:AP231"/>
    <mergeCell ref="AQ231:AS231"/>
    <mergeCell ref="AT231:AV231"/>
    <mergeCell ref="AX231:BA231"/>
    <mergeCell ref="BB231:BE231"/>
    <mergeCell ref="BF231:BI231"/>
    <mergeCell ref="BJ231:BM231"/>
    <mergeCell ref="BN231:BQ231"/>
    <mergeCell ref="AH230:AJ230"/>
    <mergeCell ref="AK230:AM230"/>
    <mergeCell ref="AN230:AP230"/>
    <mergeCell ref="AQ230:AS230"/>
    <mergeCell ref="AT230:AV230"/>
    <mergeCell ref="AX230:BA230"/>
    <mergeCell ref="BB230:BE230"/>
    <mergeCell ref="BF230:BI230"/>
    <mergeCell ref="BJ230:BM230"/>
    <mergeCell ref="A230:F230"/>
    <mergeCell ref="G230:J230"/>
    <mergeCell ref="K230:M230"/>
    <mergeCell ref="N230:P230"/>
    <mergeCell ref="R230:T230"/>
    <mergeCell ref="U230:W230"/>
    <mergeCell ref="X230:Z230"/>
    <mergeCell ref="AA230:AC230"/>
    <mergeCell ref="AD230:AF230"/>
    <mergeCell ref="BN228:BQ228"/>
    <mergeCell ref="A229:F229"/>
    <mergeCell ref="G229:J229"/>
    <mergeCell ref="K229:M229"/>
    <mergeCell ref="N229:P229"/>
    <mergeCell ref="R229:T229"/>
    <mergeCell ref="U229:W229"/>
    <mergeCell ref="X229:Z229"/>
    <mergeCell ref="AA229:AC229"/>
    <mergeCell ref="AD229:AF229"/>
    <mergeCell ref="AH229:AJ229"/>
    <mergeCell ref="AK229:AM229"/>
    <mergeCell ref="AN229:AP229"/>
    <mergeCell ref="AQ229:AS229"/>
    <mergeCell ref="AT229:AV229"/>
    <mergeCell ref="AX229:BA229"/>
    <mergeCell ref="BB229:BE229"/>
    <mergeCell ref="BF229:BI229"/>
    <mergeCell ref="BJ229:BM229"/>
    <mergeCell ref="BN229:BQ229"/>
    <mergeCell ref="AH228:AJ228"/>
    <mergeCell ref="AK228:AM228"/>
    <mergeCell ref="AN228:AP228"/>
    <mergeCell ref="AQ228:AS228"/>
    <mergeCell ref="AT228:AV228"/>
    <mergeCell ref="AX228:BA228"/>
    <mergeCell ref="BB228:BE228"/>
    <mergeCell ref="BF228:BI228"/>
    <mergeCell ref="BJ228:BM228"/>
    <mergeCell ref="A228:F228"/>
    <mergeCell ref="G228:J228"/>
    <mergeCell ref="K228:M228"/>
    <mergeCell ref="N228:P228"/>
    <mergeCell ref="R228:T228"/>
    <mergeCell ref="U228:W228"/>
    <mergeCell ref="X228:Z228"/>
    <mergeCell ref="AA228:AC228"/>
    <mergeCell ref="AD228:AF228"/>
    <mergeCell ref="BN226:BQ226"/>
    <mergeCell ref="A227:F227"/>
    <mergeCell ref="G227:J227"/>
    <mergeCell ref="K227:M227"/>
    <mergeCell ref="N227:P227"/>
    <mergeCell ref="R227:T227"/>
    <mergeCell ref="U227:W227"/>
    <mergeCell ref="X227:Z227"/>
    <mergeCell ref="AA227:AC227"/>
    <mergeCell ref="AD227:AF227"/>
    <mergeCell ref="AH227:AJ227"/>
    <mergeCell ref="AK227:AM227"/>
    <mergeCell ref="AN227:AP227"/>
    <mergeCell ref="AQ227:AS227"/>
    <mergeCell ref="AT227:AV227"/>
    <mergeCell ref="AX227:BA227"/>
    <mergeCell ref="BB227:BE227"/>
    <mergeCell ref="BF227:BI227"/>
    <mergeCell ref="BJ227:BM227"/>
    <mergeCell ref="BN227:BQ227"/>
    <mergeCell ref="AH226:AJ226"/>
    <mergeCell ref="AK226:AM226"/>
    <mergeCell ref="AN226:AP226"/>
    <mergeCell ref="AQ226:AS226"/>
    <mergeCell ref="AT226:AV226"/>
    <mergeCell ref="AX226:BA226"/>
    <mergeCell ref="BB226:BE226"/>
    <mergeCell ref="BF226:BI226"/>
    <mergeCell ref="BJ226:BM226"/>
    <mergeCell ref="A226:F226"/>
    <mergeCell ref="G226:J226"/>
    <mergeCell ref="K226:M226"/>
    <mergeCell ref="N226:P226"/>
    <mergeCell ref="R226:T226"/>
    <mergeCell ref="U226:W226"/>
    <mergeCell ref="X226:Z226"/>
    <mergeCell ref="AA226:AC226"/>
    <mergeCell ref="AD226:AF226"/>
    <mergeCell ref="BN224:BQ224"/>
    <mergeCell ref="A225:F225"/>
    <mergeCell ref="G225:J225"/>
    <mergeCell ref="K225:M225"/>
    <mergeCell ref="N225:P225"/>
    <mergeCell ref="R225:T225"/>
    <mergeCell ref="U225:W225"/>
    <mergeCell ref="X225:Z225"/>
    <mergeCell ref="AA225:AC225"/>
    <mergeCell ref="AD225:AF225"/>
    <mergeCell ref="AH225:AJ225"/>
    <mergeCell ref="AK225:AM225"/>
    <mergeCell ref="AN225:AP225"/>
    <mergeCell ref="AQ225:AS225"/>
    <mergeCell ref="AT225:AV225"/>
    <mergeCell ref="AX225:BA225"/>
    <mergeCell ref="BB225:BE225"/>
    <mergeCell ref="BF225:BI225"/>
    <mergeCell ref="BJ225:BM225"/>
    <mergeCell ref="BN225:BQ225"/>
    <mergeCell ref="AH224:AJ224"/>
    <mergeCell ref="AK224:AM224"/>
    <mergeCell ref="AN224:AP224"/>
    <mergeCell ref="AQ224:AS224"/>
    <mergeCell ref="AT224:AV224"/>
    <mergeCell ref="AX224:BA224"/>
    <mergeCell ref="BB224:BE224"/>
    <mergeCell ref="BF224:BI224"/>
    <mergeCell ref="BJ224:BM224"/>
    <mergeCell ref="A224:F224"/>
    <mergeCell ref="G224:J224"/>
    <mergeCell ref="K224:M224"/>
    <mergeCell ref="N224:P224"/>
    <mergeCell ref="R224:T224"/>
    <mergeCell ref="U224:W224"/>
    <mergeCell ref="X224:Z224"/>
    <mergeCell ref="AA224:AC224"/>
    <mergeCell ref="AD224:AF224"/>
    <mergeCell ref="BN222:BQ222"/>
    <mergeCell ref="A223:F223"/>
    <mergeCell ref="G223:J223"/>
    <mergeCell ref="K223:M223"/>
    <mergeCell ref="N223:P223"/>
    <mergeCell ref="R223:T223"/>
    <mergeCell ref="U223:W223"/>
    <mergeCell ref="X223:Z223"/>
    <mergeCell ref="AA223:AC223"/>
    <mergeCell ref="AD223:AF223"/>
    <mergeCell ref="AH223:AJ223"/>
    <mergeCell ref="AK223:AM223"/>
    <mergeCell ref="AN223:AP223"/>
    <mergeCell ref="AQ223:AS223"/>
    <mergeCell ref="AT223:AV223"/>
    <mergeCell ref="AX223:BA223"/>
    <mergeCell ref="BB223:BE223"/>
    <mergeCell ref="BF223:BI223"/>
    <mergeCell ref="BJ223:BM223"/>
    <mergeCell ref="BN223:BQ223"/>
    <mergeCell ref="BJ221:BM221"/>
    <mergeCell ref="BN221:BQ221"/>
    <mergeCell ref="AH220:AJ220"/>
    <mergeCell ref="AK220:AM220"/>
    <mergeCell ref="AN220:AP220"/>
    <mergeCell ref="AQ220:AS220"/>
    <mergeCell ref="AT220:AV220"/>
    <mergeCell ref="AX220:BA220"/>
    <mergeCell ref="BB220:BE220"/>
    <mergeCell ref="BF220:BI220"/>
    <mergeCell ref="BJ220:BM220"/>
    <mergeCell ref="A220:F220"/>
    <mergeCell ref="G220:J220"/>
    <mergeCell ref="K220:M220"/>
    <mergeCell ref="AH222:AJ222"/>
    <mergeCell ref="AK222:AM222"/>
    <mergeCell ref="AN222:AP222"/>
    <mergeCell ref="AQ222:AS222"/>
    <mergeCell ref="AT222:AV222"/>
    <mergeCell ref="AX222:BA222"/>
    <mergeCell ref="BB222:BE222"/>
    <mergeCell ref="BF222:BI222"/>
    <mergeCell ref="BJ222:BM222"/>
    <mergeCell ref="A222:F222"/>
    <mergeCell ref="G222:J222"/>
    <mergeCell ref="K222:M222"/>
    <mergeCell ref="N222:P222"/>
    <mergeCell ref="R222:T222"/>
    <mergeCell ref="U222:W222"/>
    <mergeCell ref="X222:Z222"/>
    <mergeCell ref="AA222:AC222"/>
    <mergeCell ref="AD222:AF222"/>
    <mergeCell ref="A221:F221"/>
    <mergeCell ref="G221:J221"/>
    <mergeCell ref="K221:M221"/>
    <mergeCell ref="N221:P221"/>
    <mergeCell ref="R221:T221"/>
    <mergeCell ref="U221:W221"/>
    <mergeCell ref="X221:Z221"/>
    <mergeCell ref="AA221:AC221"/>
    <mergeCell ref="AD221:AF221"/>
    <mergeCell ref="AH221:AJ221"/>
    <mergeCell ref="AK221:AM221"/>
    <mergeCell ref="AN221:AP221"/>
    <mergeCell ref="AQ221:AS221"/>
    <mergeCell ref="AT221:AV221"/>
    <mergeCell ref="AX221:BA221"/>
    <mergeCell ref="BB221:BE221"/>
    <mergeCell ref="BF221:BI221"/>
    <mergeCell ref="N220:P220"/>
    <mergeCell ref="R220:T220"/>
    <mergeCell ref="U220:W220"/>
    <mergeCell ref="X220:Z220"/>
    <mergeCell ref="AA220:AC220"/>
    <mergeCell ref="AD220:AF220"/>
    <mergeCell ref="BN218:BQ218"/>
    <mergeCell ref="A219:F219"/>
    <mergeCell ref="G219:J219"/>
    <mergeCell ref="K219:M219"/>
    <mergeCell ref="N219:P219"/>
    <mergeCell ref="R219:T219"/>
    <mergeCell ref="U219:W219"/>
    <mergeCell ref="X219:Z219"/>
    <mergeCell ref="AA219:AC219"/>
    <mergeCell ref="AD219:AF219"/>
    <mergeCell ref="AH219:AJ219"/>
    <mergeCell ref="AK219:AM219"/>
    <mergeCell ref="AN219:AP219"/>
    <mergeCell ref="AQ219:AS219"/>
    <mergeCell ref="AT219:AV219"/>
    <mergeCell ref="AX219:BA219"/>
    <mergeCell ref="BB219:BE219"/>
    <mergeCell ref="BF219:BI219"/>
    <mergeCell ref="BJ219:BM219"/>
    <mergeCell ref="BN219:BQ219"/>
    <mergeCell ref="BN220:BQ220"/>
    <mergeCell ref="BJ217:BM217"/>
    <mergeCell ref="BN217:BQ217"/>
    <mergeCell ref="AH216:AJ216"/>
    <mergeCell ref="AK216:AM216"/>
    <mergeCell ref="AN216:AP216"/>
    <mergeCell ref="AQ216:AS216"/>
    <mergeCell ref="AT216:AV216"/>
    <mergeCell ref="AX216:BA216"/>
    <mergeCell ref="BB216:BE216"/>
    <mergeCell ref="BF216:BI216"/>
    <mergeCell ref="BJ216:BM216"/>
    <mergeCell ref="A216:F216"/>
    <mergeCell ref="G216:J216"/>
    <mergeCell ref="K216:M216"/>
    <mergeCell ref="AH218:AJ218"/>
    <mergeCell ref="AK218:AM218"/>
    <mergeCell ref="AN218:AP218"/>
    <mergeCell ref="AQ218:AS218"/>
    <mergeCell ref="AT218:AV218"/>
    <mergeCell ref="AX218:BA218"/>
    <mergeCell ref="BB218:BE218"/>
    <mergeCell ref="BF218:BI218"/>
    <mergeCell ref="BJ218:BM218"/>
    <mergeCell ref="A218:F218"/>
    <mergeCell ref="G218:J218"/>
    <mergeCell ref="K218:M218"/>
    <mergeCell ref="N218:P218"/>
    <mergeCell ref="R218:T218"/>
    <mergeCell ref="U218:W218"/>
    <mergeCell ref="X218:Z218"/>
    <mergeCell ref="AA218:AC218"/>
    <mergeCell ref="AD218:AF218"/>
    <mergeCell ref="A217:F217"/>
    <mergeCell ref="G217:J217"/>
    <mergeCell ref="K217:M217"/>
    <mergeCell ref="N217:P217"/>
    <mergeCell ref="R217:T217"/>
    <mergeCell ref="U217:W217"/>
    <mergeCell ref="X217:Z217"/>
    <mergeCell ref="AA217:AC217"/>
    <mergeCell ref="AD217:AF217"/>
    <mergeCell ref="AH217:AJ217"/>
    <mergeCell ref="AK217:AM217"/>
    <mergeCell ref="AN217:AP217"/>
    <mergeCell ref="AQ217:AS217"/>
    <mergeCell ref="AT217:AV217"/>
    <mergeCell ref="AX217:BA217"/>
    <mergeCell ref="BB217:BE217"/>
    <mergeCell ref="BF217:BI217"/>
    <mergeCell ref="N216:P216"/>
    <mergeCell ref="R216:T216"/>
    <mergeCell ref="U216:W216"/>
    <mergeCell ref="X216:Z216"/>
    <mergeCell ref="AA216:AC216"/>
    <mergeCell ref="AD216:AF216"/>
    <mergeCell ref="BN214:BQ214"/>
    <mergeCell ref="A215:F215"/>
    <mergeCell ref="G215:J215"/>
    <mergeCell ref="K215:M215"/>
    <mergeCell ref="N215:P215"/>
    <mergeCell ref="R215:T215"/>
    <mergeCell ref="U215:W215"/>
    <mergeCell ref="X215:Z215"/>
    <mergeCell ref="AA215:AC215"/>
    <mergeCell ref="AD215:AF215"/>
    <mergeCell ref="AH215:AJ215"/>
    <mergeCell ref="AK215:AM215"/>
    <mergeCell ref="AN215:AP215"/>
    <mergeCell ref="AQ215:AS215"/>
    <mergeCell ref="AT215:AV215"/>
    <mergeCell ref="AX215:BA215"/>
    <mergeCell ref="BB215:BE215"/>
    <mergeCell ref="BF215:BI215"/>
    <mergeCell ref="BJ215:BM215"/>
    <mergeCell ref="BN215:BQ215"/>
    <mergeCell ref="BN216:BQ216"/>
    <mergeCell ref="BJ213:BM213"/>
    <mergeCell ref="BN213:BQ213"/>
    <mergeCell ref="AH212:AJ212"/>
    <mergeCell ref="AK212:AM212"/>
    <mergeCell ref="AN212:AP212"/>
    <mergeCell ref="AQ212:AS212"/>
    <mergeCell ref="AT212:AV212"/>
    <mergeCell ref="AX212:BA212"/>
    <mergeCell ref="BB212:BE212"/>
    <mergeCell ref="BF212:BI212"/>
    <mergeCell ref="BJ212:BM212"/>
    <mergeCell ref="A212:F212"/>
    <mergeCell ref="G212:J212"/>
    <mergeCell ref="K212:M212"/>
    <mergeCell ref="AH214:AJ214"/>
    <mergeCell ref="AK214:AM214"/>
    <mergeCell ref="AN214:AP214"/>
    <mergeCell ref="AQ214:AS214"/>
    <mergeCell ref="AT214:AV214"/>
    <mergeCell ref="AX214:BA214"/>
    <mergeCell ref="BB214:BE214"/>
    <mergeCell ref="BF214:BI214"/>
    <mergeCell ref="BJ214:BM214"/>
    <mergeCell ref="A214:F214"/>
    <mergeCell ref="G214:J214"/>
    <mergeCell ref="K214:M214"/>
    <mergeCell ref="N214:P214"/>
    <mergeCell ref="R214:T214"/>
    <mergeCell ref="U214:W214"/>
    <mergeCell ref="X214:Z214"/>
    <mergeCell ref="AA214:AC214"/>
    <mergeCell ref="AD214:AF214"/>
    <mergeCell ref="A213:F213"/>
    <mergeCell ref="G213:J213"/>
    <mergeCell ref="K213:M213"/>
    <mergeCell ref="N213:P213"/>
    <mergeCell ref="R213:T213"/>
    <mergeCell ref="U213:W213"/>
    <mergeCell ref="X213:Z213"/>
    <mergeCell ref="AA213:AC213"/>
    <mergeCell ref="AD213:AF213"/>
    <mergeCell ref="AH213:AJ213"/>
    <mergeCell ref="AK213:AM213"/>
    <mergeCell ref="AN213:AP213"/>
    <mergeCell ref="AQ213:AS213"/>
    <mergeCell ref="AT213:AV213"/>
    <mergeCell ref="AX213:BA213"/>
    <mergeCell ref="BB213:BE213"/>
    <mergeCell ref="BF213:BI213"/>
    <mergeCell ref="N212:P212"/>
    <mergeCell ref="R212:T212"/>
    <mergeCell ref="U212:W212"/>
    <mergeCell ref="X212:Z212"/>
    <mergeCell ref="AA212:AC212"/>
    <mergeCell ref="AD212:AF212"/>
    <mergeCell ref="BN210:BQ210"/>
    <mergeCell ref="A211:F211"/>
    <mergeCell ref="AH210:AJ210"/>
    <mergeCell ref="AK210:AM210"/>
    <mergeCell ref="AN210:AP210"/>
    <mergeCell ref="AQ210:AS210"/>
    <mergeCell ref="AT210:AV210"/>
    <mergeCell ref="AX210:BA210"/>
    <mergeCell ref="BB210:BE210"/>
    <mergeCell ref="BF210:BI210"/>
    <mergeCell ref="BJ210:BM210"/>
    <mergeCell ref="A210:F210"/>
    <mergeCell ref="G210:J210"/>
    <mergeCell ref="K210:M210"/>
    <mergeCell ref="N210:P210"/>
    <mergeCell ref="R210:T210"/>
    <mergeCell ref="U210:W210"/>
    <mergeCell ref="X210:Z210"/>
    <mergeCell ref="AA210:AC210"/>
    <mergeCell ref="AD210:AF210"/>
    <mergeCell ref="BN212:BQ212"/>
    <mergeCell ref="BB211:BE211"/>
    <mergeCell ref="BN204:BQ204"/>
    <mergeCell ref="A205:F205"/>
    <mergeCell ref="G205:J205"/>
    <mergeCell ref="K205:M205"/>
    <mergeCell ref="N205:P205"/>
    <mergeCell ref="R205:T205"/>
    <mergeCell ref="U205:W205"/>
    <mergeCell ref="X205:Z205"/>
    <mergeCell ref="AA205:AC205"/>
    <mergeCell ref="AD205:AF205"/>
    <mergeCell ref="AH205:AJ205"/>
    <mergeCell ref="AK205:AM205"/>
    <mergeCell ref="AN205:AP205"/>
    <mergeCell ref="AQ205:AS205"/>
    <mergeCell ref="AT205:AV205"/>
    <mergeCell ref="AX205:BA205"/>
    <mergeCell ref="BB205:BE205"/>
    <mergeCell ref="BF205:BI205"/>
    <mergeCell ref="BJ205:BM205"/>
    <mergeCell ref="BN205:BQ205"/>
    <mergeCell ref="AH204:AJ204"/>
    <mergeCell ref="AK204:AM204"/>
    <mergeCell ref="AN204:AP204"/>
    <mergeCell ref="AQ204:AS204"/>
    <mergeCell ref="AT204:AV204"/>
    <mergeCell ref="AX204:BA204"/>
    <mergeCell ref="BB204:BE204"/>
    <mergeCell ref="BF204:BI204"/>
    <mergeCell ref="BJ204:BM204"/>
    <mergeCell ref="A204:F204"/>
    <mergeCell ref="G204:J204"/>
    <mergeCell ref="K204:M204"/>
    <mergeCell ref="N204:P204"/>
    <mergeCell ref="R204:T204"/>
    <mergeCell ref="U204:W204"/>
    <mergeCell ref="X204:Z204"/>
    <mergeCell ref="AA204:AC204"/>
    <mergeCell ref="AD204:AF204"/>
    <mergeCell ref="BN202:BQ202"/>
    <mergeCell ref="A203:F203"/>
    <mergeCell ref="G203:J203"/>
    <mergeCell ref="K203:M203"/>
    <mergeCell ref="N203:P203"/>
    <mergeCell ref="R203:T203"/>
    <mergeCell ref="U203:W203"/>
    <mergeCell ref="X203:Z203"/>
    <mergeCell ref="AA203:AC203"/>
    <mergeCell ref="AD203:AF203"/>
    <mergeCell ref="AH203:AJ203"/>
    <mergeCell ref="AK203:AM203"/>
    <mergeCell ref="AN203:AP203"/>
    <mergeCell ref="AQ203:AS203"/>
    <mergeCell ref="AT203:AV203"/>
    <mergeCell ref="AX203:BA203"/>
    <mergeCell ref="BB203:BE203"/>
    <mergeCell ref="BF203:BI203"/>
    <mergeCell ref="BJ203:BM203"/>
    <mergeCell ref="BN203:BQ203"/>
    <mergeCell ref="AH202:AJ202"/>
    <mergeCell ref="AK202:AM202"/>
    <mergeCell ref="AN202:AP202"/>
    <mergeCell ref="AQ202:AS202"/>
    <mergeCell ref="AT202:AV202"/>
    <mergeCell ref="AX202:BA202"/>
    <mergeCell ref="BB202:BE202"/>
    <mergeCell ref="BF202:BI202"/>
    <mergeCell ref="BJ202:BM202"/>
    <mergeCell ref="A202:F202"/>
    <mergeCell ref="G202:J202"/>
    <mergeCell ref="K202:M202"/>
    <mergeCell ref="N202:P202"/>
    <mergeCell ref="R202:T202"/>
    <mergeCell ref="U202:W202"/>
    <mergeCell ref="X202:Z202"/>
    <mergeCell ref="AA202:AC202"/>
    <mergeCell ref="AD202:AF202"/>
    <mergeCell ref="BN200:BQ200"/>
    <mergeCell ref="A201:F201"/>
    <mergeCell ref="G201:J201"/>
    <mergeCell ref="K201:M201"/>
    <mergeCell ref="N201:P201"/>
    <mergeCell ref="R201:T201"/>
    <mergeCell ref="U201:W201"/>
    <mergeCell ref="X201:Z201"/>
    <mergeCell ref="AA201:AC201"/>
    <mergeCell ref="AD201:AF201"/>
    <mergeCell ref="AH201:AJ201"/>
    <mergeCell ref="AK201:AM201"/>
    <mergeCell ref="AN201:AP201"/>
    <mergeCell ref="AQ201:AS201"/>
    <mergeCell ref="AT201:AV201"/>
    <mergeCell ref="AX201:BA201"/>
    <mergeCell ref="BB201:BE201"/>
    <mergeCell ref="BF201:BI201"/>
    <mergeCell ref="BJ201:BM201"/>
    <mergeCell ref="BN201:BQ201"/>
    <mergeCell ref="AH200:AJ200"/>
    <mergeCell ref="AK200:AM200"/>
    <mergeCell ref="AN200:AP200"/>
    <mergeCell ref="AQ200:AS200"/>
    <mergeCell ref="AT200:AV200"/>
    <mergeCell ref="AX200:BA200"/>
    <mergeCell ref="BB200:BE200"/>
    <mergeCell ref="BF200:BI200"/>
    <mergeCell ref="BJ200:BM200"/>
    <mergeCell ref="A200:F200"/>
    <mergeCell ref="G200:J200"/>
    <mergeCell ref="K200:M200"/>
    <mergeCell ref="N200:P200"/>
    <mergeCell ref="R200:T200"/>
    <mergeCell ref="U200:W200"/>
    <mergeCell ref="X200:Z200"/>
    <mergeCell ref="AA200:AC200"/>
    <mergeCell ref="AD200:AF200"/>
    <mergeCell ref="BN198:BQ198"/>
    <mergeCell ref="A199:F199"/>
    <mergeCell ref="G199:J199"/>
    <mergeCell ref="K199:M199"/>
    <mergeCell ref="N199:P199"/>
    <mergeCell ref="R199:T199"/>
    <mergeCell ref="U199:W199"/>
    <mergeCell ref="X199:Z199"/>
    <mergeCell ref="AA199:AC199"/>
    <mergeCell ref="AD199:AF199"/>
    <mergeCell ref="AH199:AJ199"/>
    <mergeCell ref="AK199:AM199"/>
    <mergeCell ref="AN199:AP199"/>
    <mergeCell ref="AQ199:AS199"/>
    <mergeCell ref="AT199:AV199"/>
    <mergeCell ref="AX199:BA199"/>
    <mergeCell ref="BB199:BE199"/>
    <mergeCell ref="BF199:BI199"/>
    <mergeCell ref="BJ199:BM199"/>
    <mergeCell ref="BN199:BQ199"/>
    <mergeCell ref="AH198:AJ198"/>
    <mergeCell ref="AK198:AM198"/>
    <mergeCell ref="AN198:AP198"/>
    <mergeCell ref="AQ198:AS198"/>
    <mergeCell ref="AT198:AV198"/>
    <mergeCell ref="AX198:BA198"/>
    <mergeCell ref="BB198:BE198"/>
    <mergeCell ref="BF198:BI198"/>
    <mergeCell ref="BJ198:BM198"/>
    <mergeCell ref="A198:F198"/>
    <mergeCell ref="G198:J198"/>
    <mergeCell ref="K198:M198"/>
    <mergeCell ref="N198:P198"/>
    <mergeCell ref="R198:T198"/>
    <mergeCell ref="U198:W198"/>
    <mergeCell ref="X198:Z198"/>
    <mergeCell ref="AA198:AC198"/>
    <mergeCell ref="AD198:AF198"/>
    <mergeCell ref="BN196:BQ196"/>
    <mergeCell ref="A197:F197"/>
    <mergeCell ref="G197:J197"/>
    <mergeCell ref="K197:M197"/>
    <mergeCell ref="N197:P197"/>
    <mergeCell ref="R197:T197"/>
    <mergeCell ref="U197:W197"/>
    <mergeCell ref="X197:Z197"/>
    <mergeCell ref="AA197:AC197"/>
    <mergeCell ref="AD197:AF197"/>
    <mergeCell ref="AH197:AJ197"/>
    <mergeCell ref="AK197:AM197"/>
    <mergeCell ref="AN197:AP197"/>
    <mergeCell ref="AQ197:AS197"/>
    <mergeCell ref="AT197:AV197"/>
    <mergeCell ref="AX197:BA197"/>
    <mergeCell ref="BB197:BE197"/>
    <mergeCell ref="BF197:BI197"/>
    <mergeCell ref="BJ197:BM197"/>
    <mergeCell ref="BN197:BQ197"/>
    <mergeCell ref="AH196:AJ196"/>
    <mergeCell ref="AK196:AM196"/>
    <mergeCell ref="AN196:AP196"/>
    <mergeCell ref="AQ196:AS196"/>
    <mergeCell ref="AT196:AV196"/>
    <mergeCell ref="AX196:BA196"/>
    <mergeCell ref="BB196:BE196"/>
    <mergeCell ref="BF196:BI196"/>
    <mergeCell ref="BJ196:BM196"/>
    <mergeCell ref="A196:F196"/>
    <mergeCell ref="G196:J196"/>
    <mergeCell ref="K196:M196"/>
    <mergeCell ref="N196:P196"/>
    <mergeCell ref="R196:T196"/>
    <mergeCell ref="U196:W196"/>
    <mergeCell ref="X196:Z196"/>
    <mergeCell ref="AA196:AC196"/>
    <mergeCell ref="AD196:AF196"/>
    <mergeCell ref="BN194:BQ194"/>
    <mergeCell ref="A195:F195"/>
    <mergeCell ref="G195:J195"/>
    <mergeCell ref="K195:M195"/>
    <mergeCell ref="N195:P195"/>
    <mergeCell ref="R195:T195"/>
    <mergeCell ref="U195:W195"/>
    <mergeCell ref="X195:Z195"/>
    <mergeCell ref="AA195:AC195"/>
    <mergeCell ref="AD195:AF195"/>
    <mergeCell ref="AH195:AJ195"/>
    <mergeCell ref="AK195:AM195"/>
    <mergeCell ref="AN195:AP195"/>
    <mergeCell ref="AQ195:AS195"/>
    <mergeCell ref="AT195:AV195"/>
    <mergeCell ref="AX195:BA195"/>
    <mergeCell ref="BB195:BE195"/>
    <mergeCell ref="BF195:BI195"/>
    <mergeCell ref="BJ195:BM195"/>
    <mergeCell ref="BN195:BQ195"/>
    <mergeCell ref="AH194:AJ194"/>
    <mergeCell ref="AK194:AM194"/>
    <mergeCell ref="AN194:AP194"/>
    <mergeCell ref="AQ194:AS194"/>
    <mergeCell ref="AT194:AV194"/>
    <mergeCell ref="AX194:BA194"/>
    <mergeCell ref="BB194:BE194"/>
    <mergeCell ref="BF194:BI194"/>
    <mergeCell ref="BJ194:BM194"/>
    <mergeCell ref="A194:F194"/>
    <mergeCell ref="G194:J194"/>
    <mergeCell ref="K194:M194"/>
    <mergeCell ref="N194:P194"/>
    <mergeCell ref="R194:T194"/>
    <mergeCell ref="U194:W194"/>
    <mergeCell ref="X194:Z194"/>
    <mergeCell ref="AA194:AC194"/>
    <mergeCell ref="AD194:AF194"/>
    <mergeCell ref="BN192:BQ192"/>
    <mergeCell ref="A193:F193"/>
    <mergeCell ref="G193:J193"/>
    <mergeCell ref="K193:M193"/>
    <mergeCell ref="N193:P193"/>
    <mergeCell ref="R193:T193"/>
    <mergeCell ref="U193:W193"/>
    <mergeCell ref="X193:Z193"/>
    <mergeCell ref="AA193:AC193"/>
    <mergeCell ref="AD193:AF193"/>
    <mergeCell ref="AH193:AJ193"/>
    <mergeCell ref="AK193:AM193"/>
    <mergeCell ref="AN193:AP193"/>
    <mergeCell ref="AQ193:AS193"/>
    <mergeCell ref="AT193:AV193"/>
    <mergeCell ref="AX193:BA193"/>
    <mergeCell ref="BB193:BE193"/>
    <mergeCell ref="BF193:BI193"/>
    <mergeCell ref="BJ193:BM193"/>
    <mergeCell ref="BN193:BQ193"/>
    <mergeCell ref="AH192:AJ192"/>
    <mergeCell ref="AK192:AM192"/>
    <mergeCell ref="AN192:AP192"/>
    <mergeCell ref="AQ192:AS192"/>
    <mergeCell ref="AT192:AV192"/>
    <mergeCell ref="AX192:BA192"/>
    <mergeCell ref="BB192:BE192"/>
    <mergeCell ref="BF192:BI192"/>
    <mergeCell ref="BJ192:BM192"/>
    <mergeCell ref="A192:F192"/>
    <mergeCell ref="G192:J192"/>
    <mergeCell ref="K192:M192"/>
    <mergeCell ref="N192:P192"/>
    <mergeCell ref="R192:T192"/>
    <mergeCell ref="U192:W192"/>
    <mergeCell ref="X192:Z192"/>
    <mergeCell ref="AA192:AC192"/>
    <mergeCell ref="AD192:AF192"/>
    <mergeCell ref="BN190:BQ190"/>
    <mergeCell ref="A191:F191"/>
    <mergeCell ref="G191:J191"/>
    <mergeCell ref="K191:M191"/>
    <mergeCell ref="N191:P191"/>
    <mergeCell ref="R191:T191"/>
    <mergeCell ref="U191:W191"/>
    <mergeCell ref="X191:Z191"/>
    <mergeCell ref="AA191:AC191"/>
    <mergeCell ref="AD191:AF191"/>
    <mergeCell ref="AH191:AJ191"/>
    <mergeCell ref="AK191:AM191"/>
    <mergeCell ref="AN191:AP191"/>
    <mergeCell ref="AQ191:AS191"/>
    <mergeCell ref="AT191:AV191"/>
    <mergeCell ref="AX191:BA191"/>
    <mergeCell ref="BB191:BE191"/>
    <mergeCell ref="BF191:BI191"/>
    <mergeCell ref="BJ191:BM191"/>
    <mergeCell ref="BN191:BQ191"/>
    <mergeCell ref="AH190:AJ190"/>
    <mergeCell ref="AK190:AM190"/>
    <mergeCell ref="AN190:AP190"/>
    <mergeCell ref="AQ190:AS190"/>
    <mergeCell ref="AT190:AV190"/>
    <mergeCell ref="AX190:BA190"/>
    <mergeCell ref="BB190:BE190"/>
    <mergeCell ref="BF190:BI190"/>
    <mergeCell ref="BJ190:BM190"/>
    <mergeCell ref="A190:F190"/>
    <mergeCell ref="G190:J190"/>
    <mergeCell ref="K190:M190"/>
    <mergeCell ref="N190:P190"/>
    <mergeCell ref="R190:T190"/>
    <mergeCell ref="U190:W190"/>
    <mergeCell ref="X190:Z190"/>
    <mergeCell ref="AA190:AC190"/>
    <mergeCell ref="AD190:AF190"/>
    <mergeCell ref="BN188:BQ188"/>
    <mergeCell ref="A189:F189"/>
    <mergeCell ref="G189:J189"/>
    <mergeCell ref="K189:M189"/>
    <mergeCell ref="N189:P189"/>
    <mergeCell ref="R189:T189"/>
    <mergeCell ref="U189:W189"/>
    <mergeCell ref="X189:Z189"/>
    <mergeCell ref="AA189:AC189"/>
    <mergeCell ref="AD189:AF189"/>
    <mergeCell ref="AH189:AJ189"/>
    <mergeCell ref="AK189:AM189"/>
    <mergeCell ref="AN189:AP189"/>
    <mergeCell ref="AQ189:AS189"/>
    <mergeCell ref="AT189:AV189"/>
    <mergeCell ref="AX189:BA189"/>
    <mergeCell ref="BB189:BE189"/>
    <mergeCell ref="BF189:BI189"/>
    <mergeCell ref="BJ189:BM189"/>
    <mergeCell ref="BN189:BQ189"/>
    <mergeCell ref="AH188:AJ188"/>
    <mergeCell ref="AK188:AM188"/>
    <mergeCell ref="AN188:AP188"/>
    <mergeCell ref="AQ188:AS188"/>
    <mergeCell ref="AT188:AV188"/>
    <mergeCell ref="AX188:BA188"/>
    <mergeCell ref="BB188:BE188"/>
    <mergeCell ref="BF188:BI188"/>
    <mergeCell ref="BJ188:BM188"/>
    <mergeCell ref="A188:F188"/>
    <mergeCell ref="G188:J188"/>
    <mergeCell ref="K188:M188"/>
    <mergeCell ref="N188:P188"/>
    <mergeCell ref="R188:T188"/>
    <mergeCell ref="U188:W188"/>
    <mergeCell ref="X188:Z188"/>
    <mergeCell ref="AA188:AC188"/>
    <mergeCell ref="AD188:AF188"/>
    <mergeCell ref="BN186:BQ186"/>
    <mergeCell ref="A187:F187"/>
    <mergeCell ref="G187:J187"/>
    <mergeCell ref="K187:M187"/>
    <mergeCell ref="N187:P187"/>
    <mergeCell ref="R187:T187"/>
    <mergeCell ref="U187:W187"/>
    <mergeCell ref="X187:Z187"/>
    <mergeCell ref="AA187:AC187"/>
    <mergeCell ref="AD187:AF187"/>
    <mergeCell ref="AH187:AJ187"/>
    <mergeCell ref="AK187:AM187"/>
    <mergeCell ref="AN187:AP187"/>
    <mergeCell ref="AQ187:AS187"/>
    <mergeCell ref="AT187:AV187"/>
    <mergeCell ref="AX187:BA187"/>
    <mergeCell ref="BB187:BE187"/>
    <mergeCell ref="BF187:BI187"/>
    <mergeCell ref="BJ187:BM187"/>
    <mergeCell ref="BN187:BQ187"/>
    <mergeCell ref="AH186:AJ186"/>
    <mergeCell ref="AK186:AM186"/>
    <mergeCell ref="AN186:AP186"/>
    <mergeCell ref="AQ186:AS186"/>
    <mergeCell ref="AT186:AV186"/>
    <mergeCell ref="AX186:BA186"/>
    <mergeCell ref="BB186:BE186"/>
    <mergeCell ref="BF186:BI186"/>
    <mergeCell ref="BJ186:BM186"/>
    <mergeCell ref="A186:F186"/>
    <mergeCell ref="G186:J186"/>
    <mergeCell ref="K186:M186"/>
    <mergeCell ref="N186:P186"/>
    <mergeCell ref="R186:T186"/>
    <mergeCell ref="U186:W186"/>
    <mergeCell ref="X186:Z186"/>
    <mergeCell ref="AA186:AC186"/>
    <mergeCell ref="AD186:AF186"/>
    <mergeCell ref="BN184:BQ184"/>
    <mergeCell ref="A185:F185"/>
    <mergeCell ref="G185:J185"/>
    <mergeCell ref="K185:M185"/>
    <mergeCell ref="N185:P185"/>
    <mergeCell ref="R185:T185"/>
    <mergeCell ref="U185:W185"/>
    <mergeCell ref="X185:Z185"/>
    <mergeCell ref="AA185:AC185"/>
    <mergeCell ref="AD185:AF185"/>
    <mergeCell ref="AH185:AJ185"/>
    <mergeCell ref="AK185:AM185"/>
    <mergeCell ref="AN185:AP185"/>
    <mergeCell ref="AQ185:AS185"/>
    <mergeCell ref="AT185:AV185"/>
    <mergeCell ref="AX185:BA185"/>
    <mergeCell ref="BB185:BE185"/>
    <mergeCell ref="BF185:BI185"/>
    <mergeCell ref="BJ185:BM185"/>
    <mergeCell ref="BN185:BQ185"/>
    <mergeCell ref="AH184:AJ184"/>
    <mergeCell ref="AK184:AM184"/>
    <mergeCell ref="AN184:AP184"/>
    <mergeCell ref="AQ184:AS184"/>
    <mergeCell ref="AT184:AV184"/>
    <mergeCell ref="AX184:BA184"/>
    <mergeCell ref="BB184:BE184"/>
    <mergeCell ref="BF184:BI184"/>
    <mergeCell ref="BJ184:BM184"/>
    <mergeCell ref="A184:F184"/>
    <mergeCell ref="G184:J184"/>
    <mergeCell ref="K184:M184"/>
    <mergeCell ref="N184:P184"/>
    <mergeCell ref="R184:T184"/>
    <mergeCell ref="U184:W184"/>
    <mergeCell ref="X184:Z184"/>
    <mergeCell ref="AA184:AC184"/>
    <mergeCell ref="AD184:AF184"/>
    <mergeCell ref="BN182:BQ182"/>
    <mergeCell ref="A183:F183"/>
    <mergeCell ref="G183:J183"/>
    <mergeCell ref="K183:M183"/>
    <mergeCell ref="N183:P183"/>
    <mergeCell ref="R183:T183"/>
    <mergeCell ref="U183:W183"/>
    <mergeCell ref="X183:Z183"/>
    <mergeCell ref="AA183:AC183"/>
    <mergeCell ref="AD183:AF183"/>
    <mergeCell ref="AH183:AJ183"/>
    <mergeCell ref="AK183:AM183"/>
    <mergeCell ref="AN183:AP183"/>
    <mergeCell ref="AQ183:AS183"/>
    <mergeCell ref="AT183:AV183"/>
    <mergeCell ref="AX183:BA183"/>
    <mergeCell ref="BB183:BE183"/>
    <mergeCell ref="BF183:BI183"/>
    <mergeCell ref="BJ183:BM183"/>
    <mergeCell ref="BN183:BQ183"/>
    <mergeCell ref="AH182:AJ182"/>
    <mergeCell ref="AK182:AM182"/>
    <mergeCell ref="AN182:AP182"/>
    <mergeCell ref="AQ182:AS182"/>
    <mergeCell ref="AT182:AV182"/>
    <mergeCell ref="AX182:BA182"/>
    <mergeCell ref="BB182:BE182"/>
    <mergeCell ref="BF182:BI182"/>
    <mergeCell ref="BJ182:BM182"/>
    <mergeCell ref="A182:F182"/>
    <mergeCell ref="G182:J182"/>
    <mergeCell ref="K182:M182"/>
    <mergeCell ref="N182:P182"/>
    <mergeCell ref="R182:T182"/>
    <mergeCell ref="U182:W182"/>
    <mergeCell ref="X182:Z182"/>
    <mergeCell ref="AA182:AC182"/>
    <mergeCell ref="AD182:AF182"/>
    <mergeCell ref="BN180:BQ180"/>
    <mergeCell ref="A181:F181"/>
    <mergeCell ref="G181:J181"/>
    <mergeCell ref="K181:M181"/>
    <mergeCell ref="N181:P181"/>
    <mergeCell ref="R181:T181"/>
    <mergeCell ref="U181:W181"/>
    <mergeCell ref="X181:Z181"/>
    <mergeCell ref="AA181:AC181"/>
    <mergeCell ref="AD181:AF181"/>
    <mergeCell ref="AH181:AJ181"/>
    <mergeCell ref="AK181:AM181"/>
    <mergeCell ref="AN181:AP181"/>
    <mergeCell ref="AQ181:AS181"/>
    <mergeCell ref="AT181:AV181"/>
    <mergeCell ref="AX181:BA181"/>
    <mergeCell ref="BB181:BE181"/>
    <mergeCell ref="BF181:BI181"/>
    <mergeCell ref="BJ181:BM181"/>
    <mergeCell ref="BN181:BQ181"/>
    <mergeCell ref="AH180:AJ180"/>
    <mergeCell ref="AK180:AM180"/>
    <mergeCell ref="AN180:AP180"/>
    <mergeCell ref="AQ180:AS180"/>
    <mergeCell ref="AT180:AV180"/>
    <mergeCell ref="AX180:BA180"/>
    <mergeCell ref="BB180:BE180"/>
    <mergeCell ref="BF180:BI180"/>
    <mergeCell ref="BJ180:BM180"/>
    <mergeCell ref="A180:F180"/>
    <mergeCell ref="G180:J180"/>
    <mergeCell ref="K180:M180"/>
    <mergeCell ref="N180:P180"/>
    <mergeCell ref="R180:T180"/>
    <mergeCell ref="U180:W180"/>
    <mergeCell ref="X180:Z180"/>
    <mergeCell ref="AA180:AC180"/>
    <mergeCell ref="AD180:AF180"/>
    <mergeCell ref="BN178:BQ178"/>
    <mergeCell ref="A179:F179"/>
    <mergeCell ref="G179:J179"/>
    <mergeCell ref="K179:M179"/>
    <mergeCell ref="N179:P179"/>
    <mergeCell ref="R179:T179"/>
    <mergeCell ref="U179:W179"/>
    <mergeCell ref="X179:Z179"/>
    <mergeCell ref="AA179:AC179"/>
    <mergeCell ref="AD179:AF179"/>
    <mergeCell ref="AH179:AJ179"/>
    <mergeCell ref="AK179:AM179"/>
    <mergeCell ref="AN179:AP179"/>
    <mergeCell ref="AQ179:AS179"/>
    <mergeCell ref="AT179:AV179"/>
    <mergeCell ref="AX179:BA179"/>
    <mergeCell ref="BB179:BE179"/>
    <mergeCell ref="BF179:BI179"/>
    <mergeCell ref="BJ179:BM179"/>
    <mergeCell ref="BN179:BQ179"/>
    <mergeCell ref="AH178:AJ178"/>
    <mergeCell ref="AK178:AM178"/>
    <mergeCell ref="AN178:AP178"/>
    <mergeCell ref="AQ178:AS178"/>
    <mergeCell ref="AT178:AV178"/>
    <mergeCell ref="AX178:BA178"/>
    <mergeCell ref="BB178:BE178"/>
    <mergeCell ref="BF178:BI178"/>
    <mergeCell ref="BJ178:BM178"/>
    <mergeCell ref="A178:F178"/>
    <mergeCell ref="G178:J178"/>
    <mergeCell ref="K178:M178"/>
    <mergeCell ref="N178:P178"/>
    <mergeCell ref="R178:T178"/>
    <mergeCell ref="U178:W178"/>
    <mergeCell ref="X178:Z178"/>
    <mergeCell ref="AA178:AC178"/>
    <mergeCell ref="AD178:AF178"/>
    <mergeCell ref="BN176:BQ176"/>
    <mergeCell ref="A177:F177"/>
    <mergeCell ref="G177:J177"/>
    <mergeCell ref="K177:M177"/>
    <mergeCell ref="N177:P177"/>
    <mergeCell ref="R177:T177"/>
    <mergeCell ref="U177:W177"/>
    <mergeCell ref="X177:Z177"/>
    <mergeCell ref="AA177:AC177"/>
    <mergeCell ref="AD177:AF177"/>
    <mergeCell ref="AH177:AJ177"/>
    <mergeCell ref="AK177:AM177"/>
    <mergeCell ref="AN177:AP177"/>
    <mergeCell ref="AQ177:AS177"/>
    <mergeCell ref="AT177:AV177"/>
    <mergeCell ref="AX177:BA177"/>
    <mergeCell ref="BB177:BE177"/>
    <mergeCell ref="BF177:BI177"/>
    <mergeCell ref="BJ177:BM177"/>
    <mergeCell ref="BN177:BQ177"/>
    <mergeCell ref="AH176:AJ176"/>
    <mergeCell ref="AK176:AM176"/>
    <mergeCell ref="AN176:AP176"/>
    <mergeCell ref="AQ176:AS176"/>
    <mergeCell ref="AT176:AV176"/>
    <mergeCell ref="AX176:BA176"/>
    <mergeCell ref="BB176:BE176"/>
    <mergeCell ref="BF176:BI176"/>
    <mergeCell ref="BJ176:BM176"/>
    <mergeCell ref="A176:F176"/>
    <mergeCell ref="G176:J176"/>
    <mergeCell ref="K176:M176"/>
    <mergeCell ref="N176:P176"/>
    <mergeCell ref="R176:T176"/>
    <mergeCell ref="U176:W176"/>
    <mergeCell ref="X176:Z176"/>
    <mergeCell ref="AA176:AC176"/>
    <mergeCell ref="AD176:AF176"/>
    <mergeCell ref="BN174:BQ174"/>
    <mergeCell ref="A175:F175"/>
    <mergeCell ref="G175:J175"/>
    <mergeCell ref="K175:M175"/>
    <mergeCell ref="N175:P175"/>
    <mergeCell ref="R175:T175"/>
    <mergeCell ref="U175:W175"/>
    <mergeCell ref="X175:Z175"/>
    <mergeCell ref="AA175:AC175"/>
    <mergeCell ref="AD175:AF175"/>
    <mergeCell ref="AH175:AJ175"/>
    <mergeCell ref="AK175:AM175"/>
    <mergeCell ref="AN175:AP175"/>
    <mergeCell ref="AQ175:AS175"/>
    <mergeCell ref="AT175:AV175"/>
    <mergeCell ref="AX175:BA175"/>
    <mergeCell ref="BB175:BE175"/>
    <mergeCell ref="BF175:BI175"/>
    <mergeCell ref="BJ175:BM175"/>
    <mergeCell ref="BN175:BQ175"/>
    <mergeCell ref="AH174:AJ174"/>
    <mergeCell ref="AK174:AM174"/>
    <mergeCell ref="AN174:AP174"/>
    <mergeCell ref="AQ174:AS174"/>
    <mergeCell ref="AT174:AV174"/>
    <mergeCell ref="AX174:BA174"/>
    <mergeCell ref="BB174:BE174"/>
    <mergeCell ref="BF174:BI174"/>
    <mergeCell ref="BJ174:BM174"/>
    <mergeCell ref="A174:F174"/>
    <mergeCell ref="G174:J174"/>
    <mergeCell ref="K174:M174"/>
    <mergeCell ref="N174:P174"/>
    <mergeCell ref="R174:T174"/>
    <mergeCell ref="U174:W174"/>
    <mergeCell ref="X174:Z174"/>
    <mergeCell ref="AA174:AC174"/>
    <mergeCell ref="AD174:AF174"/>
    <mergeCell ref="BN172:BQ172"/>
    <mergeCell ref="A173:F173"/>
    <mergeCell ref="G173:J173"/>
    <mergeCell ref="K173:M173"/>
    <mergeCell ref="N173:P173"/>
    <mergeCell ref="R173:T173"/>
    <mergeCell ref="U173:W173"/>
    <mergeCell ref="X173:Z173"/>
    <mergeCell ref="AA173:AC173"/>
    <mergeCell ref="AD173:AF173"/>
    <mergeCell ref="AH173:AJ173"/>
    <mergeCell ref="AK173:AM173"/>
    <mergeCell ref="AN173:AP173"/>
    <mergeCell ref="AQ173:AS173"/>
    <mergeCell ref="AT173:AV173"/>
    <mergeCell ref="AX173:BA173"/>
    <mergeCell ref="BB173:BE173"/>
    <mergeCell ref="BF173:BI173"/>
    <mergeCell ref="BJ173:BM173"/>
    <mergeCell ref="BN173:BQ173"/>
    <mergeCell ref="AH172:AJ172"/>
    <mergeCell ref="AK172:AM172"/>
    <mergeCell ref="AN172:AP172"/>
    <mergeCell ref="AQ172:AS172"/>
    <mergeCell ref="AT172:AV172"/>
    <mergeCell ref="AX172:BA172"/>
    <mergeCell ref="BB172:BE172"/>
    <mergeCell ref="BF172:BI172"/>
    <mergeCell ref="BJ172:BM172"/>
    <mergeCell ref="A172:F172"/>
    <mergeCell ref="G172:J172"/>
    <mergeCell ref="K172:M172"/>
    <mergeCell ref="N172:P172"/>
    <mergeCell ref="R172:T172"/>
    <mergeCell ref="U172:W172"/>
    <mergeCell ref="X172:Z172"/>
    <mergeCell ref="AA172:AC172"/>
    <mergeCell ref="AD172:AF172"/>
    <mergeCell ref="BN170:BQ170"/>
    <mergeCell ref="A171:F171"/>
    <mergeCell ref="G171:J171"/>
    <mergeCell ref="K171:M171"/>
    <mergeCell ref="N171:P171"/>
    <mergeCell ref="R171:T171"/>
    <mergeCell ref="U171:W171"/>
    <mergeCell ref="X171:Z171"/>
    <mergeCell ref="AA171:AC171"/>
    <mergeCell ref="AD171:AF171"/>
    <mergeCell ref="AH171:AJ171"/>
    <mergeCell ref="AK171:AM171"/>
    <mergeCell ref="AN171:AP171"/>
    <mergeCell ref="AQ171:AS171"/>
    <mergeCell ref="AT171:AV171"/>
    <mergeCell ref="AX171:BA171"/>
    <mergeCell ref="BB171:BE171"/>
    <mergeCell ref="BF171:BI171"/>
    <mergeCell ref="BJ171:BM171"/>
    <mergeCell ref="BN171:BQ171"/>
    <mergeCell ref="AH170:AJ170"/>
    <mergeCell ref="AK170:AM170"/>
    <mergeCell ref="AN170:AP170"/>
    <mergeCell ref="AQ170:AS170"/>
    <mergeCell ref="AT170:AV170"/>
    <mergeCell ref="AX170:BA170"/>
    <mergeCell ref="BB170:BE170"/>
    <mergeCell ref="BF170:BI170"/>
    <mergeCell ref="BJ170:BM170"/>
    <mergeCell ref="A170:F170"/>
    <mergeCell ref="G170:J170"/>
    <mergeCell ref="K170:M170"/>
    <mergeCell ref="N170:P170"/>
    <mergeCell ref="R170:T170"/>
    <mergeCell ref="U170:W170"/>
    <mergeCell ref="X170:Z170"/>
    <mergeCell ref="AA170:AC170"/>
    <mergeCell ref="AD170:AF170"/>
    <mergeCell ref="BN168:BQ168"/>
    <mergeCell ref="A169:F169"/>
    <mergeCell ref="G169:J169"/>
    <mergeCell ref="K169:M169"/>
    <mergeCell ref="N169:P169"/>
    <mergeCell ref="R169:T169"/>
    <mergeCell ref="U169:W169"/>
    <mergeCell ref="X169:Z169"/>
    <mergeCell ref="AA169:AC169"/>
    <mergeCell ref="AD169:AF169"/>
    <mergeCell ref="AH169:AJ169"/>
    <mergeCell ref="AK169:AM169"/>
    <mergeCell ref="AN169:AP169"/>
    <mergeCell ref="AQ169:AS169"/>
    <mergeCell ref="AT169:AV169"/>
    <mergeCell ref="AX169:BA169"/>
    <mergeCell ref="BB169:BE169"/>
    <mergeCell ref="BF169:BI169"/>
    <mergeCell ref="BJ169:BM169"/>
    <mergeCell ref="BN169:BQ169"/>
    <mergeCell ref="AH168:AJ168"/>
    <mergeCell ref="AK168:AM168"/>
    <mergeCell ref="AN168:AP168"/>
    <mergeCell ref="AQ168:AS168"/>
    <mergeCell ref="AT168:AV168"/>
    <mergeCell ref="AX168:BA168"/>
    <mergeCell ref="BB168:BE168"/>
    <mergeCell ref="BF168:BI168"/>
    <mergeCell ref="BJ168:BM168"/>
    <mergeCell ref="A168:F168"/>
    <mergeCell ref="G168:J168"/>
    <mergeCell ref="K168:M168"/>
    <mergeCell ref="N168:P168"/>
    <mergeCell ref="R168:T168"/>
    <mergeCell ref="U168:W168"/>
    <mergeCell ref="X168:Z168"/>
    <mergeCell ref="AA168:AC168"/>
    <mergeCell ref="AD168:AF168"/>
    <mergeCell ref="BN166:BQ166"/>
    <mergeCell ref="A167:F167"/>
    <mergeCell ref="G167:J167"/>
    <mergeCell ref="K167:M167"/>
    <mergeCell ref="N167:P167"/>
    <mergeCell ref="R167:T167"/>
    <mergeCell ref="U167:W167"/>
    <mergeCell ref="X167:Z167"/>
    <mergeCell ref="AA167:AC167"/>
    <mergeCell ref="AD167:AF167"/>
    <mergeCell ref="AH167:AJ167"/>
    <mergeCell ref="AK167:AM167"/>
    <mergeCell ref="AN167:AP167"/>
    <mergeCell ref="AQ167:AS167"/>
    <mergeCell ref="AT167:AV167"/>
    <mergeCell ref="AX167:BA167"/>
    <mergeCell ref="BB167:BE167"/>
    <mergeCell ref="BF167:BI167"/>
    <mergeCell ref="BJ167:BM167"/>
    <mergeCell ref="BN167:BQ167"/>
    <mergeCell ref="AH166:AJ166"/>
    <mergeCell ref="AK166:AM166"/>
    <mergeCell ref="AN166:AP166"/>
    <mergeCell ref="AQ166:AS166"/>
    <mergeCell ref="AT166:AV166"/>
    <mergeCell ref="AX166:BA166"/>
    <mergeCell ref="BB166:BE166"/>
    <mergeCell ref="BF166:BI166"/>
    <mergeCell ref="BJ166:BM166"/>
    <mergeCell ref="A166:F166"/>
    <mergeCell ref="G166:J166"/>
    <mergeCell ref="K166:M166"/>
    <mergeCell ref="N166:P166"/>
    <mergeCell ref="R166:T166"/>
    <mergeCell ref="U166:W166"/>
    <mergeCell ref="X166:Z166"/>
    <mergeCell ref="AA166:AC166"/>
    <mergeCell ref="AD166:AF166"/>
    <mergeCell ref="BN164:BQ164"/>
    <mergeCell ref="A165:F165"/>
    <mergeCell ref="G165:J165"/>
    <mergeCell ref="K165:M165"/>
    <mergeCell ref="N165:P165"/>
    <mergeCell ref="R165:T165"/>
    <mergeCell ref="U165:W165"/>
    <mergeCell ref="X165:Z165"/>
    <mergeCell ref="AA165:AC165"/>
    <mergeCell ref="AD165:AF165"/>
    <mergeCell ref="AH165:AJ165"/>
    <mergeCell ref="AK165:AM165"/>
    <mergeCell ref="AN165:AP165"/>
    <mergeCell ref="AQ165:AS165"/>
    <mergeCell ref="AT165:AV165"/>
    <mergeCell ref="AX165:BA165"/>
    <mergeCell ref="BB165:BE165"/>
    <mergeCell ref="BF165:BI165"/>
    <mergeCell ref="BJ165:BM165"/>
    <mergeCell ref="BN165:BQ165"/>
    <mergeCell ref="AH164:AJ164"/>
    <mergeCell ref="AK164:AM164"/>
    <mergeCell ref="AN164:AP164"/>
    <mergeCell ref="AQ164:AS164"/>
    <mergeCell ref="AT164:AV164"/>
    <mergeCell ref="AX164:BA164"/>
    <mergeCell ref="BB164:BE164"/>
    <mergeCell ref="BF164:BI164"/>
    <mergeCell ref="BJ164:BM164"/>
    <mergeCell ref="A164:F164"/>
    <mergeCell ref="G164:J164"/>
    <mergeCell ref="K164:M164"/>
    <mergeCell ref="N164:P164"/>
    <mergeCell ref="R164:T164"/>
    <mergeCell ref="U164:W164"/>
    <mergeCell ref="X164:Z164"/>
    <mergeCell ref="AA164:AC164"/>
    <mergeCell ref="AD164:AF164"/>
    <mergeCell ref="BF162:BI162"/>
    <mergeCell ref="A161:F161"/>
    <mergeCell ref="G161:J161"/>
    <mergeCell ref="K161:M161"/>
    <mergeCell ref="N161:P161"/>
    <mergeCell ref="A160:P160"/>
    <mergeCell ref="AH160:AV160"/>
    <mergeCell ref="AX160:BQ160"/>
    <mergeCell ref="A144:C144"/>
    <mergeCell ref="BJ162:BM162"/>
    <mergeCell ref="BN162:BQ162"/>
    <mergeCell ref="BN161:BQ161"/>
    <mergeCell ref="A163:F163"/>
    <mergeCell ref="G163:J163"/>
    <mergeCell ref="K163:M163"/>
    <mergeCell ref="N163:P163"/>
    <mergeCell ref="R163:T163"/>
    <mergeCell ref="U163:W163"/>
    <mergeCell ref="X163:Z163"/>
    <mergeCell ref="AA163:AC163"/>
    <mergeCell ref="AD163:AF163"/>
    <mergeCell ref="AH163:AJ163"/>
    <mergeCell ref="AK163:AM163"/>
    <mergeCell ref="AN163:AP163"/>
    <mergeCell ref="AQ163:AS163"/>
    <mergeCell ref="AT163:AV163"/>
    <mergeCell ref="AX163:BA163"/>
    <mergeCell ref="BB163:BE163"/>
    <mergeCell ref="BF163:BI163"/>
    <mergeCell ref="BJ163:BM163"/>
    <mergeCell ref="BN163:BQ163"/>
    <mergeCell ref="BP144:BQ144"/>
    <mergeCell ref="A162:F162"/>
    <mergeCell ref="G162:J162"/>
    <mergeCell ref="K162:M162"/>
    <mergeCell ref="N162:P162"/>
    <mergeCell ref="R162:T162"/>
    <mergeCell ref="R160:AF160"/>
    <mergeCell ref="AD162:AF162"/>
    <mergeCell ref="AA162:AC162"/>
    <mergeCell ref="X162:Z162"/>
    <mergeCell ref="U162:W162"/>
    <mergeCell ref="AT162:AV162"/>
    <mergeCell ref="AQ162:AS162"/>
    <mergeCell ref="AN162:AP162"/>
    <mergeCell ref="AK162:AM162"/>
    <mergeCell ref="AH162:AJ162"/>
    <mergeCell ref="AX162:BA162"/>
    <mergeCell ref="BB162:BE162"/>
    <mergeCell ref="U161:W161"/>
    <mergeCell ref="X161:Z161"/>
    <mergeCell ref="AA161:AC161"/>
    <mergeCell ref="A13:C13"/>
    <mergeCell ref="BO22:BR22"/>
    <mergeCell ref="BC23:BE23"/>
    <mergeCell ref="BG23:BM23"/>
    <mergeCell ref="BO23:BR23"/>
    <mergeCell ref="BC24:BE24"/>
    <mergeCell ref="BG24:BM24"/>
    <mergeCell ref="BO24:BR24"/>
    <mergeCell ref="BC19:BE19"/>
    <mergeCell ref="BG19:BM19"/>
    <mergeCell ref="BO19:BR19"/>
    <mergeCell ref="BC20:BE20"/>
    <mergeCell ref="BG20:BM20"/>
    <mergeCell ref="BO20:BR20"/>
    <mergeCell ref="BC21:BE21"/>
    <mergeCell ref="BC29:BE29"/>
    <mergeCell ref="BG29:BM29"/>
    <mergeCell ref="BO29:BR29"/>
    <mergeCell ref="BC28:BE28"/>
    <mergeCell ref="BG28:BM28"/>
    <mergeCell ref="BO28:BR28"/>
    <mergeCell ref="M25:P25"/>
    <mergeCell ref="BG21:BM21"/>
    <mergeCell ref="A14:C14"/>
    <mergeCell ref="A1:BR1"/>
    <mergeCell ref="A3:H3"/>
    <mergeCell ref="A4:H4"/>
    <mergeCell ref="A5:H5"/>
    <mergeCell ref="J3:M3"/>
    <mergeCell ref="J4:M4"/>
    <mergeCell ref="J5:M5"/>
    <mergeCell ref="BC25:BE25"/>
    <mergeCell ref="BG25:BM25"/>
    <mergeCell ref="BO25:BR25"/>
    <mergeCell ref="BC26:BE26"/>
    <mergeCell ref="BG26:BM26"/>
    <mergeCell ref="BO26:BR26"/>
    <mergeCell ref="BC27:BE27"/>
    <mergeCell ref="BG27:BM27"/>
    <mergeCell ref="BO27:BR27"/>
    <mergeCell ref="BC22:BE22"/>
    <mergeCell ref="BG22:BM22"/>
    <mergeCell ref="BO21:BR21"/>
    <mergeCell ref="BC16:BE16"/>
    <mergeCell ref="BG16:BM16"/>
    <mergeCell ref="BO16:BR16"/>
    <mergeCell ref="BC17:BE17"/>
    <mergeCell ref="BG17:BM17"/>
    <mergeCell ref="BO17:BR17"/>
    <mergeCell ref="BC18:BE18"/>
    <mergeCell ref="BG18:BM18"/>
    <mergeCell ref="BO18:BR18"/>
    <mergeCell ref="M27:P27"/>
    <mergeCell ref="A11:C11"/>
    <mergeCell ref="A12:C12"/>
    <mergeCell ref="BC10:BE10"/>
    <mergeCell ref="BG10:BM10"/>
    <mergeCell ref="BO10:BR10"/>
    <mergeCell ref="BC11:BE11"/>
    <mergeCell ref="BG11:BM11"/>
    <mergeCell ref="BO11:BR11"/>
    <mergeCell ref="BC12:BE12"/>
    <mergeCell ref="BG12:BM12"/>
    <mergeCell ref="BO12:BR12"/>
    <mergeCell ref="BC13:BE13"/>
    <mergeCell ref="BG13:BM13"/>
    <mergeCell ref="BO13:BR13"/>
    <mergeCell ref="BC14:BE14"/>
    <mergeCell ref="BG14:BM14"/>
    <mergeCell ref="BO14:BR14"/>
    <mergeCell ref="BC15:BE15"/>
    <mergeCell ref="BG15:BM15"/>
    <mergeCell ref="BO15:BR15"/>
    <mergeCell ref="BC87:BE87"/>
    <mergeCell ref="BG87:BM87"/>
    <mergeCell ref="BO87:BR87"/>
    <mergeCell ref="E11:K11"/>
    <mergeCell ref="M11:P11"/>
    <mergeCell ref="E12:K12"/>
    <mergeCell ref="M12:P12"/>
    <mergeCell ref="E13:K13"/>
    <mergeCell ref="M13:P13"/>
    <mergeCell ref="E14:K14"/>
    <mergeCell ref="M14:P14"/>
    <mergeCell ref="E15:K15"/>
    <mergeCell ref="M15:P15"/>
    <mergeCell ref="E16:K16"/>
    <mergeCell ref="M16:P16"/>
    <mergeCell ref="E17:K17"/>
    <mergeCell ref="M17:P17"/>
    <mergeCell ref="E18:K18"/>
    <mergeCell ref="M18:P18"/>
    <mergeCell ref="E19:K19"/>
    <mergeCell ref="M19:P19"/>
    <mergeCell ref="E20:K20"/>
    <mergeCell ref="M20:P20"/>
    <mergeCell ref="E21:K21"/>
    <mergeCell ref="AW83:AZ83"/>
    <mergeCell ref="AK79:AM79"/>
    <mergeCell ref="AO79:AU79"/>
    <mergeCell ref="AW79:AZ79"/>
    <mergeCell ref="BC79:BE79"/>
    <mergeCell ref="BG79:BM79"/>
    <mergeCell ref="BO79:BR79"/>
    <mergeCell ref="E57:K57"/>
    <mergeCell ref="A87:C87"/>
    <mergeCell ref="E87:K87"/>
    <mergeCell ref="M87:P87"/>
    <mergeCell ref="S87:U87"/>
    <mergeCell ref="W87:AC87"/>
    <mergeCell ref="AE87:AH87"/>
    <mergeCell ref="AK87:AM87"/>
    <mergeCell ref="AO87:AU87"/>
    <mergeCell ref="AW87:AZ87"/>
    <mergeCell ref="BC83:BE83"/>
    <mergeCell ref="BG83:BM83"/>
    <mergeCell ref="BO83:BR83"/>
    <mergeCell ref="A85:C85"/>
    <mergeCell ref="E85:K85"/>
    <mergeCell ref="M85:P85"/>
    <mergeCell ref="S85:U85"/>
    <mergeCell ref="W85:AC85"/>
    <mergeCell ref="AE85:AH85"/>
    <mergeCell ref="AK85:AM85"/>
    <mergeCell ref="AO85:AU85"/>
    <mergeCell ref="AW85:AZ85"/>
    <mergeCell ref="BC85:BE85"/>
    <mergeCell ref="BG85:BM85"/>
    <mergeCell ref="BO85:BR85"/>
    <mergeCell ref="A83:C83"/>
    <mergeCell ref="E83:K83"/>
    <mergeCell ref="M83:P83"/>
    <mergeCell ref="S83:U83"/>
    <mergeCell ref="W83:AC83"/>
    <mergeCell ref="AE83:AH83"/>
    <mergeCell ref="AK83:AM83"/>
    <mergeCell ref="AO83:AU83"/>
    <mergeCell ref="A81:C81"/>
    <mergeCell ref="E81:K81"/>
    <mergeCell ref="M81:P81"/>
    <mergeCell ref="S81:U81"/>
    <mergeCell ref="W81:AC81"/>
    <mergeCell ref="AE81:AH81"/>
    <mergeCell ref="AK81:AM81"/>
    <mergeCell ref="AO81:AU81"/>
    <mergeCell ref="AW81:AZ81"/>
    <mergeCell ref="BC81:BE81"/>
    <mergeCell ref="BG81:BM81"/>
    <mergeCell ref="BO81:BR81"/>
    <mergeCell ref="S75:U75"/>
    <mergeCell ref="W75:AC75"/>
    <mergeCell ref="AE75:AH75"/>
    <mergeCell ref="S77:U77"/>
    <mergeCell ref="W77:AC77"/>
    <mergeCell ref="AE77:AH77"/>
    <mergeCell ref="A79:C79"/>
    <mergeCell ref="E79:K79"/>
    <mergeCell ref="M79:P79"/>
    <mergeCell ref="S79:U79"/>
    <mergeCell ref="W79:AC79"/>
    <mergeCell ref="AE79:AH79"/>
    <mergeCell ref="A75:C75"/>
    <mergeCell ref="E75:K75"/>
    <mergeCell ref="M75:P75"/>
    <mergeCell ref="A77:C77"/>
    <mergeCell ref="E77:K77"/>
    <mergeCell ref="M77:P77"/>
    <mergeCell ref="BO75:BR75"/>
    <mergeCell ref="BC77:BE77"/>
    <mergeCell ref="BC75:BE75"/>
    <mergeCell ref="BG75:BM75"/>
    <mergeCell ref="A71:C71"/>
    <mergeCell ref="E71:K71"/>
    <mergeCell ref="M71:P71"/>
    <mergeCell ref="A73:C73"/>
    <mergeCell ref="E73:K73"/>
    <mergeCell ref="AK75:AM75"/>
    <mergeCell ref="AO75:AU75"/>
    <mergeCell ref="AW75:AZ75"/>
    <mergeCell ref="AK77:AM77"/>
    <mergeCell ref="AO77:AU77"/>
    <mergeCell ref="AW77:AZ77"/>
    <mergeCell ref="S63:U63"/>
    <mergeCell ref="W63:AC63"/>
    <mergeCell ref="AE63:AH63"/>
    <mergeCell ref="S65:U65"/>
    <mergeCell ref="W65:AC65"/>
    <mergeCell ref="AE65:AH65"/>
    <mergeCell ref="S67:U67"/>
    <mergeCell ref="W67:AC67"/>
    <mergeCell ref="AE67:AH67"/>
    <mergeCell ref="S69:U69"/>
    <mergeCell ref="W69:AC69"/>
    <mergeCell ref="AE69:AH69"/>
    <mergeCell ref="S71:U71"/>
    <mergeCell ref="W71:AC71"/>
    <mergeCell ref="AE71:AH71"/>
    <mergeCell ref="S73:U73"/>
    <mergeCell ref="W73:AC73"/>
    <mergeCell ref="AE73:AH73"/>
    <mergeCell ref="AK69:AM69"/>
    <mergeCell ref="BC65:BE65"/>
    <mergeCell ref="BG65:BM65"/>
    <mergeCell ref="BO65:BR65"/>
    <mergeCell ref="AK71:AM71"/>
    <mergeCell ref="AO71:AU71"/>
    <mergeCell ref="AW71:AZ71"/>
    <mergeCell ref="AK73:AM73"/>
    <mergeCell ref="AO73:AU73"/>
    <mergeCell ref="AW73:AZ73"/>
    <mergeCell ref="AK63:AM63"/>
    <mergeCell ref="AO63:AU63"/>
    <mergeCell ref="AW63:AZ63"/>
    <mergeCell ref="AK65:AM65"/>
    <mergeCell ref="AO65:AU65"/>
    <mergeCell ref="AW65:AZ65"/>
    <mergeCell ref="AK67:AM67"/>
    <mergeCell ref="AO67:AU67"/>
    <mergeCell ref="AW67:AZ67"/>
    <mergeCell ref="AO69:AU69"/>
    <mergeCell ref="AW69:AZ69"/>
    <mergeCell ref="M61:P61"/>
    <mergeCell ref="S61:U61"/>
    <mergeCell ref="W61:AC61"/>
    <mergeCell ref="AE61:AH61"/>
    <mergeCell ref="AK61:AM61"/>
    <mergeCell ref="AO61:AU61"/>
    <mergeCell ref="AW61:AZ61"/>
    <mergeCell ref="BC61:BE61"/>
    <mergeCell ref="BG61:BM61"/>
    <mergeCell ref="BO61:BR61"/>
    <mergeCell ref="AE59:AH59"/>
    <mergeCell ref="AK59:AM59"/>
    <mergeCell ref="AO59:AU59"/>
    <mergeCell ref="AW59:AZ59"/>
    <mergeCell ref="BC59:BE59"/>
    <mergeCell ref="BG77:BM77"/>
    <mergeCell ref="BO77:BR77"/>
    <mergeCell ref="BC71:BE71"/>
    <mergeCell ref="BG71:BM71"/>
    <mergeCell ref="BO71:BR71"/>
    <mergeCell ref="BC73:BE73"/>
    <mergeCell ref="BG73:BM73"/>
    <mergeCell ref="BO73:BR73"/>
    <mergeCell ref="BC67:BE67"/>
    <mergeCell ref="BG67:BM67"/>
    <mergeCell ref="BO67:BR67"/>
    <mergeCell ref="BC69:BE69"/>
    <mergeCell ref="BG69:BM69"/>
    <mergeCell ref="BO69:BR69"/>
    <mergeCell ref="BC63:BE63"/>
    <mergeCell ref="BG63:BM63"/>
    <mergeCell ref="BO63:BR63"/>
    <mergeCell ref="S59:U59"/>
    <mergeCell ref="W59:AC59"/>
    <mergeCell ref="AK55:AZ55"/>
    <mergeCell ref="BC55:BR55"/>
    <mergeCell ref="A57:C57"/>
    <mergeCell ref="M57:P57"/>
    <mergeCell ref="S57:U57"/>
    <mergeCell ref="W57:AC57"/>
    <mergeCell ref="AE57:AH57"/>
    <mergeCell ref="AK57:AM57"/>
    <mergeCell ref="AO57:AU57"/>
    <mergeCell ref="AW57:AZ57"/>
    <mergeCell ref="BC57:BE57"/>
    <mergeCell ref="BG57:BM57"/>
    <mergeCell ref="BO57:BR57"/>
    <mergeCell ref="M73:P73"/>
    <mergeCell ref="A67:C67"/>
    <mergeCell ref="E67:K67"/>
    <mergeCell ref="M67:P67"/>
    <mergeCell ref="A69:C69"/>
    <mergeCell ref="E69:K69"/>
    <mergeCell ref="M69:P69"/>
    <mergeCell ref="A63:C63"/>
    <mergeCell ref="E63:K63"/>
    <mergeCell ref="M63:P63"/>
    <mergeCell ref="A65:C65"/>
    <mergeCell ref="E65:K65"/>
    <mergeCell ref="M65:P65"/>
    <mergeCell ref="BG59:BM59"/>
    <mergeCell ref="BO59:BR59"/>
    <mergeCell ref="A61:C61"/>
    <mergeCell ref="E61:K61"/>
    <mergeCell ref="AK112:AM112"/>
    <mergeCell ref="A52:C52"/>
    <mergeCell ref="A55:P55"/>
    <mergeCell ref="S55:AH55"/>
    <mergeCell ref="A25:C25"/>
    <mergeCell ref="A26:C26"/>
    <mergeCell ref="A27:C27"/>
    <mergeCell ref="A28:C28"/>
    <mergeCell ref="A29:C29"/>
    <mergeCell ref="A20:C20"/>
    <mergeCell ref="A21:C21"/>
    <mergeCell ref="A22:C22"/>
    <mergeCell ref="A23:C23"/>
    <mergeCell ref="A24:C24"/>
    <mergeCell ref="M21:P21"/>
    <mergeCell ref="E22:K22"/>
    <mergeCell ref="M22:P22"/>
    <mergeCell ref="E23:K23"/>
    <mergeCell ref="M23:P23"/>
    <mergeCell ref="E24:K24"/>
    <mergeCell ref="E25:K25"/>
    <mergeCell ref="M24:P24"/>
    <mergeCell ref="E26:K26"/>
    <mergeCell ref="M26:P26"/>
    <mergeCell ref="E27:K27"/>
    <mergeCell ref="E28:K28"/>
    <mergeCell ref="M28:P28"/>
    <mergeCell ref="E29:K29"/>
    <mergeCell ref="M29:P29"/>
    <mergeCell ref="A59:C59"/>
    <mergeCell ref="E59:K59"/>
    <mergeCell ref="M59:P59"/>
    <mergeCell ref="S137:U137"/>
    <mergeCell ref="S113:U113"/>
    <mergeCell ref="V113:AE113"/>
    <mergeCell ref="AF113:AH113"/>
    <mergeCell ref="BC8:BE8"/>
    <mergeCell ref="BG8:BM8"/>
    <mergeCell ref="BO8:BR8"/>
    <mergeCell ref="BC7:BR7"/>
    <mergeCell ref="R7:BA8"/>
    <mergeCell ref="BJ161:BM161"/>
    <mergeCell ref="A7:P7"/>
    <mergeCell ref="A8:C8"/>
    <mergeCell ref="E8:K8"/>
    <mergeCell ref="M8:P8"/>
    <mergeCell ref="A10:C10"/>
    <mergeCell ref="E10:K10"/>
    <mergeCell ref="M10:P10"/>
    <mergeCell ref="A15:C15"/>
    <mergeCell ref="A16:C16"/>
    <mergeCell ref="A17:C17"/>
    <mergeCell ref="A18:C18"/>
    <mergeCell ref="A19:C19"/>
    <mergeCell ref="AT161:AV161"/>
    <mergeCell ref="BB161:BE161"/>
    <mergeCell ref="AX161:BA161"/>
    <mergeCell ref="BF161:BI161"/>
    <mergeCell ref="AD161:AF161"/>
    <mergeCell ref="AH161:AJ161"/>
    <mergeCell ref="AK161:AM161"/>
    <mergeCell ref="AN161:AP161"/>
    <mergeCell ref="AQ161:AS161"/>
    <mergeCell ref="R161:T161"/>
    <mergeCell ref="AK137:AM137"/>
    <mergeCell ref="AN137:AW137"/>
    <mergeCell ref="AX137:AZ137"/>
    <mergeCell ref="AK138:AM138"/>
    <mergeCell ref="S112:U112"/>
    <mergeCell ref="V112:AE112"/>
    <mergeCell ref="AF112:AH112"/>
    <mergeCell ref="AN112:AW112"/>
    <mergeCell ref="AX112:AZ112"/>
    <mergeCell ref="V128:AE128"/>
    <mergeCell ref="AF128:AH128"/>
    <mergeCell ref="AN128:AW128"/>
    <mergeCell ref="AX128:AZ128"/>
    <mergeCell ref="A110:P110"/>
    <mergeCell ref="S110:AH110"/>
    <mergeCell ref="AK110:AZ110"/>
    <mergeCell ref="A142:P142"/>
    <mergeCell ref="A126:P126"/>
    <mergeCell ref="S142:AH142"/>
    <mergeCell ref="S126:AH126"/>
    <mergeCell ref="AK142:AZ142"/>
    <mergeCell ref="AK126:AZ126"/>
    <mergeCell ref="A112:C112"/>
    <mergeCell ref="N112:P112"/>
    <mergeCell ref="D112:M112"/>
    <mergeCell ref="D128:M128"/>
    <mergeCell ref="N128:P128"/>
    <mergeCell ref="A128:C128"/>
    <mergeCell ref="S128:U128"/>
    <mergeCell ref="S136:U136"/>
    <mergeCell ref="V136:AE136"/>
    <mergeCell ref="AF136:AH136"/>
    <mergeCell ref="A121:C121"/>
    <mergeCell ref="D121:M121"/>
    <mergeCell ref="N121:P121"/>
    <mergeCell ref="A122:C122"/>
    <mergeCell ref="D122:M122"/>
    <mergeCell ref="N122:P122"/>
    <mergeCell ref="AK117:AM117"/>
    <mergeCell ref="AN117:AW117"/>
    <mergeCell ref="S144:U144"/>
    <mergeCell ref="AK144:AM144"/>
    <mergeCell ref="BC144:BE144"/>
    <mergeCell ref="D120:M120"/>
    <mergeCell ref="N120:P120"/>
    <mergeCell ref="S119:U119"/>
    <mergeCell ref="V119:AE119"/>
    <mergeCell ref="AF119:AH119"/>
    <mergeCell ref="S120:U120"/>
    <mergeCell ref="V120:AE120"/>
    <mergeCell ref="AF120:AH120"/>
    <mergeCell ref="S121:U121"/>
    <mergeCell ref="V121:AE121"/>
    <mergeCell ref="AF121:AH121"/>
    <mergeCell ref="S122:U122"/>
    <mergeCell ref="V122:AE122"/>
    <mergeCell ref="AF122:AH122"/>
    <mergeCell ref="D119:M119"/>
    <mergeCell ref="N119:P119"/>
    <mergeCell ref="AK128:AM128"/>
    <mergeCell ref="V144:AE144"/>
    <mergeCell ref="AF144:AH144"/>
    <mergeCell ref="AN144:AW144"/>
    <mergeCell ref="AX144:AZ144"/>
    <mergeCell ref="S117:U117"/>
    <mergeCell ref="V117:AE117"/>
    <mergeCell ref="AF117:AH117"/>
    <mergeCell ref="S118:U118"/>
    <mergeCell ref="V118:AE118"/>
    <mergeCell ref="AF118:AH118"/>
    <mergeCell ref="N113:P113"/>
    <mergeCell ref="D113:M113"/>
    <mergeCell ref="BF144:BO144"/>
    <mergeCell ref="N115:P115"/>
    <mergeCell ref="A116:C116"/>
    <mergeCell ref="D116:M116"/>
    <mergeCell ref="N116:P116"/>
    <mergeCell ref="A117:C117"/>
    <mergeCell ref="D117:M117"/>
    <mergeCell ref="N117:P117"/>
    <mergeCell ref="A118:C118"/>
    <mergeCell ref="D118:M118"/>
    <mergeCell ref="N118:P118"/>
    <mergeCell ref="V137:AE137"/>
    <mergeCell ref="AF137:AH137"/>
    <mergeCell ref="S138:U138"/>
    <mergeCell ref="V138:AE138"/>
    <mergeCell ref="AF138:AH138"/>
    <mergeCell ref="A129:C129"/>
    <mergeCell ref="D129:M129"/>
    <mergeCell ref="N129:P129"/>
    <mergeCell ref="A130:C130"/>
    <mergeCell ref="D130:M130"/>
    <mergeCell ref="N130:P130"/>
    <mergeCell ref="A119:C119"/>
    <mergeCell ref="A120:C120"/>
    <mergeCell ref="A113:C113"/>
    <mergeCell ref="A114:C114"/>
    <mergeCell ref="D114:M114"/>
    <mergeCell ref="N114:P114"/>
    <mergeCell ref="A115:C115"/>
    <mergeCell ref="D115:M115"/>
    <mergeCell ref="AN113:AW113"/>
    <mergeCell ref="AX113:AZ113"/>
    <mergeCell ref="AK114:AM114"/>
    <mergeCell ref="AN114:AW114"/>
    <mergeCell ref="AX114:AZ114"/>
    <mergeCell ref="AK115:AM115"/>
    <mergeCell ref="AN115:AW115"/>
    <mergeCell ref="AX115:AZ115"/>
    <mergeCell ref="AK116:AM116"/>
    <mergeCell ref="AN116:AW116"/>
    <mergeCell ref="AX116:AZ116"/>
    <mergeCell ref="S114:U114"/>
    <mergeCell ref="V114:AE114"/>
    <mergeCell ref="AF114:AH114"/>
    <mergeCell ref="S115:U115"/>
    <mergeCell ref="V115:AE115"/>
    <mergeCell ref="AF115:AH115"/>
    <mergeCell ref="S116:U116"/>
    <mergeCell ref="V116:AE116"/>
    <mergeCell ref="AF116:AH116"/>
    <mergeCell ref="AX117:AZ117"/>
    <mergeCell ref="AK118:AM118"/>
    <mergeCell ref="AN118:AW118"/>
    <mergeCell ref="AX118:AZ118"/>
    <mergeCell ref="AK113:AM113"/>
    <mergeCell ref="AX132:AZ132"/>
    <mergeCell ref="AK133:AM133"/>
    <mergeCell ref="AN133:AW133"/>
    <mergeCell ref="AX133:AZ133"/>
    <mergeCell ref="AK134:AM134"/>
    <mergeCell ref="AN134:AW134"/>
    <mergeCell ref="AX134:AZ134"/>
    <mergeCell ref="AK135:AM135"/>
    <mergeCell ref="AN135:AW135"/>
    <mergeCell ref="AX135:AZ135"/>
    <mergeCell ref="AK136:AM136"/>
    <mergeCell ref="AN136:AW136"/>
    <mergeCell ref="AX136:AZ136"/>
    <mergeCell ref="AK119:AM119"/>
    <mergeCell ref="AN119:AW119"/>
    <mergeCell ref="AX119:AZ119"/>
    <mergeCell ref="AK120:AM120"/>
    <mergeCell ref="AN120:AW120"/>
    <mergeCell ref="AX120:AZ120"/>
    <mergeCell ref="AK121:AM121"/>
    <mergeCell ref="AN121:AW121"/>
    <mergeCell ref="AX121:AZ121"/>
    <mergeCell ref="AK122:AM122"/>
    <mergeCell ref="AN122:AW122"/>
    <mergeCell ref="AX122:AZ122"/>
    <mergeCell ref="AK129:AM129"/>
    <mergeCell ref="AN129:AW129"/>
    <mergeCell ref="AN138:AW138"/>
    <mergeCell ref="AX138:AZ138"/>
    <mergeCell ref="S129:U129"/>
    <mergeCell ref="V129:AE129"/>
    <mergeCell ref="AF129:AH129"/>
    <mergeCell ref="S130:U130"/>
    <mergeCell ref="V130:AE130"/>
    <mergeCell ref="AF130:AH130"/>
    <mergeCell ref="S131:U131"/>
    <mergeCell ref="V131:AE131"/>
    <mergeCell ref="AF131:AH131"/>
    <mergeCell ref="S132:U132"/>
    <mergeCell ref="V132:AE132"/>
    <mergeCell ref="AF132:AH132"/>
    <mergeCell ref="S133:U133"/>
    <mergeCell ref="V133:AE133"/>
    <mergeCell ref="AF133:AH133"/>
    <mergeCell ref="S134:U134"/>
    <mergeCell ref="V134:AE134"/>
    <mergeCell ref="AF134:AH134"/>
    <mergeCell ref="S135:U135"/>
    <mergeCell ref="V135:AE135"/>
    <mergeCell ref="AF135:AH135"/>
    <mergeCell ref="AK131:AM131"/>
    <mergeCell ref="AN131:AW131"/>
    <mergeCell ref="AX131:AZ131"/>
    <mergeCell ref="AK132:AM132"/>
    <mergeCell ref="AN132:AW132"/>
    <mergeCell ref="AX129:AZ129"/>
    <mergeCell ref="AK130:AM130"/>
    <mergeCell ref="AN130:AW130"/>
    <mergeCell ref="AX130:AZ130"/>
    <mergeCell ref="A131:C131"/>
    <mergeCell ref="D131:M131"/>
    <mergeCell ref="N131:P131"/>
    <mergeCell ref="A132:C132"/>
    <mergeCell ref="D132:M132"/>
    <mergeCell ref="N132:P132"/>
    <mergeCell ref="A133:C133"/>
    <mergeCell ref="D133:M133"/>
    <mergeCell ref="N133:P133"/>
    <mergeCell ref="A134:C134"/>
    <mergeCell ref="D134:M134"/>
    <mergeCell ref="N134:P134"/>
    <mergeCell ref="A135:C135"/>
    <mergeCell ref="D135:M135"/>
    <mergeCell ref="N135:P135"/>
    <mergeCell ref="A136:C136"/>
    <mergeCell ref="D136:M136"/>
    <mergeCell ref="N136:P136"/>
    <mergeCell ref="A137:C137"/>
    <mergeCell ref="D137:M137"/>
    <mergeCell ref="N137:P137"/>
    <mergeCell ref="A138:C138"/>
    <mergeCell ref="D138:M138"/>
    <mergeCell ref="N138:P138"/>
    <mergeCell ref="A145:C145"/>
    <mergeCell ref="D145:M145"/>
    <mergeCell ref="N145:P145"/>
    <mergeCell ref="D144:M144"/>
    <mergeCell ref="N144:P144"/>
    <mergeCell ref="A146:C146"/>
    <mergeCell ref="D146:M146"/>
    <mergeCell ref="N146:P146"/>
    <mergeCell ref="A147:C147"/>
    <mergeCell ref="D147:M147"/>
    <mergeCell ref="N147:P147"/>
    <mergeCell ref="A148:C148"/>
    <mergeCell ref="D148:M148"/>
    <mergeCell ref="N148:P148"/>
    <mergeCell ref="A149:C149"/>
    <mergeCell ref="D149:M149"/>
    <mergeCell ref="N149:P149"/>
    <mergeCell ref="A150:C150"/>
    <mergeCell ref="D150:M150"/>
    <mergeCell ref="N150:P150"/>
    <mergeCell ref="A151:C151"/>
    <mergeCell ref="D151:M151"/>
    <mergeCell ref="N151:P151"/>
    <mergeCell ref="A152:C152"/>
    <mergeCell ref="D152:M152"/>
    <mergeCell ref="N152:P152"/>
    <mergeCell ref="A153:C153"/>
    <mergeCell ref="D153:M153"/>
    <mergeCell ref="N153:P153"/>
    <mergeCell ref="A154:C154"/>
    <mergeCell ref="D154:M154"/>
    <mergeCell ref="N154:P154"/>
    <mergeCell ref="S145:U145"/>
    <mergeCell ref="V145:AE145"/>
    <mergeCell ref="AF145:AH145"/>
    <mergeCell ref="S146:U146"/>
    <mergeCell ref="V146:AE146"/>
    <mergeCell ref="AF146:AH146"/>
    <mergeCell ref="S147:U147"/>
    <mergeCell ref="V147:AE147"/>
    <mergeCell ref="AF147:AH147"/>
    <mergeCell ref="S148:U148"/>
    <mergeCell ref="V148:AE148"/>
    <mergeCell ref="AF148:AH148"/>
    <mergeCell ref="S149:U149"/>
    <mergeCell ref="V149:AE149"/>
    <mergeCell ref="AF149:AH149"/>
    <mergeCell ref="S150:U150"/>
    <mergeCell ref="V150:AE150"/>
    <mergeCell ref="AF150:AH150"/>
    <mergeCell ref="S151:U151"/>
    <mergeCell ref="V151:AE151"/>
    <mergeCell ref="AF151:AH151"/>
    <mergeCell ref="S152:U152"/>
    <mergeCell ref="V152:AE152"/>
    <mergeCell ref="AF152:AH152"/>
    <mergeCell ref="S153:U153"/>
    <mergeCell ref="V153:AE153"/>
    <mergeCell ref="AF153:AH153"/>
    <mergeCell ref="S154:U154"/>
    <mergeCell ref="V154:AE154"/>
    <mergeCell ref="AF154:AH154"/>
    <mergeCell ref="AK145:AM145"/>
    <mergeCell ref="AN145:AW145"/>
    <mergeCell ref="AX145:AZ145"/>
    <mergeCell ref="AK146:AM146"/>
    <mergeCell ref="AN146:AW146"/>
    <mergeCell ref="AX146:AZ146"/>
    <mergeCell ref="AK147:AM147"/>
    <mergeCell ref="AN147:AW147"/>
    <mergeCell ref="AX147:AZ147"/>
    <mergeCell ref="AK148:AM148"/>
    <mergeCell ref="AN148:AW148"/>
    <mergeCell ref="AX148:AZ148"/>
    <mergeCell ref="AK149:AM149"/>
    <mergeCell ref="AN149:AW149"/>
    <mergeCell ref="AX149:AZ149"/>
    <mergeCell ref="AK150:AM150"/>
    <mergeCell ref="AN150:AW150"/>
    <mergeCell ref="AX150:AZ150"/>
    <mergeCell ref="AK151:AM151"/>
    <mergeCell ref="AN151:AW151"/>
    <mergeCell ref="AX151:AZ151"/>
    <mergeCell ref="AK152:AM152"/>
    <mergeCell ref="AN152:AW152"/>
    <mergeCell ref="AX152:AZ152"/>
    <mergeCell ref="AK153:AM153"/>
    <mergeCell ref="AN153:AW153"/>
    <mergeCell ref="AX153:AZ153"/>
    <mergeCell ref="AK154:AM154"/>
    <mergeCell ref="AN154:AW154"/>
    <mergeCell ref="AX154:AZ154"/>
    <mergeCell ref="BP145:BQ145"/>
    <mergeCell ref="BP146:BQ146"/>
    <mergeCell ref="BC154:BE154"/>
    <mergeCell ref="BF154:BO154"/>
    <mergeCell ref="BC151:BE151"/>
    <mergeCell ref="BF151:BO151"/>
    <mergeCell ref="BC152:BE152"/>
    <mergeCell ref="BF152:BO152"/>
    <mergeCell ref="BC153:BE153"/>
    <mergeCell ref="BF153:BO153"/>
    <mergeCell ref="BC145:BE145"/>
    <mergeCell ref="BF145:BO145"/>
    <mergeCell ref="BC146:BE146"/>
    <mergeCell ref="BF146:BO146"/>
    <mergeCell ref="BC147:BE147"/>
    <mergeCell ref="BF147:BO147"/>
    <mergeCell ref="BC148:BE148"/>
    <mergeCell ref="BF148:BO148"/>
    <mergeCell ref="BC149:BE149"/>
    <mergeCell ref="BF149:BO149"/>
    <mergeCell ref="BC150:BE150"/>
    <mergeCell ref="BF150:BO150"/>
    <mergeCell ref="BP147:BQ147"/>
    <mergeCell ref="BP148:BQ148"/>
    <mergeCell ref="BP149:BQ149"/>
    <mergeCell ref="BP150:BQ150"/>
    <mergeCell ref="BP151:BQ151"/>
    <mergeCell ref="BP152:BQ152"/>
    <mergeCell ref="BP153:BQ153"/>
    <mergeCell ref="BP154:BQ154"/>
  </mergeCells>
  <phoneticPr fontId="4" type="noConversion"/>
  <pageMargins left="0.11811023622047245" right="0.11811023622047245" top="0.11811023622047245" bottom="0.11811023622047245" header="0" footer="0"/>
  <pageSetup paperSize="9" scale="98" fitToWidth="0" fitToHeight="0" orientation="landscape" horizontalDpi="4294967293" r:id="rId1"/>
  <rowBreaks count="3" manualBreakCount="3">
    <brk id="54" max="16383" man="1"/>
    <brk id="159" max="16383" man="1"/>
    <brk id="20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CF9D-4DD1-4403-84F6-E2A665D9BF63}">
  <sheetPr>
    <pageSetUpPr fitToPage="1"/>
  </sheetPr>
  <dimension ref="A1:W98"/>
  <sheetViews>
    <sheetView view="pageBreakPreview" topLeftCell="A53" zoomScaleNormal="100" zoomScaleSheetLayoutView="100" workbookViewId="0">
      <selection activeCell="R97" sqref="R97"/>
    </sheetView>
  </sheetViews>
  <sheetFormatPr defaultColWidth="9.5" defaultRowHeight="12.75" x14ac:dyDescent="0.2"/>
  <cols>
    <col min="1" max="1" width="7.83203125" style="27" customWidth="1"/>
    <col min="2" max="2" width="9.5" style="27"/>
    <col min="3" max="3" width="8.6640625" style="27" customWidth="1"/>
    <col min="4" max="4" width="7.6640625" style="27" customWidth="1"/>
    <col min="5" max="5" width="7.83203125" style="45" customWidth="1"/>
    <col min="6" max="6" width="3.6640625" style="27" customWidth="1"/>
    <col min="7" max="7" width="7.83203125" style="28" customWidth="1"/>
    <col min="8" max="8" width="9.5" style="27"/>
    <col min="9" max="9" width="11.33203125" style="27" customWidth="1"/>
    <col min="10" max="10" width="7.6640625" style="27" customWidth="1"/>
    <col min="11" max="11" width="6.5" style="27" customWidth="1"/>
    <col min="12" max="12" width="3.6640625" style="27" customWidth="1"/>
    <col min="13" max="13" width="7.83203125" style="28" customWidth="1"/>
    <col min="14" max="14" width="9.5" style="27"/>
    <col min="15" max="15" width="9.33203125" style="27" customWidth="1"/>
    <col min="16" max="16" width="7.6640625" style="27" customWidth="1"/>
    <col min="17" max="17" width="6.5" style="27" customWidth="1"/>
    <col min="18" max="18" width="3.6640625" style="27" customWidth="1"/>
    <col min="19" max="19" width="7.83203125" style="28" customWidth="1"/>
    <col min="20" max="20" width="9.5" style="27"/>
    <col min="21" max="21" width="9.33203125" style="27" customWidth="1"/>
    <col min="22" max="22" width="7.6640625" style="27" customWidth="1"/>
    <col min="23" max="23" width="10.1640625" style="27" customWidth="1"/>
    <col min="24" max="24" width="3.6640625" style="27" customWidth="1"/>
    <col min="25" max="16384" width="9.5" style="27"/>
  </cols>
  <sheetData>
    <row r="1" spans="1:23" x14ac:dyDescent="0.2">
      <c r="A1" s="26" t="s">
        <v>142</v>
      </c>
    </row>
    <row r="2" spans="1:23" ht="11.25" customHeight="1" x14ac:dyDescent="0.2">
      <c r="A2" s="26"/>
    </row>
    <row r="3" spans="1:23" x14ac:dyDescent="0.2">
      <c r="A3" s="32" t="s">
        <v>168</v>
      </c>
      <c r="B3" s="32"/>
      <c r="C3" s="32"/>
    </row>
    <row r="4" spans="1:23" ht="7.9" customHeight="1" thickBot="1" x14ac:dyDescent="0.25"/>
    <row r="5" spans="1:23" ht="16.5" thickBot="1" x14ac:dyDescent="0.3">
      <c r="A5" s="43" t="s">
        <v>85</v>
      </c>
      <c r="B5" s="44"/>
      <c r="C5" s="44"/>
      <c r="D5" s="714"/>
      <c r="E5" s="715"/>
      <c r="F5" s="173"/>
    </row>
    <row r="6" spans="1:23" ht="6.4" customHeight="1" thickBot="1" x14ac:dyDescent="0.25"/>
    <row r="7" spans="1:23" x14ac:dyDescent="0.2">
      <c r="A7" s="144" t="s">
        <v>143</v>
      </c>
      <c r="B7" s="33"/>
      <c r="C7" s="33"/>
      <c r="D7" s="33"/>
      <c r="E7" s="145"/>
      <c r="G7" s="46" t="s">
        <v>99</v>
      </c>
      <c r="H7" s="47"/>
      <c r="I7" s="47"/>
      <c r="J7" s="47"/>
      <c r="K7" s="48"/>
      <c r="M7" s="34" t="s">
        <v>100</v>
      </c>
      <c r="N7" s="35"/>
      <c r="O7" s="35"/>
      <c r="P7" s="35"/>
      <c r="Q7" s="36"/>
      <c r="S7" s="159" t="s">
        <v>128</v>
      </c>
      <c r="T7" s="160"/>
      <c r="U7" s="160"/>
      <c r="V7" s="160"/>
      <c r="W7" s="161"/>
    </row>
    <row r="8" spans="1:23" ht="6.75" customHeight="1" x14ac:dyDescent="0.2">
      <c r="A8" s="146"/>
      <c r="B8" s="206"/>
      <c r="C8" s="206"/>
      <c r="D8" s="206"/>
      <c r="E8" s="147"/>
      <c r="G8" s="49"/>
      <c r="H8" s="50"/>
      <c r="I8" s="50"/>
      <c r="J8" s="50"/>
      <c r="K8" s="51"/>
      <c r="M8" s="37"/>
      <c r="N8" s="38"/>
      <c r="O8" s="38"/>
      <c r="P8" s="38"/>
      <c r="Q8" s="39"/>
      <c r="S8" s="162"/>
      <c r="T8" s="163"/>
      <c r="U8" s="163"/>
      <c r="V8" s="163"/>
      <c r="W8" s="164"/>
    </row>
    <row r="9" spans="1:23" x14ac:dyDescent="0.2">
      <c r="A9" s="171" t="s">
        <v>79</v>
      </c>
      <c r="B9" s="264" t="str">
        <f>Eagles!E6</f>
        <v>James Dunn</v>
      </c>
      <c r="C9" s="264"/>
      <c r="D9" s="207"/>
      <c r="E9" s="172">
        <f>Eagles!F6</f>
        <v>1</v>
      </c>
      <c r="G9" s="52" t="s">
        <v>79</v>
      </c>
      <c r="H9" s="265" t="str">
        <f>Birdies!E6</f>
        <v>Brad Whitehead</v>
      </c>
      <c r="I9" s="265"/>
      <c r="J9" s="50"/>
      <c r="K9" s="157">
        <f>Birdies!F6</f>
        <v>37</v>
      </c>
      <c r="M9" s="40" t="s">
        <v>79</v>
      </c>
      <c r="N9" s="266" t="str">
        <f>Pars!E6</f>
        <v>Dave Randall</v>
      </c>
      <c r="O9" s="266"/>
      <c r="P9" s="38"/>
      <c r="Q9" s="158">
        <f>Pars!F6</f>
        <v>122</v>
      </c>
      <c r="S9" s="165" t="s">
        <v>79</v>
      </c>
      <c r="T9" s="267" t="str">
        <f>Blobs!E6</f>
        <v>Tony Forsyth-James</v>
      </c>
      <c r="U9" s="267"/>
      <c r="V9" s="163"/>
      <c r="W9" s="166">
        <f>Blobs!F6</f>
        <v>38</v>
      </c>
    </row>
    <row r="10" spans="1:23" x14ac:dyDescent="0.2">
      <c r="A10" s="171" t="s">
        <v>80</v>
      </c>
      <c r="B10" s="264" t="str">
        <f>Eagles!E7</f>
        <v>Jordan Hall</v>
      </c>
      <c r="C10" s="264"/>
      <c r="D10" s="207"/>
      <c r="E10" s="172">
        <f>Eagles!F7</f>
        <v>1</v>
      </c>
      <c r="G10" s="52" t="s">
        <v>80</v>
      </c>
      <c r="H10" s="265" t="str">
        <f>Birdies!E7</f>
        <v>Chris Smith</v>
      </c>
      <c r="I10" s="265"/>
      <c r="J10" s="50"/>
      <c r="K10" s="157">
        <f>Birdies!F7</f>
        <v>29</v>
      </c>
      <c r="M10" s="40" t="s">
        <v>80</v>
      </c>
      <c r="N10" s="266" t="str">
        <f>Pars!E7</f>
        <v>Chris Smith</v>
      </c>
      <c r="O10" s="266"/>
      <c r="P10" s="38"/>
      <c r="Q10" s="158">
        <f>Pars!F7</f>
        <v>114</v>
      </c>
      <c r="S10" s="165" t="s">
        <v>80</v>
      </c>
      <c r="T10" s="267" t="str">
        <f>Blobs!E7</f>
        <v>Dave Randall</v>
      </c>
      <c r="U10" s="267"/>
      <c r="V10" s="163"/>
      <c r="W10" s="166">
        <f>Blobs!F7</f>
        <v>34</v>
      </c>
    </row>
    <row r="11" spans="1:23" x14ac:dyDescent="0.2">
      <c r="A11" s="171" t="s">
        <v>81</v>
      </c>
      <c r="B11" s="264" t="str">
        <f>Eagles!E8</f>
        <v>Justin Hunt</v>
      </c>
      <c r="C11" s="264"/>
      <c r="D11" s="207"/>
      <c r="E11" s="172">
        <f>Eagles!F8</f>
        <v>1</v>
      </c>
      <c r="G11" s="52" t="s">
        <v>81</v>
      </c>
      <c r="H11" s="265" t="str">
        <f>Birdies!E8</f>
        <v>Martin Coomber</v>
      </c>
      <c r="I11" s="265"/>
      <c r="J11" s="50"/>
      <c r="K11" s="157">
        <f>Birdies!F8</f>
        <v>18</v>
      </c>
      <c r="M11" s="40" t="s">
        <v>81</v>
      </c>
      <c r="N11" s="266" t="str">
        <f>Pars!E8</f>
        <v>Brad Whitehead</v>
      </c>
      <c r="O11" s="266"/>
      <c r="P11" s="38"/>
      <c r="Q11" s="158">
        <f>Pars!F8</f>
        <v>109</v>
      </c>
      <c r="S11" s="165" t="s">
        <v>81</v>
      </c>
      <c r="T11" s="267" t="str">
        <f>Blobs!E8</f>
        <v>Ben Fleet</v>
      </c>
      <c r="U11" s="267"/>
      <c r="V11" s="163"/>
      <c r="W11" s="166">
        <f>Blobs!F8</f>
        <v>27</v>
      </c>
    </row>
    <row r="12" spans="1:23" x14ac:dyDescent="0.2">
      <c r="A12" s="171" t="s">
        <v>82</v>
      </c>
      <c r="B12" s="264" t="str">
        <f>Eagles!E9</f>
        <v>Edward Money</v>
      </c>
      <c r="C12" s="264"/>
      <c r="D12" s="207"/>
      <c r="E12" s="172">
        <f>Eagles!F9</f>
        <v>1</v>
      </c>
      <c r="G12" s="52" t="s">
        <v>82</v>
      </c>
      <c r="H12" s="265" t="str">
        <f>Birdies!E9</f>
        <v>Peter Vallely</v>
      </c>
      <c r="I12" s="265"/>
      <c r="J12" s="50"/>
      <c r="K12" s="157">
        <f>Birdies!F9</f>
        <v>18</v>
      </c>
      <c r="M12" s="40" t="s">
        <v>82</v>
      </c>
      <c r="N12" s="266" t="str">
        <f>Pars!E9</f>
        <v>Peter Vallely</v>
      </c>
      <c r="O12" s="266"/>
      <c r="P12" s="38"/>
      <c r="Q12" s="158">
        <f>Pars!F9</f>
        <v>104</v>
      </c>
      <c r="S12" s="165" t="s">
        <v>82</v>
      </c>
      <c r="T12" s="267" t="str">
        <f>Blobs!E9</f>
        <v>Mike Forrest</v>
      </c>
      <c r="U12" s="267"/>
      <c r="V12" s="163"/>
      <c r="W12" s="166">
        <f>Blobs!F9</f>
        <v>27</v>
      </c>
    </row>
    <row r="13" spans="1:23" x14ac:dyDescent="0.2">
      <c r="A13" s="171" t="s">
        <v>83</v>
      </c>
      <c r="B13" s="264" t="str">
        <f>Eagles!E10</f>
        <v>Chris Smith</v>
      </c>
      <c r="C13" s="264"/>
      <c r="D13" s="207"/>
      <c r="E13" s="172">
        <f>Eagles!F10</f>
        <v>1</v>
      </c>
      <c r="G13" s="52" t="s">
        <v>83</v>
      </c>
      <c r="H13" s="265" t="str">
        <f>Birdies!E10</f>
        <v>Andy Johnson</v>
      </c>
      <c r="I13" s="265"/>
      <c r="J13" s="50"/>
      <c r="K13" s="157">
        <f>Birdies!F10</f>
        <v>17</v>
      </c>
      <c r="M13" s="40" t="s">
        <v>83</v>
      </c>
      <c r="N13" s="266" t="str">
        <f>Pars!E10</f>
        <v>Martin Coomber</v>
      </c>
      <c r="O13" s="266"/>
      <c r="P13" s="38"/>
      <c r="Q13" s="158">
        <f>Pars!F10</f>
        <v>102</v>
      </c>
      <c r="S13" s="165" t="s">
        <v>83</v>
      </c>
      <c r="T13" s="267" t="str">
        <f>Blobs!E10</f>
        <v>Sam Cochrane</v>
      </c>
      <c r="U13" s="267"/>
      <c r="V13" s="163"/>
      <c r="W13" s="166">
        <f>Blobs!F10</f>
        <v>27</v>
      </c>
    </row>
    <row r="14" spans="1:23" x14ac:dyDescent="0.2">
      <c r="A14" s="171" t="s">
        <v>94</v>
      </c>
      <c r="B14" s="264" t="str">
        <f>Eagles!E11</f>
        <v>Stuart Anderson</v>
      </c>
      <c r="C14" s="264"/>
      <c r="D14" s="207"/>
      <c r="E14" s="172">
        <f>Eagles!F11</f>
        <v>0</v>
      </c>
      <c r="G14" s="52" t="s">
        <v>94</v>
      </c>
      <c r="H14" s="265" t="str">
        <f>Birdies!E11</f>
        <v>Dave Randall</v>
      </c>
      <c r="I14" s="265"/>
      <c r="J14" s="50"/>
      <c r="K14" s="157">
        <f>Birdies!F11</f>
        <v>17</v>
      </c>
      <c r="M14" s="40" t="s">
        <v>94</v>
      </c>
      <c r="N14" s="266" t="str">
        <f>Pars!E11</f>
        <v>Andy Johnson</v>
      </c>
      <c r="O14" s="266"/>
      <c r="P14" s="38"/>
      <c r="Q14" s="158">
        <f>Pars!F11</f>
        <v>100</v>
      </c>
      <c r="S14" s="165" t="s">
        <v>94</v>
      </c>
      <c r="T14" s="267" t="str">
        <f>Blobs!E11</f>
        <v>Jason Wale</v>
      </c>
      <c r="U14" s="267"/>
      <c r="V14" s="163"/>
      <c r="W14" s="166">
        <f>Blobs!F11</f>
        <v>21</v>
      </c>
    </row>
    <row r="15" spans="1:23" x14ac:dyDescent="0.2">
      <c r="A15" s="171" t="s">
        <v>95</v>
      </c>
      <c r="B15" s="264" t="str">
        <f>Eagles!E12</f>
        <v>Max Ball</v>
      </c>
      <c r="C15" s="264"/>
      <c r="D15" s="207"/>
      <c r="E15" s="172">
        <f>Eagles!F12</f>
        <v>0</v>
      </c>
      <c r="G15" s="52" t="s">
        <v>95</v>
      </c>
      <c r="H15" s="265" t="str">
        <f>Birdies!E12</f>
        <v>Joe Hooper</v>
      </c>
      <c r="I15" s="265"/>
      <c r="J15" s="50"/>
      <c r="K15" s="157">
        <f>Birdies!F12</f>
        <v>17</v>
      </c>
      <c r="M15" s="40" t="s">
        <v>95</v>
      </c>
      <c r="N15" s="266" t="str">
        <f>Pars!E12</f>
        <v>Kevin Tribley</v>
      </c>
      <c r="O15" s="266"/>
      <c r="P15" s="38"/>
      <c r="Q15" s="158">
        <f>Pars!F12</f>
        <v>87</v>
      </c>
      <c r="S15" s="165" t="s">
        <v>95</v>
      </c>
      <c r="T15" s="267" t="str">
        <f>Blobs!E12</f>
        <v>Martin Coomber</v>
      </c>
      <c r="U15" s="267"/>
      <c r="V15" s="163"/>
      <c r="W15" s="166">
        <f>Blobs!F12</f>
        <v>20</v>
      </c>
    </row>
    <row r="16" spans="1:23" x14ac:dyDescent="0.2">
      <c r="A16" s="171" t="s">
        <v>96</v>
      </c>
      <c r="B16" s="264" t="str">
        <f>Eagles!E13</f>
        <v>Harley Bishop</v>
      </c>
      <c r="C16" s="264"/>
      <c r="D16" s="207"/>
      <c r="E16" s="172">
        <f>Eagles!F13</f>
        <v>0</v>
      </c>
      <c r="G16" s="52" t="s">
        <v>96</v>
      </c>
      <c r="H16" s="265" t="str">
        <f>Birdies!E13</f>
        <v>Max Ball</v>
      </c>
      <c r="I16" s="265"/>
      <c r="J16" s="50"/>
      <c r="K16" s="157">
        <f>Birdies!F13</f>
        <v>16</v>
      </c>
      <c r="M16" s="40" t="s">
        <v>96</v>
      </c>
      <c r="N16" s="266" t="str">
        <f>Pars!E13</f>
        <v>Max Ball</v>
      </c>
      <c r="O16" s="266"/>
      <c r="P16" s="38"/>
      <c r="Q16" s="158">
        <f>Pars!F13</f>
        <v>85</v>
      </c>
      <c r="S16" s="165" t="s">
        <v>96</v>
      </c>
      <c r="T16" s="267" t="str">
        <f>Blobs!E13</f>
        <v>Kevin Tribley</v>
      </c>
      <c r="U16" s="267"/>
      <c r="V16" s="163"/>
      <c r="W16" s="166">
        <f>Blobs!F13</f>
        <v>20</v>
      </c>
    </row>
    <row r="17" spans="1:23" x14ac:dyDescent="0.2">
      <c r="A17" s="171" t="s">
        <v>97</v>
      </c>
      <c r="B17" s="264" t="str">
        <f>Eagles!E14</f>
        <v>Chris Burroughs</v>
      </c>
      <c r="C17" s="264"/>
      <c r="D17" s="207"/>
      <c r="E17" s="172">
        <f>Eagles!F14</f>
        <v>0</v>
      </c>
      <c r="G17" s="52" t="s">
        <v>97</v>
      </c>
      <c r="H17" s="265" t="str">
        <f>Birdies!E14</f>
        <v>Justin Hunt</v>
      </c>
      <c r="I17" s="265"/>
      <c r="J17" s="50"/>
      <c r="K17" s="157">
        <f>Birdies!F14</f>
        <v>15</v>
      </c>
      <c r="M17" s="40" t="s">
        <v>97</v>
      </c>
      <c r="N17" s="266" t="str">
        <f>Pars!E14</f>
        <v>Tony Forsyth-James</v>
      </c>
      <c r="O17" s="266"/>
      <c r="P17" s="38"/>
      <c r="Q17" s="158">
        <f>Pars!F14</f>
        <v>82</v>
      </c>
      <c r="S17" s="165" t="s">
        <v>97</v>
      </c>
      <c r="T17" s="267" t="str">
        <f>Blobs!E14</f>
        <v>Harley Bishop</v>
      </c>
      <c r="U17" s="267"/>
      <c r="V17" s="163"/>
      <c r="W17" s="166">
        <f>Blobs!F14</f>
        <v>19</v>
      </c>
    </row>
    <row r="18" spans="1:23" x14ac:dyDescent="0.2">
      <c r="A18" s="171" t="s">
        <v>98</v>
      </c>
      <c r="B18" s="264" t="str">
        <f>Eagles!E15</f>
        <v>George Burton</v>
      </c>
      <c r="C18" s="264"/>
      <c r="D18" s="207"/>
      <c r="E18" s="172">
        <f>Eagles!F15</f>
        <v>0</v>
      </c>
      <c r="G18" s="52" t="s">
        <v>98</v>
      </c>
      <c r="H18" s="265" t="str">
        <f>Birdies!E15</f>
        <v>Jason Wale</v>
      </c>
      <c r="I18" s="265"/>
      <c r="J18" s="50"/>
      <c r="K18" s="157">
        <f>Birdies!F15</f>
        <v>14</v>
      </c>
      <c r="M18" s="40" t="s">
        <v>98</v>
      </c>
      <c r="N18" s="266" t="str">
        <f>Pars!E15</f>
        <v>Justin Hunt</v>
      </c>
      <c r="O18" s="266"/>
      <c r="P18" s="38"/>
      <c r="Q18" s="158">
        <f>Pars!F15</f>
        <v>80</v>
      </c>
      <c r="S18" s="165" t="s">
        <v>98</v>
      </c>
      <c r="T18" s="267" t="str">
        <f>Blobs!E15</f>
        <v>Paul Clarke</v>
      </c>
      <c r="U18" s="267"/>
      <c r="V18" s="163"/>
      <c r="W18" s="166">
        <f>Blobs!F15</f>
        <v>18</v>
      </c>
    </row>
    <row r="19" spans="1:23" ht="13.5" thickBot="1" x14ac:dyDescent="0.25">
      <c r="A19" s="184"/>
      <c r="B19" s="185"/>
      <c r="C19" s="185"/>
      <c r="D19" s="185"/>
      <c r="E19" s="186"/>
      <c r="G19" s="53"/>
      <c r="H19" s="54"/>
      <c r="I19" s="54"/>
      <c r="J19" s="54"/>
      <c r="K19" s="55"/>
      <c r="M19" s="41"/>
      <c r="N19" s="42"/>
      <c r="O19" s="42"/>
      <c r="P19" s="42"/>
      <c r="Q19" s="205"/>
      <c r="S19" s="167"/>
      <c r="T19" s="168"/>
      <c r="U19" s="168"/>
      <c r="V19" s="168"/>
      <c r="W19" s="169"/>
    </row>
    <row r="20" spans="1:23" ht="13.5" thickBot="1" x14ac:dyDescent="0.25">
      <c r="A20" s="45"/>
      <c r="B20" s="187"/>
      <c r="C20" s="45"/>
      <c r="D20" s="45"/>
      <c r="G20" s="27"/>
      <c r="M20" s="27"/>
      <c r="S20" s="27"/>
    </row>
    <row r="21" spans="1:23" x14ac:dyDescent="0.2">
      <c r="A21" s="156" t="s">
        <v>141</v>
      </c>
      <c r="B21" s="148"/>
      <c r="C21" s="148"/>
      <c r="D21" s="148"/>
      <c r="E21" s="149"/>
      <c r="G21" s="27"/>
      <c r="M21" s="27"/>
      <c r="S21" s="27"/>
    </row>
    <row r="22" spans="1:23" x14ac:dyDescent="0.2">
      <c r="A22" s="150"/>
      <c r="B22" s="151"/>
      <c r="C22" s="151"/>
      <c r="D22" s="151"/>
      <c r="E22" s="152"/>
      <c r="G22" s="27"/>
      <c r="M22" s="27"/>
      <c r="S22" s="27"/>
    </row>
    <row r="23" spans="1:23" x14ac:dyDescent="0.2">
      <c r="A23" s="174" t="s">
        <v>79</v>
      </c>
      <c r="B23" s="713" t="str">
        <f>'Order of merit 2025'!M6</f>
        <v>Brad Whitehead</v>
      </c>
      <c r="C23" s="713"/>
      <c r="D23" s="170"/>
      <c r="E23" s="175">
        <f>'Order of merit 2025'!N6</f>
        <v>51.571428571428569</v>
      </c>
      <c r="G23" s="27"/>
      <c r="M23" s="27"/>
      <c r="S23" s="27"/>
    </row>
    <row r="24" spans="1:23" x14ac:dyDescent="0.2">
      <c r="A24" s="174" t="s">
        <v>80</v>
      </c>
      <c r="B24" s="713" t="str">
        <f>'Order of merit 2025'!M7</f>
        <v>Dave Randall</v>
      </c>
      <c r="C24" s="713"/>
      <c r="D24" s="170"/>
      <c r="E24" s="175">
        <f>'Order of merit 2025'!N7</f>
        <v>44.540441176470587</v>
      </c>
      <c r="G24" s="27"/>
      <c r="M24" s="27"/>
      <c r="S24" s="27"/>
    </row>
    <row r="25" spans="1:23" x14ac:dyDescent="0.2">
      <c r="A25" s="174" t="s">
        <v>81</v>
      </c>
      <c r="B25" s="713" t="str">
        <f>'Order of merit 2025'!M8</f>
        <v>Tony Forsyth-James</v>
      </c>
      <c r="C25" s="713"/>
      <c r="D25" s="170"/>
      <c r="E25" s="175">
        <f>'Order of merit 2025'!N8</f>
        <v>38.283088235294116</v>
      </c>
      <c r="G25" s="27"/>
      <c r="M25" s="27"/>
      <c r="S25" s="27"/>
    </row>
    <row r="26" spans="1:23" x14ac:dyDescent="0.2">
      <c r="A26" s="174" t="s">
        <v>82</v>
      </c>
      <c r="B26" s="713" t="str">
        <f>'Order of merit 2025'!M9</f>
        <v>Stuart Anderson</v>
      </c>
      <c r="C26" s="713"/>
      <c r="D26" s="170"/>
      <c r="E26" s="175">
        <f>'Order of merit 2025'!N9</f>
        <v>0</v>
      </c>
      <c r="G26" s="27"/>
      <c r="M26" s="27"/>
      <c r="S26" s="27"/>
    </row>
    <row r="27" spans="1:23" x14ac:dyDescent="0.2">
      <c r="A27" s="174" t="s">
        <v>83</v>
      </c>
      <c r="B27" s="713" t="str">
        <f>'Order of merit 2025'!M10</f>
        <v>Max Ball</v>
      </c>
      <c r="C27" s="713"/>
      <c r="D27" s="170"/>
      <c r="E27" s="175">
        <f>'Order of merit 2025'!N10</f>
        <v>0</v>
      </c>
      <c r="G27" s="27"/>
      <c r="M27" s="27"/>
      <c r="S27" s="27"/>
    </row>
    <row r="28" spans="1:23" x14ac:dyDescent="0.2">
      <c r="A28" s="174" t="s">
        <v>94</v>
      </c>
      <c r="B28" s="713" t="str">
        <f>'Order of merit 2025'!M11</f>
        <v>Harley Bishop</v>
      </c>
      <c r="C28" s="713"/>
      <c r="D28" s="170"/>
      <c r="E28" s="175">
        <f>'Order of merit 2025'!N11</f>
        <v>0</v>
      </c>
      <c r="G28" s="27"/>
      <c r="M28" s="27"/>
      <c r="S28" s="27"/>
    </row>
    <row r="29" spans="1:23" x14ac:dyDescent="0.2">
      <c r="A29" s="174" t="s">
        <v>95</v>
      </c>
      <c r="B29" s="713" t="str">
        <f>'Order of merit 2025'!M12</f>
        <v>Chris Burroughs</v>
      </c>
      <c r="C29" s="713"/>
      <c r="D29" s="170"/>
      <c r="E29" s="175">
        <f>'Order of merit 2025'!N12</f>
        <v>0</v>
      </c>
      <c r="G29" s="27"/>
      <c r="M29" s="27"/>
      <c r="S29" s="27"/>
    </row>
    <row r="30" spans="1:23" x14ac:dyDescent="0.2">
      <c r="A30" s="174" t="s">
        <v>96</v>
      </c>
      <c r="B30" s="713" t="str">
        <f>'Order of merit 2025'!M13</f>
        <v>George Burton</v>
      </c>
      <c r="C30" s="713"/>
      <c r="D30" s="170"/>
      <c r="E30" s="175">
        <f>'Order of merit 2025'!N13</f>
        <v>0</v>
      </c>
      <c r="G30" s="27"/>
      <c r="M30" s="27"/>
      <c r="S30" s="27"/>
    </row>
    <row r="31" spans="1:23" x14ac:dyDescent="0.2">
      <c r="A31" s="174" t="s">
        <v>97</v>
      </c>
      <c r="B31" s="713" t="str">
        <f>'Order of merit 2025'!M14</f>
        <v>Tom Burton</v>
      </c>
      <c r="C31" s="713"/>
      <c r="D31" s="170"/>
      <c r="E31" s="175">
        <f>'Order of merit 2025'!N14</f>
        <v>0</v>
      </c>
      <c r="G31" s="27"/>
      <c r="M31" s="27"/>
      <c r="S31" s="27"/>
    </row>
    <row r="32" spans="1:23" x14ac:dyDescent="0.2">
      <c r="A32" s="174" t="s">
        <v>98</v>
      </c>
      <c r="B32" s="713" t="str">
        <f>'Order of merit 2025'!M15</f>
        <v>Mike Chubb</v>
      </c>
      <c r="C32" s="713"/>
      <c r="D32" s="170"/>
      <c r="E32" s="175">
        <f>'Order of merit 2025'!N15</f>
        <v>0</v>
      </c>
      <c r="G32" s="27"/>
      <c r="M32" s="27"/>
      <c r="S32" s="27"/>
    </row>
    <row r="33" spans="1:23" ht="13.5" thickBot="1" x14ac:dyDescent="0.25">
      <c r="A33" s="153"/>
      <c r="B33" s="154"/>
      <c r="C33" s="154"/>
      <c r="D33" s="154"/>
      <c r="E33" s="155"/>
      <c r="G33" s="27"/>
      <c r="M33" s="27"/>
      <c r="S33" s="27"/>
    </row>
    <row r="34" spans="1:23" x14ac:dyDescent="0.2">
      <c r="A34" s="28"/>
      <c r="E34" s="27"/>
      <c r="G34" s="27"/>
      <c r="M34" s="27"/>
      <c r="S34" s="27"/>
    </row>
    <row r="35" spans="1:23" x14ac:dyDescent="0.2">
      <c r="A35" s="28"/>
      <c r="E35" s="27"/>
      <c r="S35" s="27"/>
    </row>
    <row r="36" spans="1:23" x14ac:dyDescent="0.2">
      <c r="A36" s="28"/>
      <c r="E36" s="27"/>
      <c r="S36" s="27"/>
    </row>
    <row r="37" spans="1:23" x14ac:dyDescent="0.2">
      <c r="A37" s="28"/>
      <c r="E37" s="27"/>
      <c r="S37" s="27"/>
    </row>
    <row r="38" spans="1:23" x14ac:dyDescent="0.2">
      <c r="A38" s="29" t="s">
        <v>167</v>
      </c>
      <c r="E38" s="27"/>
      <c r="S38" s="27"/>
    </row>
    <row r="39" spans="1:23" ht="13.5" thickBot="1" x14ac:dyDescent="0.25">
      <c r="A39" s="28"/>
      <c r="E39" s="27"/>
      <c r="S39" s="27"/>
    </row>
    <row r="40" spans="1:23" x14ac:dyDescent="0.2">
      <c r="A40" s="208" t="s">
        <v>157</v>
      </c>
      <c r="B40" s="209"/>
      <c r="C40" s="209"/>
      <c r="D40" s="209"/>
      <c r="E40" s="210"/>
      <c r="G40" s="208" t="s">
        <v>158</v>
      </c>
      <c r="H40" s="209"/>
      <c r="I40" s="209"/>
      <c r="J40" s="209"/>
      <c r="K40" s="210"/>
      <c r="M40" s="225" t="s">
        <v>159</v>
      </c>
      <c r="N40" s="209"/>
      <c r="O40" s="209"/>
      <c r="P40" s="209"/>
      <c r="Q40" s="210"/>
      <c r="S40" s="227" t="s">
        <v>165</v>
      </c>
      <c r="T40" s="228"/>
      <c r="U40" s="228"/>
      <c r="V40" s="228"/>
      <c r="W40" s="229"/>
    </row>
    <row r="41" spans="1:23" ht="6.75" customHeight="1" x14ac:dyDescent="0.2">
      <c r="A41" s="211"/>
      <c r="B41" s="212"/>
      <c r="C41" s="212"/>
      <c r="D41" s="212"/>
      <c r="E41" s="213"/>
      <c r="G41" s="211"/>
      <c r="H41" s="212"/>
      <c r="I41" s="212"/>
      <c r="J41" s="212"/>
      <c r="K41" s="213"/>
      <c r="M41" s="211"/>
      <c r="N41" s="212"/>
      <c r="O41" s="212"/>
      <c r="P41" s="212"/>
      <c r="Q41" s="213"/>
      <c r="S41" s="230"/>
      <c r="T41" s="231"/>
      <c r="U41" s="231"/>
      <c r="V41" s="231"/>
      <c r="W41" s="232"/>
    </row>
    <row r="42" spans="1:23" x14ac:dyDescent="0.2">
      <c r="A42" s="214" t="s">
        <v>79</v>
      </c>
      <c r="B42" s="269" t="str">
        <f>'Best front 9'!E6</f>
        <v>Paul Clarke</v>
      </c>
      <c r="C42" s="269"/>
      <c r="D42" s="215"/>
      <c r="E42" s="216">
        <f>'Best front 9'!F6</f>
        <v>21</v>
      </c>
      <c r="G42" s="220" t="s">
        <v>79</v>
      </c>
      <c r="H42" s="270" t="str">
        <f>'Best Back 9'!E6</f>
        <v>Tony Forsyth-James</v>
      </c>
      <c r="I42" s="270"/>
      <c r="J42" s="212"/>
      <c r="K42" s="221">
        <f>'Best Back 9'!F6</f>
        <v>23</v>
      </c>
      <c r="M42" s="220" t="s">
        <v>79</v>
      </c>
      <c r="N42" s="271" t="str">
        <f>'Highest Swindle SS'!E6</f>
        <v>Justin Hunt</v>
      </c>
      <c r="O42" s="271"/>
      <c r="P42" s="212"/>
      <c r="Q42" s="221">
        <f>'Highest Swindle SS'!F6</f>
        <v>42</v>
      </c>
      <c r="S42" s="233" t="s">
        <v>79</v>
      </c>
      <c r="T42" s="272" t="str">
        <f>'Highest Competition SS '!E6</f>
        <v>Ben Fleet</v>
      </c>
      <c r="U42" s="272"/>
      <c r="V42" s="234"/>
      <c r="W42" s="273">
        <f>'Highest Competition SS '!F6</f>
        <v>41</v>
      </c>
    </row>
    <row r="43" spans="1:23" x14ac:dyDescent="0.2">
      <c r="A43" s="214" t="s">
        <v>80</v>
      </c>
      <c r="B43" s="269" t="str">
        <f>'Best front 9'!E7</f>
        <v>Paul Fitzgerald</v>
      </c>
      <c r="C43" s="269"/>
      <c r="D43" s="215"/>
      <c r="E43" s="216">
        <f>'Best front 9'!F7</f>
        <v>21</v>
      </c>
      <c r="G43" s="220" t="s">
        <v>80</v>
      </c>
      <c r="H43" s="270" t="str">
        <f>'Best Back 9'!E7</f>
        <v>Justin Hunt</v>
      </c>
      <c r="I43" s="270"/>
      <c r="J43" s="212"/>
      <c r="K43" s="221">
        <f>'Best Back 9'!F7</f>
        <v>23</v>
      </c>
      <c r="M43" s="220" t="s">
        <v>80</v>
      </c>
      <c r="N43" s="271" t="str">
        <f>'Highest Swindle SS'!E7</f>
        <v>Max Ball</v>
      </c>
      <c r="O43" s="271"/>
      <c r="P43" s="212"/>
      <c r="Q43" s="221">
        <f>'Highest Swindle SS'!F7</f>
        <v>41</v>
      </c>
      <c r="S43" s="233" t="s">
        <v>80</v>
      </c>
      <c r="T43" s="272" t="str">
        <f>'Highest Competition SS '!E7</f>
        <v>Stuart Gay</v>
      </c>
      <c r="U43" s="272"/>
      <c r="V43" s="234"/>
      <c r="W43" s="273">
        <f>'Highest Competition SS '!F7</f>
        <v>39</v>
      </c>
    </row>
    <row r="44" spans="1:23" x14ac:dyDescent="0.2">
      <c r="A44" s="214" t="s">
        <v>81</v>
      </c>
      <c r="B44" s="269" t="str">
        <f>'Best front 9'!E8</f>
        <v>Ben Fleet</v>
      </c>
      <c r="C44" s="269"/>
      <c r="D44" s="215"/>
      <c r="E44" s="216">
        <f>'Best front 9'!F8</f>
        <v>21</v>
      </c>
      <c r="G44" s="220" t="s">
        <v>81</v>
      </c>
      <c r="H44" s="270" t="str">
        <f>'Best Back 9'!E8</f>
        <v>Jason Wale</v>
      </c>
      <c r="I44" s="270"/>
      <c r="J44" s="212"/>
      <c r="K44" s="221">
        <f>'Best Back 9'!F8</f>
        <v>23</v>
      </c>
      <c r="M44" s="220" t="s">
        <v>81</v>
      </c>
      <c r="N44" s="271" t="str">
        <f>'Highest Swindle SS'!E8</f>
        <v>Brad Whitehead</v>
      </c>
      <c r="O44" s="271"/>
      <c r="P44" s="212"/>
      <c r="Q44" s="221">
        <f>'Highest Swindle SS'!F8</f>
        <v>41</v>
      </c>
      <c r="S44" s="233" t="s">
        <v>81</v>
      </c>
      <c r="T44" s="272" t="str">
        <f>'Highest Competition SS '!E8</f>
        <v>Martin Coomber</v>
      </c>
      <c r="U44" s="272"/>
      <c r="V44" s="234"/>
      <c r="W44" s="273">
        <f>'Highest Competition SS '!F8</f>
        <v>38</v>
      </c>
    </row>
    <row r="45" spans="1:23" x14ac:dyDescent="0.2">
      <c r="A45" s="214" t="s">
        <v>82</v>
      </c>
      <c r="B45" s="269" t="str">
        <f>'Best front 9'!E9</f>
        <v>Eoghan Hilton</v>
      </c>
      <c r="C45" s="269"/>
      <c r="D45" s="215"/>
      <c r="E45" s="216">
        <f>'Best front 9'!F9</f>
        <v>21</v>
      </c>
      <c r="G45" s="220" t="s">
        <v>82</v>
      </c>
      <c r="H45" s="270" t="str">
        <f>'Best Back 9'!E9</f>
        <v>Brad Whitehead</v>
      </c>
      <c r="I45" s="270"/>
      <c r="J45" s="212"/>
      <c r="K45" s="221">
        <f>'Best Back 9'!F9</f>
        <v>22</v>
      </c>
      <c r="M45" s="220" t="s">
        <v>82</v>
      </c>
      <c r="N45" s="271" t="str">
        <f>'Highest Swindle SS'!E9</f>
        <v>Tony Forsyth-James</v>
      </c>
      <c r="O45" s="271"/>
      <c r="P45" s="212"/>
      <c r="Q45" s="221">
        <f>'Highest Swindle SS'!F9</f>
        <v>40</v>
      </c>
      <c r="S45" s="233" t="s">
        <v>82</v>
      </c>
      <c r="T45" s="272" t="str">
        <f>'Highest Competition SS '!E9</f>
        <v>Tony Forsyth-James</v>
      </c>
      <c r="U45" s="272"/>
      <c r="V45" s="234"/>
      <c r="W45" s="273">
        <f>'Highest Competition SS '!F9</f>
        <v>38</v>
      </c>
    </row>
    <row r="46" spans="1:23" x14ac:dyDescent="0.2">
      <c r="A46" s="214" t="s">
        <v>83</v>
      </c>
      <c r="B46" s="269" t="str">
        <f>'Best front 9'!E10</f>
        <v>Justin Hunt</v>
      </c>
      <c r="C46" s="269"/>
      <c r="D46" s="215"/>
      <c r="E46" s="216">
        <f>'Best front 9'!F10</f>
        <v>21</v>
      </c>
      <c r="G46" s="220" t="s">
        <v>83</v>
      </c>
      <c r="H46" s="270" t="str">
        <f>'Best Back 9'!E10</f>
        <v>Max Ball</v>
      </c>
      <c r="I46" s="270"/>
      <c r="J46" s="212"/>
      <c r="K46" s="221">
        <f>'Best Back 9'!F10</f>
        <v>21</v>
      </c>
      <c r="M46" s="220" t="s">
        <v>83</v>
      </c>
      <c r="N46" s="271" t="str">
        <f>'Highest Swindle SS'!E10</f>
        <v>Jason Wale</v>
      </c>
      <c r="O46" s="271"/>
      <c r="P46" s="212"/>
      <c r="Q46" s="221">
        <f>'Highest Swindle SS'!F10</f>
        <v>40</v>
      </c>
      <c r="S46" s="233" t="s">
        <v>83</v>
      </c>
      <c r="T46" s="272" t="str">
        <f>'Highest Competition SS '!E10</f>
        <v>Chris Smith</v>
      </c>
      <c r="U46" s="272"/>
      <c r="V46" s="234"/>
      <c r="W46" s="273">
        <f>'Highest Competition SS '!F10</f>
        <v>38</v>
      </c>
    </row>
    <row r="47" spans="1:23" x14ac:dyDescent="0.2">
      <c r="A47" s="214" t="s">
        <v>94</v>
      </c>
      <c r="B47" s="269" t="str">
        <f>'Best front 9'!E11</f>
        <v>Andy Johnson</v>
      </c>
      <c r="C47" s="269"/>
      <c r="D47" s="215"/>
      <c r="E47" s="216">
        <f>'Best front 9'!F11</f>
        <v>21</v>
      </c>
      <c r="G47" s="220" t="s">
        <v>94</v>
      </c>
      <c r="H47" s="270" t="str">
        <f>'Best Back 9'!E11</f>
        <v>Archie Fraser</v>
      </c>
      <c r="I47" s="270"/>
      <c r="J47" s="212"/>
      <c r="K47" s="221">
        <f>'Best Back 9'!F11</f>
        <v>21</v>
      </c>
      <c r="M47" s="220" t="s">
        <v>94</v>
      </c>
      <c r="N47" s="271" t="str">
        <f>'Highest Swindle SS'!E11</f>
        <v>Paul Fitzgerald</v>
      </c>
      <c r="O47" s="271"/>
      <c r="P47" s="212"/>
      <c r="Q47" s="221">
        <f>'Highest Swindle SS'!F11</f>
        <v>39</v>
      </c>
      <c r="S47" s="233" t="s">
        <v>94</v>
      </c>
      <c r="T47" s="272" t="str">
        <f>'Highest Competition SS '!E11</f>
        <v>Max Ball</v>
      </c>
      <c r="U47" s="272"/>
      <c r="V47" s="234"/>
      <c r="W47" s="273">
        <f>'Highest Competition SS '!F11</f>
        <v>37</v>
      </c>
    </row>
    <row r="48" spans="1:23" x14ac:dyDescent="0.2">
      <c r="A48" s="214" t="s">
        <v>95</v>
      </c>
      <c r="B48" s="269" t="str">
        <f>'Best front 9'!E12</f>
        <v>Max Ball</v>
      </c>
      <c r="C48" s="269"/>
      <c r="D48" s="215"/>
      <c r="E48" s="216">
        <f>'Best front 9'!F12</f>
        <v>20</v>
      </c>
      <c r="G48" s="220" t="s">
        <v>95</v>
      </c>
      <c r="H48" s="270" t="str">
        <f>'Best Back 9'!E12</f>
        <v>Dave Randall</v>
      </c>
      <c r="I48" s="270"/>
      <c r="J48" s="212"/>
      <c r="K48" s="221">
        <f>'Best Back 9'!F12</f>
        <v>21</v>
      </c>
      <c r="M48" s="220" t="s">
        <v>95</v>
      </c>
      <c r="N48" s="271" t="str">
        <f>'Highest Swindle SS'!E12</f>
        <v>Dave Randall</v>
      </c>
      <c r="O48" s="271"/>
      <c r="P48" s="212"/>
      <c r="Q48" s="221">
        <f>'Highest Swindle SS'!F12</f>
        <v>39</v>
      </c>
      <c r="S48" s="233" t="s">
        <v>95</v>
      </c>
      <c r="T48" s="272" t="str">
        <f>'Highest Competition SS '!E12</f>
        <v>Andy Johnson</v>
      </c>
      <c r="U48" s="272"/>
      <c r="V48" s="234"/>
      <c r="W48" s="273">
        <f>'Highest Competition SS '!F12</f>
        <v>37</v>
      </c>
    </row>
    <row r="49" spans="1:23" x14ac:dyDescent="0.2">
      <c r="A49" s="214" t="s">
        <v>96</v>
      </c>
      <c r="B49" s="269" t="str">
        <f>'Best front 9'!E13</f>
        <v>Martin Coomber</v>
      </c>
      <c r="C49" s="269"/>
      <c r="D49" s="215"/>
      <c r="E49" s="216">
        <f>'Best front 9'!F13</f>
        <v>20</v>
      </c>
      <c r="G49" s="220" t="s">
        <v>96</v>
      </c>
      <c r="H49" s="270" t="str">
        <f>'Best Back 9'!E13</f>
        <v>Peter Vallely</v>
      </c>
      <c r="I49" s="270"/>
      <c r="J49" s="212"/>
      <c r="K49" s="221">
        <f>'Best Back 9'!F13</f>
        <v>21</v>
      </c>
      <c r="M49" s="220" t="s">
        <v>96</v>
      </c>
      <c r="N49" s="271" t="str">
        <f>'Highest Swindle SS'!E13</f>
        <v>Peter Vallely</v>
      </c>
      <c r="O49" s="271"/>
      <c r="P49" s="212"/>
      <c r="Q49" s="221">
        <f>'Highest Swindle SS'!F13</f>
        <v>39</v>
      </c>
      <c r="S49" s="233" t="s">
        <v>96</v>
      </c>
      <c r="T49" s="272" t="str">
        <f>'Highest Competition SS '!E13</f>
        <v>Chris Burroughs</v>
      </c>
      <c r="U49" s="272"/>
      <c r="V49" s="234"/>
      <c r="W49" s="273">
        <f>'Highest Competition SS '!F13</f>
        <v>36</v>
      </c>
    </row>
    <row r="50" spans="1:23" x14ac:dyDescent="0.2">
      <c r="A50" s="214" t="s">
        <v>97</v>
      </c>
      <c r="B50" s="269" t="str">
        <f>'Best front 9'!E14</f>
        <v>Nick Garner</v>
      </c>
      <c r="C50" s="269"/>
      <c r="D50" s="215"/>
      <c r="E50" s="216">
        <f>'Best front 9'!F14</f>
        <v>20</v>
      </c>
      <c r="G50" s="220" t="s">
        <v>97</v>
      </c>
      <c r="H50" s="270" t="str">
        <f>'Best Back 9'!E14</f>
        <v>Martin Coomber</v>
      </c>
      <c r="I50" s="270"/>
      <c r="J50" s="212"/>
      <c r="K50" s="221">
        <f>'Best Back 9'!F14</f>
        <v>20</v>
      </c>
      <c r="M50" s="220" t="s">
        <v>97</v>
      </c>
      <c r="N50" s="271" t="str">
        <f>'Highest Swindle SS'!E14</f>
        <v>Jordan Hall</v>
      </c>
      <c r="O50" s="271"/>
      <c r="P50" s="212"/>
      <c r="Q50" s="221">
        <f>'Highest Swindle SS'!F14</f>
        <v>38</v>
      </c>
      <c r="S50" s="233" t="s">
        <v>97</v>
      </c>
      <c r="T50" s="272" t="str">
        <f>'Highest Competition SS '!E14</f>
        <v>Jason Wale</v>
      </c>
      <c r="U50" s="272"/>
      <c r="V50" s="234"/>
      <c r="W50" s="273">
        <f>'Highest Competition SS '!F14</f>
        <v>36</v>
      </c>
    </row>
    <row r="51" spans="1:23" x14ac:dyDescent="0.2">
      <c r="A51" s="214" t="s">
        <v>98</v>
      </c>
      <c r="B51" s="269" t="str">
        <f>'Best front 9'!E15</f>
        <v>Anthony Harris</v>
      </c>
      <c r="C51" s="269"/>
      <c r="D51" s="215"/>
      <c r="E51" s="216">
        <f>'Best front 9'!F15</f>
        <v>20</v>
      </c>
      <c r="G51" s="220" t="s">
        <v>98</v>
      </c>
      <c r="H51" s="270" t="str">
        <f>'Best Back 9'!E15</f>
        <v>Paul Fitzgerald</v>
      </c>
      <c r="I51" s="270"/>
      <c r="J51" s="212"/>
      <c r="K51" s="221">
        <f>'Best Back 9'!F15</f>
        <v>20</v>
      </c>
      <c r="M51" s="220" t="s">
        <v>98</v>
      </c>
      <c r="N51" s="271" t="str">
        <f>'Highest Swindle SS'!E15</f>
        <v>Anthony Harris</v>
      </c>
      <c r="O51" s="271"/>
      <c r="P51" s="212"/>
      <c r="Q51" s="221">
        <f>'Highest Swindle SS'!F15</f>
        <v>38</v>
      </c>
      <c r="S51" s="233" t="s">
        <v>98</v>
      </c>
      <c r="T51" s="272" t="str">
        <f>'Highest Competition SS '!E15</f>
        <v>Neil Hart</v>
      </c>
      <c r="U51" s="272"/>
      <c r="V51" s="234"/>
      <c r="W51" s="273">
        <f>'Highest Competition SS '!F15</f>
        <v>35</v>
      </c>
    </row>
    <row r="52" spans="1:23" ht="13.5" thickBot="1" x14ac:dyDescent="0.25">
      <c r="A52" s="217"/>
      <c r="B52" s="218"/>
      <c r="C52" s="218"/>
      <c r="D52" s="218"/>
      <c r="E52" s="219"/>
      <c r="G52" s="222"/>
      <c r="H52" s="223"/>
      <c r="I52" s="223"/>
      <c r="J52" s="223"/>
      <c r="K52" s="224"/>
      <c r="M52" s="222"/>
      <c r="N52" s="223"/>
      <c r="O52" s="223"/>
      <c r="P52" s="223"/>
      <c r="Q52" s="224"/>
      <c r="S52" s="235"/>
      <c r="T52" s="236"/>
      <c r="U52" s="236"/>
      <c r="V52" s="236"/>
      <c r="W52" s="237"/>
    </row>
    <row r="53" spans="1:23" ht="13.5" thickBot="1" x14ac:dyDescent="0.25">
      <c r="G53" s="27"/>
      <c r="M53" s="27"/>
      <c r="S53" s="27"/>
    </row>
    <row r="54" spans="1:23" x14ac:dyDescent="0.2">
      <c r="A54" s="208" t="s">
        <v>160</v>
      </c>
      <c r="B54" s="209"/>
      <c r="C54" s="209"/>
      <c r="D54" s="209"/>
      <c r="E54" s="210"/>
      <c r="G54" s="208" t="s">
        <v>161</v>
      </c>
      <c r="H54" s="209"/>
      <c r="I54" s="209"/>
      <c r="J54" s="209"/>
      <c r="K54" s="210"/>
      <c r="M54" s="225" t="s">
        <v>162</v>
      </c>
      <c r="N54" s="209"/>
      <c r="O54" s="209"/>
      <c r="P54" s="209"/>
      <c r="Q54" s="210"/>
      <c r="S54" s="227" t="s">
        <v>166</v>
      </c>
      <c r="T54" s="228"/>
      <c r="U54" s="228"/>
      <c r="V54" s="228"/>
      <c r="W54" s="229"/>
    </row>
    <row r="55" spans="1:23" ht="6.75" customHeight="1" x14ac:dyDescent="0.2">
      <c r="A55" s="211"/>
      <c r="B55" s="212"/>
      <c r="C55" s="212"/>
      <c r="D55" s="212"/>
      <c r="E55" s="213"/>
      <c r="G55" s="211"/>
      <c r="H55" s="212"/>
      <c r="I55" s="212"/>
      <c r="J55" s="212"/>
      <c r="K55" s="213"/>
      <c r="M55" s="211"/>
      <c r="N55" s="212"/>
      <c r="O55" s="212"/>
      <c r="P55" s="212"/>
      <c r="Q55" s="213"/>
      <c r="S55" s="230"/>
      <c r="T55" s="231"/>
      <c r="U55" s="231"/>
      <c r="V55" s="231"/>
      <c r="W55" s="232"/>
    </row>
    <row r="56" spans="1:23" x14ac:dyDescent="0.2">
      <c r="A56" s="214" t="s">
        <v>79</v>
      </c>
      <c r="B56" s="268" t="str">
        <f>'Worst front 9'!F6</f>
        <v>Dominic Coughlin</v>
      </c>
      <c r="C56" s="269"/>
      <c r="D56" s="215"/>
      <c r="E56" s="216">
        <f>'Worst front 9'!G6</f>
        <v>3</v>
      </c>
      <c r="G56" s="220" t="s">
        <v>79</v>
      </c>
      <c r="H56" s="270" t="str">
        <f>'Worst Back 9'!F6</f>
        <v>Paul Clarke</v>
      </c>
      <c r="I56" s="270"/>
      <c r="J56" s="212"/>
      <c r="K56" s="364">
        <f>'Worst Back 9'!G6</f>
        <v>4</v>
      </c>
      <c r="M56" s="220" t="s">
        <v>79</v>
      </c>
      <c r="N56" s="271" t="str">
        <f>'Worst Stableford score'!F6</f>
        <v>Gary Hall</v>
      </c>
      <c r="O56" s="271"/>
      <c r="P56" s="212"/>
      <c r="Q56" s="364">
        <f>'Worst Stableford score'!G6</f>
        <v>9</v>
      </c>
      <c r="S56" s="233" t="s">
        <v>79</v>
      </c>
      <c r="T56" s="272" t="str">
        <f>'lowest comp Stableford score'!F6</f>
        <v>Ben Fleet</v>
      </c>
      <c r="U56" s="272"/>
      <c r="V56" s="234"/>
      <c r="W56" s="273">
        <f>'lowest comp Stableford score'!G6</f>
        <v>22</v>
      </c>
    </row>
    <row r="57" spans="1:23" x14ac:dyDescent="0.2">
      <c r="A57" s="214" t="s">
        <v>80</v>
      </c>
      <c r="B57" s="268" t="str">
        <f>'Worst front 9'!F7</f>
        <v>Sam Cochrane</v>
      </c>
      <c r="C57" s="269"/>
      <c r="D57" s="215"/>
      <c r="E57" s="216">
        <f>'Worst front 9'!G7</f>
        <v>6</v>
      </c>
      <c r="G57" s="220" t="s">
        <v>80</v>
      </c>
      <c r="H57" s="270" t="str">
        <f>'Worst Back 9'!F7</f>
        <v>Oliver Proud</v>
      </c>
      <c r="I57" s="270"/>
      <c r="J57" s="212"/>
      <c r="K57" s="221">
        <f>'Worst Back 9'!G7</f>
        <v>5</v>
      </c>
      <c r="M57" s="220" t="s">
        <v>80</v>
      </c>
      <c r="N57" s="271" t="str">
        <f>'Worst Stableford score'!F7</f>
        <v>Sam Cochrane</v>
      </c>
      <c r="O57" s="271"/>
      <c r="P57" s="212"/>
      <c r="Q57" s="221">
        <f>'Worst Stableford score'!G7</f>
        <v>16</v>
      </c>
      <c r="S57" s="233" t="s">
        <v>80</v>
      </c>
      <c r="T57" s="272" t="str">
        <f>'lowest comp Stableford score'!F7</f>
        <v>Tony Forsyth-James</v>
      </c>
      <c r="U57" s="272"/>
      <c r="V57" s="234"/>
      <c r="W57" s="273">
        <f>'lowest comp Stableford score'!G7</f>
        <v>24</v>
      </c>
    </row>
    <row r="58" spans="1:23" x14ac:dyDescent="0.2">
      <c r="A58" s="214" t="s">
        <v>81</v>
      </c>
      <c r="B58" s="268" t="str">
        <f>'Worst front 9'!F8</f>
        <v>Harley Bishop</v>
      </c>
      <c r="C58" s="269"/>
      <c r="D58" s="215"/>
      <c r="E58" s="216">
        <f>'Worst front 9'!G8</f>
        <v>9</v>
      </c>
      <c r="G58" s="220" t="s">
        <v>81</v>
      </c>
      <c r="H58" s="270" t="str">
        <f>'Worst Back 9'!F8</f>
        <v>Sam Cochrane</v>
      </c>
      <c r="I58" s="270"/>
      <c r="J58" s="212"/>
      <c r="K58" s="221">
        <f>'Worst Back 9'!G8</f>
        <v>8</v>
      </c>
      <c r="M58" s="220" t="s">
        <v>81</v>
      </c>
      <c r="N58" s="271" t="str">
        <f>'Worst Stableford score'!F8</f>
        <v>Paul Clarke</v>
      </c>
      <c r="O58" s="271"/>
      <c r="P58" s="212"/>
      <c r="Q58" s="221">
        <f>'Worst Stableford score'!G8</f>
        <v>19</v>
      </c>
      <c r="S58" s="233" t="s">
        <v>81</v>
      </c>
      <c r="T58" s="272" t="str">
        <f>'lowest comp Stableford score'!F8</f>
        <v>Terry Walker</v>
      </c>
      <c r="U58" s="272"/>
      <c r="V58" s="234"/>
      <c r="W58" s="273">
        <f>'lowest comp Stableford score'!G8</f>
        <v>24</v>
      </c>
    </row>
    <row r="59" spans="1:23" x14ac:dyDescent="0.2">
      <c r="A59" s="214" t="s">
        <v>82</v>
      </c>
      <c r="B59" s="268" t="str">
        <f>'Worst front 9'!F9</f>
        <v>Gary Hall</v>
      </c>
      <c r="C59" s="269"/>
      <c r="D59" s="215"/>
      <c r="E59" s="216">
        <f>'Worst front 9'!G9</f>
        <v>9</v>
      </c>
      <c r="G59" s="220" t="s">
        <v>82</v>
      </c>
      <c r="H59" s="270" t="str">
        <f>'Worst Back 9'!F9</f>
        <v>Harley Bishop</v>
      </c>
      <c r="I59" s="270"/>
      <c r="J59" s="212"/>
      <c r="K59" s="221">
        <f>'Worst Back 9'!G9</f>
        <v>9</v>
      </c>
      <c r="M59" s="220" t="s">
        <v>82</v>
      </c>
      <c r="N59" s="271" t="str">
        <f>'Worst Stableford score'!F9</f>
        <v>Dominic Coughlin</v>
      </c>
      <c r="O59" s="271"/>
      <c r="P59" s="212"/>
      <c r="Q59" s="221">
        <f>'Worst Stableford score'!G9</f>
        <v>19</v>
      </c>
      <c r="S59" s="233" t="s">
        <v>82</v>
      </c>
      <c r="T59" s="272" t="str">
        <f>'lowest comp Stableford score'!F9</f>
        <v>Harley Bishop</v>
      </c>
      <c r="U59" s="272"/>
      <c r="V59" s="234"/>
      <c r="W59" s="273">
        <f>'lowest comp Stableford score'!G9</f>
        <v>25</v>
      </c>
    </row>
    <row r="60" spans="1:23" x14ac:dyDescent="0.2">
      <c r="A60" s="214" t="s">
        <v>83</v>
      </c>
      <c r="B60" s="268" t="str">
        <f>'Worst front 9'!F10</f>
        <v>Ben Fleet</v>
      </c>
      <c r="C60" s="269"/>
      <c r="D60" s="215"/>
      <c r="E60" s="216">
        <f>'Worst front 9'!G10</f>
        <v>10</v>
      </c>
      <c r="G60" s="220" t="s">
        <v>83</v>
      </c>
      <c r="H60" s="270" t="str">
        <f>'Worst Back 9'!F10</f>
        <v>Tony Forsyth-James</v>
      </c>
      <c r="I60" s="270"/>
      <c r="J60" s="212"/>
      <c r="K60" s="221">
        <f>'Worst Back 9'!G10</f>
        <v>10</v>
      </c>
      <c r="M60" s="220" t="s">
        <v>83</v>
      </c>
      <c r="N60" s="271" t="str">
        <f>'Worst Stableford score'!F10</f>
        <v>Oliver Proud</v>
      </c>
      <c r="O60" s="271"/>
      <c r="P60" s="212"/>
      <c r="Q60" s="221">
        <f>'Worst Stableford score'!G10</f>
        <v>19</v>
      </c>
      <c r="S60" s="233" t="s">
        <v>83</v>
      </c>
      <c r="T60" s="272" t="str">
        <f>'lowest comp Stableford score'!F10</f>
        <v>Dave Randall</v>
      </c>
      <c r="U60" s="272"/>
      <c r="V60" s="234"/>
      <c r="W60" s="273">
        <f>'lowest comp Stableford score'!G10</f>
        <v>25</v>
      </c>
    </row>
    <row r="61" spans="1:23" x14ac:dyDescent="0.2">
      <c r="A61" s="214" t="s">
        <v>94</v>
      </c>
      <c r="B61" s="268" t="str">
        <f>'Worst front 9'!F11</f>
        <v>Tony Forsyth-James</v>
      </c>
      <c r="C61" s="269"/>
      <c r="D61" s="215"/>
      <c r="E61" s="216">
        <f>'Worst front 9'!G11</f>
        <v>10</v>
      </c>
      <c r="G61" s="220" t="s">
        <v>94</v>
      </c>
      <c r="H61" s="270" t="str">
        <f>'Worst Back 9'!F11</f>
        <v>Neil Hart</v>
      </c>
      <c r="I61" s="270"/>
      <c r="J61" s="212"/>
      <c r="K61" s="221">
        <f>'Worst Back 9'!G11</f>
        <v>10</v>
      </c>
      <c r="M61" s="220" t="s">
        <v>94</v>
      </c>
      <c r="N61" s="271" t="str">
        <f>'Worst Stableford score'!F11</f>
        <v>Mike Forrest</v>
      </c>
      <c r="O61" s="271"/>
      <c r="P61" s="212"/>
      <c r="Q61" s="221">
        <f>'Worst Stableford score'!G11</f>
        <v>23</v>
      </c>
      <c r="S61" s="233" t="s">
        <v>94</v>
      </c>
      <c r="T61" s="272" t="str">
        <f>'lowest comp Stableford score'!F11</f>
        <v>Gareth Davies</v>
      </c>
      <c r="U61" s="272"/>
      <c r="V61" s="234"/>
      <c r="W61" s="273">
        <f>'lowest comp Stableford score'!G11</f>
        <v>26</v>
      </c>
    </row>
    <row r="62" spans="1:23" x14ac:dyDescent="0.2">
      <c r="A62" s="214" t="s">
        <v>95</v>
      </c>
      <c r="B62" s="268" t="str">
        <f>'Worst front 9'!F12</f>
        <v>Dave Randall</v>
      </c>
      <c r="C62" s="269"/>
      <c r="D62" s="215"/>
      <c r="E62" s="216">
        <f>'Worst front 9'!G12</f>
        <v>10</v>
      </c>
      <c r="G62" s="220" t="s">
        <v>95</v>
      </c>
      <c r="H62" s="270" t="str">
        <f>'Worst Back 9'!F12</f>
        <v>Finn Wheeler</v>
      </c>
      <c r="I62" s="270"/>
      <c r="J62" s="212"/>
      <c r="K62" s="221">
        <f>'Worst Back 9'!G12</f>
        <v>10</v>
      </c>
      <c r="M62" s="220" t="s">
        <v>95</v>
      </c>
      <c r="N62" s="271" t="str">
        <f>'Worst Stableford score'!F12</f>
        <v>Tony Forsyth-James</v>
      </c>
      <c r="O62" s="271"/>
      <c r="P62" s="212"/>
      <c r="Q62" s="221">
        <f>'Worst Stableford score'!G12</f>
        <v>23</v>
      </c>
      <c r="S62" s="233" t="s">
        <v>95</v>
      </c>
      <c r="T62" s="272" t="str">
        <f>'lowest comp Stableford score'!F12</f>
        <v>Nick Garner</v>
      </c>
      <c r="U62" s="272"/>
      <c r="V62" s="234"/>
      <c r="W62" s="273">
        <f>'lowest comp Stableford score'!G12</f>
        <v>27</v>
      </c>
    </row>
    <row r="63" spans="1:23" x14ac:dyDescent="0.2">
      <c r="A63" s="214" t="s">
        <v>96</v>
      </c>
      <c r="B63" s="268" t="str">
        <f>'Worst front 9'!F13</f>
        <v>Steve Wheeler</v>
      </c>
      <c r="C63" s="269"/>
      <c r="D63" s="215"/>
      <c r="E63" s="216">
        <f>'Worst front 9'!G13</f>
        <v>10</v>
      </c>
      <c r="G63" s="220" t="s">
        <v>96</v>
      </c>
      <c r="H63" s="270" t="str">
        <f>'Worst Back 9'!F13</f>
        <v>Ben Fleet</v>
      </c>
      <c r="I63" s="270"/>
      <c r="J63" s="212"/>
      <c r="K63" s="221">
        <f>'Worst Back 9'!G13</f>
        <v>11</v>
      </c>
      <c r="M63" s="220" t="s">
        <v>96</v>
      </c>
      <c r="N63" s="271" t="str">
        <f>'Worst Stableford score'!F13</f>
        <v>Brad Whitehead</v>
      </c>
      <c r="O63" s="271"/>
      <c r="P63" s="212"/>
      <c r="Q63" s="221">
        <f>'Worst Stableford score'!G13</f>
        <v>23</v>
      </c>
      <c r="S63" s="233" t="s">
        <v>96</v>
      </c>
      <c r="T63" s="272" t="str">
        <f>'lowest comp Stableford score'!F13</f>
        <v>Andy Johnson</v>
      </c>
      <c r="U63" s="272"/>
      <c r="V63" s="234"/>
      <c r="W63" s="273">
        <f>'lowest comp Stableford score'!G13</f>
        <v>27</v>
      </c>
    </row>
    <row r="64" spans="1:23" x14ac:dyDescent="0.2">
      <c r="A64" s="214" t="s">
        <v>97</v>
      </c>
      <c r="B64" s="268" t="str">
        <f>'Worst front 9'!F14</f>
        <v>Jonathan Kanareck</v>
      </c>
      <c r="C64" s="269"/>
      <c r="D64" s="215"/>
      <c r="E64" s="216">
        <f>'Worst front 9'!G14</f>
        <v>10</v>
      </c>
      <c r="G64" s="220" t="s">
        <v>97</v>
      </c>
      <c r="H64" s="270" t="str">
        <f>'Worst Back 9'!F14</f>
        <v>Edward Money</v>
      </c>
      <c r="I64" s="270"/>
      <c r="J64" s="212"/>
      <c r="K64" s="221">
        <f>'Worst Back 9'!G14</f>
        <v>11</v>
      </c>
      <c r="M64" s="220" t="s">
        <v>97</v>
      </c>
      <c r="N64" s="271" t="str">
        <f>'Worst Stableford score'!F14</f>
        <v>Ben Fleet</v>
      </c>
      <c r="O64" s="271"/>
      <c r="P64" s="212"/>
      <c r="Q64" s="221">
        <f>'Worst Stableford score'!G14</f>
        <v>24</v>
      </c>
      <c r="S64" s="233" t="s">
        <v>97</v>
      </c>
      <c r="T64" s="272" t="str">
        <f>'lowest comp Stableford score'!F14</f>
        <v>Dickie Moxham</v>
      </c>
      <c r="U64" s="272"/>
      <c r="V64" s="234"/>
      <c r="W64" s="273">
        <f>'lowest comp Stableford score'!G14</f>
        <v>28</v>
      </c>
    </row>
    <row r="65" spans="1:23" x14ac:dyDescent="0.2">
      <c r="A65" s="214" t="s">
        <v>98</v>
      </c>
      <c r="B65" s="268" t="str">
        <f>'Worst front 9'!F15</f>
        <v>Gareth Davies</v>
      </c>
      <c r="C65" s="269"/>
      <c r="D65" s="215"/>
      <c r="E65" s="216">
        <f>'Worst front 9'!G15</f>
        <v>11</v>
      </c>
      <c r="G65" s="220" t="s">
        <v>98</v>
      </c>
      <c r="H65" s="270" t="str">
        <f>'Worst Back 9'!F15</f>
        <v>Dave Randall</v>
      </c>
      <c r="I65" s="270"/>
      <c r="J65" s="212"/>
      <c r="K65" s="221">
        <f>'Worst Back 9'!G15</f>
        <v>11</v>
      </c>
      <c r="M65" s="220" t="s">
        <v>98</v>
      </c>
      <c r="N65" s="271" t="str">
        <f>'Worst Stableford score'!F15</f>
        <v>Finn Wheeler</v>
      </c>
      <c r="O65" s="271"/>
      <c r="P65" s="212"/>
      <c r="Q65" s="221">
        <f>'Worst Stableford score'!G15</f>
        <v>24</v>
      </c>
      <c r="S65" s="233" t="s">
        <v>98</v>
      </c>
      <c r="T65" s="272" t="str">
        <f>'lowest comp Stableford score'!F15</f>
        <v>Kevin Tribley</v>
      </c>
      <c r="U65" s="272"/>
      <c r="V65" s="234"/>
      <c r="W65" s="273">
        <f>'lowest comp Stableford score'!G15</f>
        <v>28</v>
      </c>
    </row>
    <row r="66" spans="1:23" ht="13.5" thickBot="1" x14ac:dyDescent="0.25">
      <c r="A66" s="217"/>
      <c r="B66" s="218"/>
      <c r="C66" s="218"/>
      <c r="D66" s="218"/>
      <c r="E66" s="219"/>
      <c r="G66" s="222"/>
      <c r="H66" s="223"/>
      <c r="I66" s="223"/>
      <c r="J66" s="223"/>
      <c r="K66" s="224"/>
      <c r="M66" s="222"/>
      <c r="N66" s="223"/>
      <c r="O66" s="223"/>
      <c r="P66" s="223"/>
      <c r="Q66" s="224"/>
      <c r="S66" s="235"/>
      <c r="T66" s="236"/>
      <c r="U66" s="236"/>
      <c r="V66" s="236"/>
      <c r="W66" s="237"/>
    </row>
    <row r="75" spans="1:23" x14ac:dyDescent="0.2">
      <c r="A75" s="29" t="s">
        <v>172</v>
      </c>
      <c r="E75" s="27"/>
      <c r="S75" s="27"/>
    </row>
    <row r="76" spans="1:23" ht="13.5" thickBot="1" x14ac:dyDescent="0.25">
      <c r="A76" s="28"/>
      <c r="E76" s="27"/>
    </row>
    <row r="77" spans="1:23" x14ac:dyDescent="0.2">
      <c r="A77" s="208" t="s">
        <v>169</v>
      </c>
      <c r="B77" s="209"/>
      <c r="C77" s="209"/>
      <c r="D77" s="209"/>
      <c r="E77" s="210"/>
      <c r="G77" s="208" t="s">
        <v>171</v>
      </c>
      <c r="H77" s="209"/>
      <c r="I77" s="209"/>
      <c r="J77" s="209"/>
      <c r="K77" s="210"/>
      <c r="M77" s="238"/>
      <c r="S77" s="238"/>
      <c r="T77" s="27" t="s">
        <v>231</v>
      </c>
    </row>
    <row r="78" spans="1:23" ht="6.75" customHeight="1" x14ac:dyDescent="0.2">
      <c r="A78" s="211"/>
      <c r="B78" s="212"/>
      <c r="C78" s="212"/>
      <c r="D78" s="212"/>
      <c r="E78" s="213"/>
      <c r="G78" s="211"/>
      <c r="H78" s="212"/>
      <c r="I78" s="212"/>
      <c r="J78" s="212"/>
      <c r="K78" s="213"/>
    </row>
    <row r="79" spans="1:23" x14ac:dyDescent="0.2">
      <c r="A79" s="214" t="s">
        <v>79</v>
      </c>
      <c r="B79" s="269" t="str">
        <f>'Highest Competition Medal'!E6</f>
        <v>Danny Jones</v>
      </c>
      <c r="C79" s="269"/>
      <c r="D79" s="215"/>
      <c r="E79" s="216">
        <f>'Highest Competition Medal'!F6</f>
        <v>75</v>
      </c>
      <c r="G79" s="220" t="s">
        <v>79</v>
      </c>
      <c r="H79" s="270" t="str">
        <f>'lowest comp Medal score'!F6</f>
        <v>Tony Forsyth-James</v>
      </c>
      <c r="I79" s="270"/>
      <c r="J79" s="212"/>
      <c r="K79" s="221">
        <f>'lowest comp Medal score'!G6</f>
        <v>102</v>
      </c>
      <c r="M79" s="29"/>
      <c r="N79" s="712"/>
      <c r="O79" s="712"/>
      <c r="Q79" s="226"/>
      <c r="S79" s="29"/>
      <c r="T79" s="712" t="s">
        <v>110</v>
      </c>
      <c r="U79" s="712"/>
      <c r="V79" s="27">
        <v>27</v>
      </c>
      <c r="W79" s="274">
        <v>45542</v>
      </c>
    </row>
    <row r="80" spans="1:23" x14ac:dyDescent="0.2">
      <c r="A80" s="214" t="s">
        <v>80</v>
      </c>
      <c r="B80" s="269" t="str">
        <f>'Highest Competition Medal'!E7</f>
        <v>Dan Thomas</v>
      </c>
      <c r="C80" s="269"/>
      <c r="D80" s="215"/>
      <c r="E80" s="216">
        <f>'Highest Competition Medal'!F7</f>
        <v>78</v>
      </c>
      <c r="G80" s="220" t="s">
        <v>80</v>
      </c>
      <c r="H80" s="270" t="str">
        <f>'lowest comp Medal score'!F7</f>
        <v>Anthony Harris</v>
      </c>
      <c r="I80" s="270"/>
      <c r="J80" s="212"/>
      <c r="K80" s="221">
        <f>'lowest comp Medal score'!G7</f>
        <v>95</v>
      </c>
      <c r="M80" s="29"/>
      <c r="N80" s="712"/>
      <c r="O80" s="712"/>
      <c r="Q80" s="226"/>
      <c r="S80" s="29"/>
      <c r="T80" s="712" t="s">
        <v>110</v>
      </c>
      <c r="U80" s="712"/>
      <c r="V80" s="27">
        <v>28</v>
      </c>
      <c r="W80" s="274">
        <v>45353</v>
      </c>
    </row>
    <row r="81" spans="1:23" x14ac:dyDescent="0.2">
      <c r="A81" s="214" t="s">
        <v>81</v>
      </c>
      <c r="B81" s="269" t="str">
        <f>'Highest Competition Medal'!E8</f>
        <v>Chris Smith</v>
      </c>
      <c r="C81" s="269"/>
      <c r="D81" s="215"/>
      <c r="E81" s="216">
        <f>'Highest Competition Medal'!F8</f>
        <v>79</v>
      </c>
      <c r="G81" s="220" t="s">
        <v>81</v>
      </c>
      <c r="H81" s="270" t="str">
        <f>'lowest comp Medal score'!F8</f>
        <v>Dave Randall</v>
      </c>
      <c r="I81" s="270"/>
      <c r="J81" s="212"/>
      <c r="K81" s="221">
        <f>'lowest comp Medal score'!G8</f>
        <v>95</v>
      </c>
      <c r="M81" s="29"/>
      <c r="N81" s="712"/>
      <c r="O81" s="712"/>
      <c r="Q81" s="226"/>
      <c r="S81" s="29"/>
      <c r="T81" s="712" t="s">
        <v>152</v>
      </c>
      <c r="U81" s="712"/>
      <c r="V81" s="27">
        <v>29</v>
      </c>
      <c r="W81" s="274">
        <v>45332</v>
      </c>
    </row>
    <row r="82" spans="1:23" x14ac:dyDescent="0.2">
      <c r="A82" s="214" t="s">
        <v>82</v>
      </c>
      <c r="B82" s="269" t="str">
        <f>'Highest Competition Medal'!E9</f>
        <v>Shaun Alexander</v>
      </c>
      <c r="C82" s="269"/>
      <c r="D82" s="215"/>
      <c r="E82" s="216">
        <f>'Highest Competition Medal'!F9</f>
        <v>80</v>
      </c>
      <c r="G82" s="220" t="s">
        <v>82</v>
      </c>
      <c r="H82" s="270" t="str">
        <f>'lowest comp Medal score'!F9</f>
        <v>Andy Johnson</v>
      </c>
      <c r="I82" s="270"/>
      <c r="J82" s="212"/>
      <c r="K82" s="221">
        <f>'lowest comp Medal score'!G9</f>
        <v>93</v>
      </c>
      <c r="M82" s="29"/>
      <c r="N82" s="712"/>
      <c r="O82" s="712"/>
      <c r="Q82" s="226"/>
      <c r="S82" s="29"/>
      <c r="T82" s="712"/>
      <c r="U82" s="712"/>
      <c r="W82" s="226"/>
    </row>
    <row r="83" spans="1:23" x14ac:dyDescent="0.2">
      <c r="A83" s="214" t="s">
        <v>83</v>
      </c>
      <c r="B83" s="269" t="str">
        <f>'Highest Competition Medal'!E10</f>
        <v>Gareth Davies</v>
      </c>
      <c r="C83" s="269"/>
      <c r="D83" s="215"/>
      <c r="E83" s="216">
        <f>'Highest Competition Medal'!F10</f>
        <v>82</v>
      </c>
      <c r="G83" s="220" t="s">
        <v>83</v>
      </c>
      <c r="H83" s="270" t="str">
        <f>'lowest comp Medal score'!F10</f>
        <v>Ben Fleet</v>
      </c>
      <c r="I83" s="270"/>
      <c r="J83" s="212"/>
      <c r="K83" s="221">
        <f>'lowest comp Medal score'!G10</f>
        <v>89</v>
      </c>
      <c r="M83" s="29"/>
      <c r="N83" s="712"/>
      <c r="O83" s="712"/>
      <c r="Q83" s="226"/>
      <c r="S83" s="29"/>
      <c r="T83" s="712"/>
      <c r="U83" s="712"/>
      <c r="W83" s="226"/>
    </row>
    <row r="84" spans="1:23" x14ac:dyDescent="0.2">
      <c r="A84" s="214" t="s">
        <v>94</v>
      </c>
      <c r="B84" s="269" t="str">
        <f>'Highest Competition Medal'!E11</f>
        <v>Justin Hunt</v>
      </c>
      <c r="C84" s="269"/>
      <c r="D84" s="215"/>
      <c r="E84" s="216">
        <f>'Highest Competition Medal'!F11</f>
        <v>82</v>
      </c>
      <c r="G84" s="220" t="s">
        <v>94</v>
      </c>
      <c r="H84" s="270" t="str">
        <f>'lowest comp Medal score'!F11</f>
        <v>Brad Whitehead</v>
      </c>
      <c r="I84" s="270"/>
      <c r="J84" s="212"/>
      <c r="K84" s="221">
        <f>'lowest comp Medal score'!G11</f>
        <v>85</v>
      </c>
      <c r="M84" s="29"/>
      <c r="N84" s="712"/>
      <c r="O84" s="712"/>
      <c r="Q84" s="226"/>
      <c r="S84" s="29"/>
      <c r="T84" s="712"/>
      <c r="U84" s="712"/>
      <c r="W84" s="226"/>
    </row>
    <row r="85" spans="1:23" x14ac:dyDescent="0.2">
      <c r="A85" s="214" t="s">
        <v>95</v>
      </c>
      <c r="B85" s="269" t="str">
        <f>'Highest Competition Medal'!E12</f>
        <v>Max Ball</v>
      </c>
      <c r="C85" s="269"/>
      <c r="D85" s="215"/>
      <c r="E85" s="216">
        <f>'Highest Competition Medal'!F12</f>
        <v>83</v>
      </c>
      <c r="G85" s="220" t="s">
        <v>95</v>
      </c>
      <c r="H85" s="270" t="str">
        <f>'lowest comp Medal score'!F12</f>
        <v>Paul Martin</v>
      </c>
      <c r="I85" s="270"/>
      <c r="J85" s="212"/>
      <c r="K85" s="221">
        <f>'lowest comp Medal score'!G12</f>
        <v>84</v>
      </c>
      <c r="M85" s="29"/>
      <c r="N85" s="712"/>
      <c r="O85" s="712"/>
      <c r="Q85" s="226"/>
      <c r="S85" s="29"/>
      <c r="T85" s="712"/>
      <c r="U85" s="712"/>
      <c r="W85" s="226"/>
    </row>
    <row r="86" spans="1:23" x14ac:dyDescent="0.2">
      <c r="A86" s="214" t="s">
        <v>96</v>
      </c>
      <c r="B86" s="269" t="str">
        <f>'Highest Competition Medal'!E13</f>
        <v>Paul Martin</v>
      </c>
      <c r="C86" s="269"/>
      <c r="D86" s="215"/>
      <c r="E86" s="216">
        <f>'Highest Competition Medal'!F13</f>
        <v>84</v>
      </c>
      <c r="G86" s="220" t="s">
        <v>96</v>
      </c>
      <c r="H86" s="270" t="str">
        <f>'lowest comp Medal score'!F13</f>
        <v>Max Ball</v>
      </c>
      <c r="I86" s="270"/>
      <c r="J86" s="212"/>
      <c r="K86" s="221">
        <f>'lowest comp Medal score'!G13</f>
        <v>83</v>
      </c>
      <c r="M86" s="29"/>
      <c r="N86" s="712"/>
      <c r="O86" s="712"/>
      <c r="Q86" s="226"/>
      <c r="S86" s="29"/>
      <c r="T86" s="712"/>
      <c r="U86" s="712"/>
      <c r="W86" s="226"/>
    </row>
    <row r="87" spans="1:23" x14ac:dyDescent="0.2">
      <c r="A87" s="214" t="s">
        <v>97</v>
      </c>
      <c r="B87" s="269" t="str">
        <f>'Highest Competition Medal'!E14</f>
        <v>Brad Whitehead</v>
      </c>
      <c r="C87" s="269"/>
      <c r="D87" s="215"/>
      <c r="E87" s="216">
        <f>'Highest Competition Medal'!F14</f>
        <v>85</v>
      </c>
      <c r="G87" s="220" t="s">
        <v>97</v>
      </c>
      <c r="H87" s="270" t="str">
        <f>'lowest comp Medal score'!F14</f>
        <v>Gareth Davies</v>
      </c>
      <c r="I87" s="270"/>
      <c r="J87" s="212"/>
      <c r="K87" s="221">
        <f>'lowest comp Medal score'!G14</f>
        <v>82</v>
      </c>
      <c r="M87" s="29"/>
      <c r="N87" s="712"/>
      <c r="O87" s="712"/>
      <c r="Q87" s="226"/>
      <c r="S87" s="29"/>
      <c r="T87" s="712"/>
      <c r="U87" s="712"/>
      <c r="W87" s="226"/>
    </row>
    <row r="88" spans="1:23" x14ac:dyDescent="0.2">
      <c r="A88" s="214" t="s">
        <v>98</v>
      </c>
      <c r="B88" s="269" t="str">
        <f>'Highest Competition Medal'!E15</f>
        <v>Ben Fleet</v>
      </c>
      <c r="C88" s="269"/>
      <c r="D88" s="215"/>
      <c r="E88" s="216">
        <f>'Highest Competition Medal'!F15</f>
        <v>89</v>
      </c>
      <c r="G88" s="220" t="s">
        <v>98</v>
      </c>
      <c r="H88" s="270" t="str">
        <f>'lowest comp Medal score'!F15</f>
        <v>Justin Hunt</v>
      </c>
      <c r="I88" s="270"/>
      <c r="J88" s="212"/>
      <c r="K88" s="221">
        <f>'lowest comp Medal score'!G15</f>
        <v>82</v>
      </c>
      <c r="M88" s="29"/>
      <c r="N88" s="712"/>
      <c r="O88" s="712"/>
      <c r="Q88" s="226"/>
      <c r="S88" s="29"/>
      <c r="T88" s="712"/>
      <c r="U88" s="712"/>
      <c r="W88" s="226"/>
    </row>
    <row r="89" spans="1:23" ht="13.5" thickBot="1" x14ac:dyDescent="0.25">
      <c r="A89" s="217"/>
      <c r="B89" s="218"/>
      <c r="C89" s="218"/>
      <c r="D89" s="218"/>
      <c r="E89" s="219"/>
      <c r="G89" s="222"/>
      <c r="H89" s="223"/>
      <c r="I89" s="223"/>
      <c r="J89" s="223"/>
      <c r="K89" s="224"/>
      <c r="M89" s="29"/>
      <c r="Q89" s="239"/>
      <c r="S89" s="29"/>
      <c r="W89" s="239"/>
    </row>
    <row r="90" spans="1:23" ht="12" customHeight="1" x14ac:dyDescent="0.2">
      <c r="L90" s="30"/>
    </row>
    <row r="91" spans="1:23" x14ac:dyDescent="0.2">
      <c r="L91" s="30"/>
    </row>
    <row r="92" spans="1:23" ht="5.85" customHeight="1" x14ac:dyDescent="0.2"/>
    <row r="93" spans="1:23" ht="14.25" customHeight="1" x14ac:dyDescent="0.2">
      <c r="L93" s="31"/>
    </row>
    <row r="94" spans="1:23" x14ac:dyDescent="0.2">
      <c r="L94" s="31"/>
    </row>
    <row r="98" ht="6.75" customHeight="1" x14ac:dyDescent="0.2"/>
  </sheetData>
  <mergeCells count="31">
    <mergeCell ref="D5:E5"/>
    <mergeCell ref="B23:C23"/>
    <mergeCell ref="B24:C24"/>
    <mergeCell ref="B25:C25"/>
    <mergeCell ref="B26:C26"/>
    <mergeCell ref="N80:O80"/>
    <mergeCell ref="T80:U80"/>
    <mergeCell ref="N79:O79"/>
    <mergeCell ref="T79:U79"/>
    <mergeCell ref="B27:C27"/>
    <mergeCell ref="B28:C28"/>
    <mergeCell ref="B29:C29"/>
    <mergeCell ref="B30:C30"/>
    <mergeCell ref="B31:C31"/>
    <mergeCell ref="B32:C32"/>
    <mergeCell ref="N83:O83"/>
    <mergeCell ref="T83:U83"/>
    <mergeCell ref="N84:O84"/>
    <mergeCell ref="T84:U84"/>
    <mergeCell ref="N81:O81"/>
    <mergeCell ref="T81:U81"/>
    <mergeCell ref="N82:O82"/>
    <mergeCell ref="T82:U82"/>
    <mergeCell ref="N87:O87"/>
    <mergeCell ref="T87:U87"/>
    <mergeCell ref="N88:O88"/>
    <mergeCell ref="T88:U88"/>
    <mergeCell ref="N85:O85"/>
    <mergeCell ref="T85:U85"/>
    <mergeCell ref="N86:O86"/>
    <mergeCell ref="T86:U86"/>
  </mergeCells>
  <phoneticPr fontId="4" type="noConversion"/>
  <conditionalFormatting sqref="B24:C24">
    <cfRule type="expression" dxfId="9" priority="92">
      <formula>$E24=0</formula>
    </cfRule>
  </conditionalFormatting>
  <conditionalFormatting sqref="B23:E23">
    <cfRule type="expression" dxfId="8" priority="127">
      <formula>$E23=0</formula>
    </cfRule>
  </conditionalFormatting>
  <conditionalFormatting sqref="B25:E32">
    <cfRule type="expression" dxfId="7" priority="75">
      <formula>$E25=0</formula>
    </cfRule>
  </conditionalFormatting>
  <conditionalFormatting sqref="B79:E88">
    <cfRule type="expression" dxfId="6" priority="11">
      <formula>$E79=0</formula>
    </cfRule>
  </conditionalFormatting>
  <conditionalFormatting sqref="C11:D17">
    <cfRule type="expression" dxfId="5" priority="108">
      <formula>$E11=0</formula>
    </cfRule>
  </conditionalFormatting>
  <conditionalFormatting sqref="C18:D18">
    <cfRule type="expression" dxfId="4" priority="110">
      <formula>$E19=0</formula>
    </cfRule>
  </conditionalFormatting>
  <conditionalFormatting sqref="D18">
    <cfRule type="expression" dxfId="3" priority="109">
      <formula>$E18=0</formula>
    </cfRule>
  </conditionalFormatting>
  <conditionalFormatting sqref="H79:K88">
    <cfRule type="expression" dxfId="2" priority="1">
      <formula>$K79=0</formula>
    </cfRule>
  </conditionalFormatting>
  <conditionalFormatting sqref="T42:W51">
    <cfRule type="expression" dxfId="1" priority="53">
      <formula>$E42=0</formula>
    </cfRule>
  </conditionalFormatting>
  <conditionalFormatting sqref="T56:W65">
    <cfRule type="expression" dxfId="0" priority="31">
      <formula>$E56=0</formula>
    </cfRule>
  </conditionalFormatting>
  <pageMargins left="0.25" right="0.25" top="0.75" bottom="0.75" header="0.3" footer="0.3"/>
  <pageSetup paperSize="9" fitToHeight="0" orientation="landscape" r:id="rId1"/>
  <headerFooter>
    <oddFooter>&amp;C&amp;1#&amp;"Calibri"&amp;10&amp;K000000PUBLIC</oddFooter>
  </headerFooter>
  <rowBreaks count="2" manualBreakCount="2">
    <brk id="37" max="22" man="1"/>
    <brk id="7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0B0A0-5E9E-496C-BB89-8CAA3C6DB047}">
  <sheetPr>
    <tabColor rgb="FFFF0000"/>
  </sheetPr>
  <dimension ref="B2:N106"/>
  <sheetViews>
    <sheetView tabSelected="1" zoomScale="110" zoomScaleNormal="110" workbookViewId="0">
      <selection activeCell="F14" sqref="F14"/>
    </sheetView>
  </sheetViews>
  <sheetFormatPr defaultColWidth="9.33203125" defaultRowHeight="12" x14ac:dyDescent="0.2"/>
  <cols>
    <col min="1" max="1" width="1.83203125" customWidth="1"/>
    <col min="2" max="2" width="23.1640625" customWidth="1"/>
    <col min="3" max="3" width="13.5" customWidth="1"/>
    <col min="4" max="4" width="12.83203125" customWidth="1"/>
    <col min="5" max="5" width="13.6640625" customWidth="1"/>
    <col min="6" max="7" width="12.5" customWidth="1"/>
    <col min="8" max="8" width="12.33203125" customWidth="1"/>
    <col min="9" max="10" width="13.5" customWidth="1"/>
    <col min="11" max="11" width="14.83203125" customWidth="1"/>
    <col min="12" max="12" width="3.5" customWidth="1"/>
    <col min="13" max="13" width="25" style="59" customWidth="1"/>
    <col min="14" max="14" width="9.33203125" style="143"/>
  </cols>
  <sheetData>
    <row r="2" spans="2:14" s="132" customFormat="1" ht="11.25" x14ac:dyDescent="0.15">
      <c r="C2" s="133"/>
      <c r="D2" s="133"/>
      <c r="E2" s="133"/>
      <c r="F2" s="133"/>
      <c r="G2" s="133"/>
      <c r="H2" s="133"/>
      <c r="I2" s="133"/>
      <c r="J2" s="133"/>
      <c r="K2" s="133"/>
      <c r="M2" s="59"/>
      <c r="N2" s="143"/>
    </row>
    <row r="3" spans="2:14" s="132" customFormat="1" ht="11.25" x14ac:dyDescent="0.15">
      <c r="C3" s="718" t="s">
        <v>140</v>
      </c>
      <c r="D3" s="133" t="s">
        <v>135</v>
      </c>
      <c r="E3" s="133" t="s">
        <v>136</v>
      </c>
      <c r="F3" s="133" t="s">
        <v>137</v>
      </c>
      <c r="G3" s="133" t="s">
        <v>35</v>
      </c>
      <c r="H3" s="133" t="s">
        <v>84</v>
      </c>
      <c r="I3" s="133" t="s">
        <v>138</v>
      </c>
      <c r="J3" s="719" t="s">
        <v>87</v>
      </c>
      <c r="K3" s="718" t="s">
        <v>139</v>
      </c>
      <c r="L3" s="133"/>
      <c r="M3" s="716" t="s">
        <v>141</v>
      </c>
      <c r="N3" s="717"/>
    </row>
    <row r="4" spans="2:14" s="132" customFormat="1" ht="11.25" x14ac:dyDescent="0.15">
      <c r="C4" s="718"/>
      <c r="D4" s="133">
        <v>4</v>
      </c>
      <c r="E4" s="133">
        <v>3</v>
      </c>
      <c r="F4" s="133">
        <v>2</v>
      </c>
      <c r="G4" s="133">
        <v>-1</v>
      </c>
      <c r="H4" s="133"/>
      <c r="I4" s="133"/>
      <c r="J4" s="719"/>
      <c r="K4" s="718"/>
      <c r="M4" s="176"/>
      <c r="N4" s="177"/>
    </row>
    <row r="5" spans="2:14" s="132" customFormat="1" ht="11.25" x14ac:dyDescent="0.15">
      <c r="C5" s="133"/>
      <c r="D5" s="133"/>
      <c r="E5" s="133"/>
      <c r="F5" s="133"/>
      <c r="G5" s="133"/>
      <c r="H5" s="133"/>
      <c r="I5" s="133"/>
      <c r="J5" s="133"/>
      <c r="K5" s="133"/>
      <c r="M5" s="312"/>
      <c r="N5" s="313"/>
    </row>
    <row r="6" spans="2:14" s="132" customFormat="1" ht="11.25" x14ac:dyDescent="0.15">
      <c r="B6" s="132" t="str">
        <f>'Name List'!B6</f>
        <v>Stuart Anderson</v>
      </c>
      <c r="C6" s="134">
        <f>IF(I6&lt;15,0,J6+K6)</f>
        <v>0</v>
      </c>
      <c r="D6" s="134">
        <f>'Scores and stats'!QT6*$D$4</f>
        <v>0</v>
      </c>
      <c r="E6" s="134">
        <f>'Scores and stats'!QU6*$E$4</f>
        <v>0</v>
      </c>
      <c r="F6" s="134">
        <f>'Scores and stats'!QV6*$F$4</f>
        <v>0</v>
      </c>
      <c r="G6" s="134">
        <f>'Scores and stats'!QW6*$G$4</f>
        <v>0</v>
      </c>
      <c r="H6" s="134">
        <f>SUM(D6:G6)</f>
        <v>0</v>
      </c>
      <c r="I6" s="134">
        <f>'Appearances &amp; Xmas Dinner'!C6</f>
        <v>0</v>
      </c>
      <c r="J6" s="134">
        <f t="shared" ref="J6:J37" si="0">IFERROR(SUM(H6/I6),0)</f>
        <v>0</v>
      </c>
      <c r="K6" s="134">
        <f>'Scores and stats'!RK6</f>
        <v>0</v>
      </c>
      <c r="L6" s="135"/>
      <c r="M6" s="176" t="str" cm="1">
        <f t="array" ref="M6:N105">_xlfn._xlws.SORT(B6:C105,2,-1)</f>
        <v>Brad Whitehead</v>
      </c>
      <c r="N6" s="177">
        <v>51.571428571428569</v>
      </c>
    </row>
    <row r="7" spans="2:14" s="132" customFormat="1" ht="11.25" x14ac:dyDescent="0.15">
      <c r="B7" s="132" t="str">
        <f>'Name List'!B7</f>
        <v>Max Ball</v>
      </c>
      <c r="C7" s="134">
        <f t="shared" ref="C7:C70" si="1">IF(I7&lt;15,0,J7+K7)</f>
        <v>0</v>
      </c>
      <c r="D7" s="134">
        <f>'Scores and stats'!QT7*$D$4</f>
        <v>0</v>
      </c>
      <c r="E7" s="134">
        <f>'Scores and stats'!QU7*$E$4</f>
        <v>48</v>
      </c>
      <c r="F7" s="134">
        <f>'Scores and stats'!QV7*$F$4</f>
        <v>170</v>
      </c>
      <c r="G7" s="134">
        <f>'Scores and stats'!QW7*$G$4</f>
        <v>-7</v>
      </c>
      <c r="H7" s="134">
        <f t="shared" ref="H7:H70" si="2">SUM(D7:G7)</f>
        <v>211</v>
      </c>
      <c r="I7" s="134">
        <f>'Appearances &amp; Xmas Dinner'!C7</f>
        <v>10</v>
      </c>
      <c r="J7" s="134">
        <f t="shared" si="0"/>
        <v>21.1</v>
      </c>
      <c r="K7" s="134">
        <f>'Scores and stats'!RK7</f>
        <v>36.111111111111114</v>
      </c>
      <c r="M7" s="176" t="str">
        <v>Dave Randall</v>
      </c>
      <c r="N7" s="177">
        <v>44.540441176470587</v>
      </c>
    </row>
    <row r="8" spans="2:14" s="132" customFormat="1" ht="11.25" x14ac:dyDescent="0.15">
      <c r="B8" s="132" t="str">
        <f>'Name List'!B8</f>
        <v>Harley Bishop</v>
      </c>
      <c r="C8" s="134">
        <f t="shared" si="1"/>
        <v>0</v>
      </c>
      <c r="D8" s="134">
        <f>'Scores and stats'!QT8*$D$4</f>
        <v>0</v>
      </c>
      <c r="E8" s="134">
        <f>'Scores and stats'!QU8*$E$4</f>
        <v>12</v>
      </c>
      <c r="F8" s="134">
        <f>'Scores and stats'!QV8*$F$4</f>
        <v>60</v>
      </c>
      <c r="G8" s="134">
        <f>'Scores and stats'!QW8*$G$4</f>
        <v>-19</v>
      </c>
      <c r="H8" s="134">
        <f t="shared" si="2"/>
        <v>53</v>
      </c>
      <c r="I8" s="134">
        <f>'Appearances &amp; Xmas Dinner'!C8</f>
        <v>7</v>
      </c>
      <c r="J8" s="134">
        <f t="shared" si="0"/>
        <v>7.5714285714285712</v>
      </c>
      <c r="K8" s="134">
        <f>'Scores and stats'!RK8</f>
        <v>28.571428571428573</v>
      </c>
      <c r="M8" s="176" t="str">
        <v>Tony Forsyth-James</v>
      </c>
      <c r="N8" s="177">
        <v>38.283088235294116</v>
      </c>
    </row>
    <row r="9" spans="2:14" s="132" customFormat="1" ht="11.25" x14ac:dyDescent="0.15">
      <c r="B9" s="132" t="str">
        <f>'Name List'!B9</f>
        <v>Chris Burroughs</v>
      </c>
      <c r="C9" s="134">
        <f t="shared" si="1"/>
        <v>0</v>
      </c>
      <c r="D9" s="134">
        <f>'Scores and stats'!QT9*$D$4</f>
        <v>0</v>
      </c>
      <c r="E9" s="134">
        <f>'Scores and stats'!QU9*$E$4</f>
        <v>6</v>
      </c>
      <c r="F9" s="134">
        <f>'Scores and stats'!QV9*$F$4</f>
        <v>34</v>
      </c>
      <c r="G9" s="134">
        <f>'Scores and stats'!QW9*$G$4</f>
        <v>-2</v>
      </c>
      <c r="H9" s="134">
        <f t="shared" si="2"/>
        <v>38</v>
      </c>
      <c r="I9" s="134">
        <f>'Appearances &amp; Xmas Dinner'!C9</f>
        <v>2</v>
      </c>
      <c r="J9" s="134">
        <f t="shared" si="0"/>
        <v>19</v>
      </c>
      <c r="K9" s="134">
        <f>'Scores and stats'!RK9</f>
        <v>32.5</v>
      </c>
      <c r="M9" s="176" t="str">
        <v>Stuart Anderson</v>
      </c>
      <c r="N9" s="177">
        <v>0</v>
      </c>
    </row>
    <row r="10" spans="2:14" s="132" customFormat="1" ht="11.25" x14ac:dyDescent="0.15">
      <c r="B10" s="132" t="str">
        <f>'Name List'!B10</f>
        <v>George Burton</v>
      </c>
      <c r="C10" s="134">
        <f t="shared" si="1"/>
        <v>0</v>
      </c>
      <c r="D10" s="134">
        <f>'Scores and stats'!QT10*$D$4</f>
        <v>0</v>
      </c>
      <c r="E10" s="134">
        <f>'Scores and stats'!QU10*$E$4</f>
        <v>15</v>
      </c>
      <c r="F10" s="134">
        <f>'Scores and stats'!QV10*$F$4</f>
        <v>28</v>
      </c>
      <c r="G10" s="134">
        <f>'Scores and stats'!QW10*$G$4</f>
        <v>-2</v>
      </c>
      <c r="H10" s="134">
        <f t="shared" si="2"/>
        <v>41</v>
      </c>
      <c r="I10" s="134">
        <f>'Appearances &amp; Xmas Dinner'!C10</f>
        <v>2</v>
      </c>
      <c r="J10" s="134">
        <f t="shared" si="0"/>
        <v>20.5</v>
      </c>
      <c r="K10" s="134">
        <f>'Scores and stats'!RK10</f>
        <v>28</v>
      </c>
      <c r="M10" s="176" t="str">
        <v>Max Ball</v>
      </c>
      <c r="N10" s="177">
        <v>0</v>
      </c>
    </row>
    <row r="11" spans="2:14" s="132" customFormat="1" ht="11.25" x14ac:dyDescent="0.15">
      <c r="B11" s="132" t="str">
        <f>'Name List'!B11</f>
        <v>Tom Burton</v>
      </c>
      <c r="C11" s="134">
        <f t="shared" si="1"/>
        <v>0</v>
      </c>
      <c r="D11" s="134">
        <f>'Scores and stats'!QT11*$D$4</f>
        <v>0</v>
      </c>
      <c r="E11" s="134">
        <f>'Scores and stats'!QU11*$E$4</f>
        <v>30</v>
      </c>
      <c r="F11" s="134">
        <f>'Scores and stats'!QV11*$F$4</f>
        <v>100</v>
      </c>
      <c r="G11" s="134">
        <f>'Scores and stats'!QW11*$G$4</f>
        <v>-9</v>
      </c>
      <c r="H11" s="134">
        <f t="shared" si="2"/>
        <v>121</v>
      </c>
      <c r="I11" s="134">
        <f>'Appearances &amp; Xmas Dinner'!C11</f>
        <v>5</v>
      </c>
      <c r="J11" s="134">
        <f t="shared" si="0"/>
        <v>24.2</v>
      </c>
      <c r="K11" s="134">
        <f>'Scores and stats'!RK11</f>
        <v>32.200000000000003</v>
      </c>
      <c r="M11" s="176" t="str">
        <v>Harley Bishop</v>
      </c>
      <c r="N11" s="177">
        <v>0</v>
      </c>
    </row>
    <row r="12" spans="2:14" s="132" customFormat="1" ht="11.25" x14ac:dyDescent="0.15">
      <c r="B12" s="132" t="str">
        <f>'Name List'!B12</f>
        <v>Mike Chubb</v>
      </c>
      <c r="C12" s="134">
        <f t="shared" si="1"/>
        <v>0</v>
      </c>
      <c r="D12" s="134">
        <f>'Scores and stats'!QT12*$D$4</f>
        <v>0</v>
      </c>
      <c r="E12" s="134">
        <f>'Scores and stats'!QU12*$E$4</f>
        <v>0</v>
      </c>
      <c r="F12" s="134">
        <f>'Scores and stats'!QV12*$F$4</f>
        <v>6</v>
      </c>
      <c r="G12" s="134">
        <f>'Scores and stats'!QW12*$G$4</f>
        <v>-2</v>
      </c>
      <c r="H12" s="134">
        <f t="shared" si="2"/>
        <v>4</v>
      </c>
      <c r="I12" s="134">
        <f>'Appearances &amp; Xmas Dinner'!C12</f>
        <v>1</v>
      </c>
      <c r="J12" s="134">
        <f t="shared" si="0"/>
        <v>4</v>
      </c>
      <c r="K12" s="134">
        <f>'Scores and stats'!RK12</f>
        <v>34</v>
      </c>
      <c r="M12" s="176" t="str">
        <v>Chris Burroughs</v>
      </c>
      <c r="N12" s="177">
        <v>0</v>
      </c>
    </row>
    <row r="13" spans="2:14" s="132" customFormat="1" ht="11.25" x14ac:dyDescent="0.15">
      <c r="B13" s="132" t="str">
        <f>'Name List'!B13</f>
        <v>George Clarke</v>
      </c>
      <c r="C13" s="134">
        <f t="shared" si="1"/>
        <v>0</v>
      </c>
      <c r="D13" s="134">
        <f>'Scores and stats'!QT13*$D$4</f>
        <v>0</v>
      </c>
      <c r="E13" s="134">
        <f>'Scores and stats'!QU13*$E$4</f>
        <v>3</v>
      </c>
      <c r="F13" s="134">
        <f>'Scores and stats'!QV13*$F$4</f>
        <v>14</v>
      </c>
      <c r="G13" s="134">
        <f>'Scores and stats'!QW13*$G$4</f>
        <v>-1</v>
      </c>
      <c r="H13" s="134">
        <f t="shared" si="2"/>
        <v>16</v>
      </c>
      <c r="I13" s="134">
        <f>'Appearances &amp; Xmas Dinner'!C13</f>
        <v>1</v>
      </c>
      <c r="J13" s="134">
        <f t="shared" si="0"/>
        <v>16</v>
      </c>
      <c r="K13" s="134">
        <f>'Scores and stats'!RK13</f>
        <v>35</v>
      </c>
      <c r="M13" s="176" t="str">
        <v>George Burton</v>
      </c>
      <c r="N13" s="177">
        <v>0</v>
      </c>
    </row>
    <row r="14" spans="2:14" s="132" customFormat="1" ht="11.25" x14ac:dyDescent="0.15">
      <c r="B14" s="132" t="str">
        <f>'Name List'!B14</f>
        <v>Paul Clarke</v>
      </c>
      <c r="C14" s="134">
        <f t="shared" si="1"/>
        <v>0</v>
      </c>
      <c r="D14" s="134">
        <f>'Scores and stats'!QT14*$D$4</f>
        <v>0</v>
      </c>
      <c r="E14" s="134">
        <f>'Scores and stats'!QU14*$E$4</f>
        <v>15</v>
      </c>
      <c r="F14" s="134">
        <f>'Scores and stats'!QV14*$F$4</f>
        <v>72</v>
      </c>
      <c r="G14" s="134">
        <f>'Scores and stats'!QW14*$G$4</f>
        <v>-18</v>
      </c>
      <c r="H14" s="134">
        <f t="shared" si="2"/>
        <v>69</v>
      </c>
      <c r="I14" s="134">
        <f>'Appearances &amp; Xmas Dinner'!C14</f>
        <v>8</v>
      </c>
      <c r="J14" s="134">
        <f t="shared" si="0"/>
        <v>8.625</v>
      </c>
      <c r="K14" s="134">
        <f>'Scores and stats'!RK14</f>
        <v>26.625</v>
      </c>
      <c r="M14" s="176" t="str">
        <v>Tom Burton</v>
      </c>
      <c r="N14" s="177">
        <v>0</v>
      </c>
    </row>
    <row r="15" spans="2:14" s="132" customFormat="1" ht="11.25" x14ac:dyDescent="0.15">
      <c r="B15" s="132" t="str">
        <f>'Name List'!B15</f>
        <v>Martin Coomber</v>
      </c>
      <c r="C15" s="134">
        <f t="shared" si="1"/>
        <v>0</v>
      </c>
      <c r="D15" s="134">
        <f>'Scores and stats'!QT15*$D$4</f>
        <v>0</v>
      </c>
      <c r="E15" s="134">
        <f>'Scores and stats'!QU15*$E$4</f>
        <v>54</v>
      </c>
      <c r="F15" s="134">
        <f>'Scores and stats'!QV15*$F$4</f>
        <v>204</v>
      </c>
      <c r="G15" s="134">
        <f>'Scores and stats'!QW15*$G$4</f>
        <v>-20</v>
      </c>
      <c r="H15" s="134">
        <f t="shared" si="2"/>
        <v>238</v>
      </c>
      <c r="I15" s="134">
        <f>'Appearances &amp; Xmas Dinner'!C15</f>
        <v>13</v>
      </c>
      <c r="J15" s="134">
        <f t="shared" si="0"/>
        <v>18.307692307692307</v>
      </c>
      <c r="K15" s="134">
        <f>'Scores and stats'!RK15</f>
        <v>33.92307692307692</v>
      </c>
      <c r="M15" s="176" t="str">
        <v>Mike Chubb</v>
      </c>
      <c r="N15" s="177">
        <v>0</v>
      </c>
    </row>
    <row r="16" spans="2:14" s="132" customFormat="1" ht="11.25" x14ac:dyDescent="0.15">
      <c r="B16" s="132" t="str">
        <f>'Name List'!B16</f>
        <v>Dominic Coughlin</v>
      </c>
      <c r="C16" s="134">
        <f t="shared" si="1"/>
        <v>0</v>
      </c>
      <c r="D16" s="134">
        <f>'Scores and stats'!QT16*$D$4</f>
        <v>0</v>
      </c>
      <c r="E16" s="134">
        <f>'Scores and stats'!QU16*$E$4</f>
        <v>0</v>
      </c>
      <c r="F16" s="134">
        <f>'Scores and stats'!QV16*$F$4</f>
        <v>4</v>
      </c>
      <c r="G16" s="134">
        <f>'Scores and stats'!QW16*$G$4</f>
        <v>-8</v>
      </c>
      <c r="H16" s="134">
        <f t="shared" si="2"/>
        <v>-4</v>
      </c>
      <c r="I16" s="134">
        <f>'Appearances &amp; Xmas Dinner'!C16</f>
        <v>1</v>
      </c>
      <c r="J16" s="134">
        <f t="shared" si="0"/>
        <v>-4</v>
      </c>
      <c r="K16" s="134">
        <f>'Scores and stats'!RK16</f>
        <v>19</v>
      </c>
      <c r="M16" s="176" t="str">
        <v>George Clarke</v>
      </c>
      <c r="N16" s="177">
        <v>0</v>
      </c>
    </row>
    <row r="17" spans="2:14" s="132" customFormat="1" ht="11.25" x14ac:dyDescent="0.15">
      <c r="B17" s="132" t="str">
        <f>'Name List'!B17</f>
        <v>Gareth Davies</v>
      </c>
      <c r="C17" s="134">
        <f t="shared" si="1"/>
        <v>0</v>
      </c>
      <c r="D17" s="134">
        <f>'Scores and stats'!QT17*$D$4</f>
        <v>0</v>
      </c>
      <c r="E17" s="134">
        <f>'Scores and stats'!QU17*$E$4</f>
        <v>9</v>
      </c>
      <c r="F17" s="134">
        <f>'Scores and stats'!QV17*$F$4</f>
        <v>62</v>
      </c>
      <c r="G17" s="134">
        <f>'Scores and stats'!QW17*$G$4</f>
        <v>-12</v>
      </c>
      <c r="H17" s="134">
        <f t="shared" si="2"/>
        <v>59</v>
      </c>
      <c r="I17" s="134">
        <f>'Appearances &amp; Xmas Dinner'!C17</f>
        <v>5</v>
      </c>
      <c r="J17" s="134">
        <f t="shared" si="0"/>
        <v>11.8</v>
      </c>
      <c r="K17" s="134">
        <f>'Scores and stats'!RK17</f>
        <v>27.75</v>
      </c>
      <c r="M17" s="176" t="str">
        <v>Paul Clarke</v>
      </c>
      <c r="N17" s="177">
        <v>0</v>
      </c>
    </row>
    <row r="18" spans="2:14" s="132" customFormat="1" ht="11.25" x14ac:dyDescent="0.15">
      <c r="B18" s="132" t="str">
        <f>'Name List'!B18</f>
        <v>Peter Donovan</v>
      </c>
      <c r="C18" s="134">
        <f t="shared" si="1"/>
        <v>0</v>
      </c>
      <c r="D18" s="134">
        <f>'Scores and stats'!QT18*$D$4</f>
        <v>0</v>
      </c>
      <c r="E18" s="134">
        <f>'Scores and stats'!QU18*$E$4</f>
        <v>0</v>
      </c>
      <c r="F18" s="134">
        <f>'Scores and stats'!QV18*$F$4</f>
        <v>0</v>
      </c>
      <c r="G18" s="134">
        <f>'Scores and stats'!QW18*$G$4</f>
        <v>0</v>
      </c>
      <c r="H18" s="134">
        <f t="shared" si="2"/>
        <v>0</v>
      </c>
      <c r="I18" s="134">
        <f>'Appearances &amp; Xmas Dinner'!C18</f>
        <v>0</v>
      </c>
      <c r="J18" s="134">
        <f t="shared" si="0"/>
        <v>0</v>
      </c>
      <c r="K18" s="134">
        <f>'Scores and stats'!RK18</f>
        <v>0</v>
      </c>
      <c r="M18" s="176" t="str">
        <v>Martin Coomber</v>
      </c>
      <c r="N18" s="177">
        <v>0</v>
      </c>
    </row>
    <row r="19" spans="2:14" s="132" customFormat="1" ht="11.25" x14ac:dyDescent="0.15">
      <c r="B19" s="132" t="str">
        <f>'Name List'!B19</f>
        <v>James Dunn</v>
      </c>
      <c r="C19" s="134">
        <f t="shared" si="1"/>
        <v>0</v>
      </c>
      <c r="D19" s="134">
        <f>'Scores and stats'!QT19*$D$4</f>
        <v>4</v>
      </c>
      <c r="E19" s="134">
        <f>'Scores and stats'!QU19*$E$4</f>
        <v>6</v>
      </c>
      <c r="F19" s="134">
        <f>'Scores and stats'!QV19*$F$4</f>
        <v>30</v>
      </c>
      <c r="G19" s="134">
        <f>'Scores and stats'!QW19*$G$4</f>
        <v>0</v>
      </c>
      <c r="H19" s="134">
        <f t="shared" si="2"/>
        <v>40</v>
      </c>
      <c r="I19" s="134">
        <f>'Appearances &amp; Xmas Dinner'!C19</f>
        <v>1</v>
      </c>
      <c r="J19" s="134">
        <f t="shared" si="0"/>
        <v>40</v>
      </c>
      <c r="K19" s="134">
        <f>'Scores and stats'!RK19</f>
        <v>37</v>
      </c>
      <c r="M19" s="176" t="str">
        <v>Dominic Coughlin</v>
      </c>
      <c r="N19" s="177">
        <v>0</v>
      </c>
    </row>
    <row r="20" spans="2:14" s="132" customFormat="1" ht="11.25" x14ac:dyDescent="0.15">
      <c r="B20" s="132" t="str">
        <f>'Name List'!B20</f>
        <v>Gordon Fielding</v>
      </c>
      <c r="C20" s="134">
        <f t="shared" si="1"/>
        <v>0</v>
      </c>
      <c r="D20" s="134">
        <f>'Scores and stats'!QT20*$D$4</f>
        <v>0</v>
      </c>
      <c r="E20" s="134">
        <f>'Scores and stats'!QU20*$E$4</f>
        <v>0</v>
      </c>
      <c r="F20" s="134">
        <f>'Scores and stats'!QV20*$F$4</f>
        <v>0</v>
      </c>
      <c r="G20" s="134">
        <f>'Scores and stats'!QW20*$G$4</f>
        <v>0</v>
      </c>
      <c r="H20" s="134">
        <f t="shared" si="2"/>
        <v>0</v>
      </c>
      <c r="I20" s="134">
        <f>'Appearances &amp; Xmas Dinner'!C20</f>
        <v>0</v>
      </c>
      <c r="J20" s="134">
        <f t="shared" si="0"/>
        <v>0</v>
      </c>
      <c r="K20" s="134">
        <f>'Scores and stats'!RK20</f>
        <v>0</v>
      </c>
      <c r="M20" s="176" t="str">
        <v>Gareth Davies</v>
      </c>
      <c r="N20" s="177">
        <v>0</v>
      </c>
    </row>
    <row r="21" spans="2:14" s="132" customFormat="1" ht="11.25" x14ac:dyDescent="0.15">
      <c r="B21" s="132" t="str">
        <f>'Name List'!B21</f>
        <v>Paul Fitzgerald</v>
      </c>
      <c r="C21" s="134">
        <f t="shared" si="1"/>
        <v>0</v>
      </c>
      <c r="D21" s="134">
        <f>'Scores and stats'!QT21*$D$4</f>
        <v>0</v>
      </c>
      <c r="E21" s="134">
        <f>'Scores and stats'!QU21*$E$4</f>
        <v>9</v>
      </c>
      <c r="F21" s="134">
        <f>'Scores and stats'!QV21*$F$4</f>
        <v>42</v>
      </c>
      <c r="G21" s="134">
        <f>'Scores and stats'!QW21*$G$4</f>
        <v>-7</v>
      </c>
      <c r="H21" s="134">
        <f t="shared" si="2"/>
        <v>44</v>
      </c>
      <c r="I21" s="134">
        <f>'Appearances &amp; Xmas Dinner'!C21</f>
        <v>4</v>
      </c>
      <c r="J21" s="134">
        <f t="shared" si="0"/>
        <v>11</v>
      </c>
      <c r="K21" s="134">
        <f>'Scores and stats'!RK21</f>
        <v>32.75</v>
      </c>
      <c r="M21" s="176" t="str">
        <v>Peter Donovan</v>
      </c>
      <c r="N21" s="177">
        <v>0</v>
      </c>
    </row>
    <row r="22" spans="2:14" s="132" customFormat="1" ht="11.25" x14ac:dyDescent="0.15">
      <c r="B22" s="132" t="str">
        <f>'Name List'!B22</f>
        <v>Ben Fleet</v>
      </c>
      <c r="C22" s="134">
        <f t="shared" si="1"/>
        <v>0</v>
      </c>
      <c r="D22" s="134">
        <f>'Scores and stats'!QT22*$D$4</f>
        <v>0</v>
      </c>
      <c r="E22" s="134">
        <f>'Scores and stats'!QU22*$E$4</f>
        <v>24</v>
      </c>
      <c r="F22" s="134">
        <f>'Scores and stats'!QV22*$F$4</f>
        <v>154</v>
      </c>
      <c r="G22" s="134">
        <f>'Scores and stats'!QW22*$G$4</f>
        <v>-27</v>
      </c>
      <c r="H22" s="134">
        <f t="shared" si="2"/>
        <v>151</v>
      </c>
      <c r="I22" s="134">
        <f>'Appearances &amp; Xmas Dinner'!C22</f>
        <v>14</v>
      </c>
      <c r="J22" s="134">
        <f t="shared" si="0"/>
        <v>10.785714285714286</v>
      </c>
      <c r="K22" s="134">
        <f>'Scores and stats'!RK22</f>
        <v>28</v>
      </c>
      <c r="L22" s="135"/>
      <c r="M22" s="176" t="str">
        <v>James Dunn</v>
      </c>
      <c r="N22" s="177">
        <v>0</v>
      </c>
    </row>
    <row r="23" spans="2:14" s="132" customFormat="1" ht="11.25" x14ac:dyDescent="0.15">
      <c r="B23" s="132" t="str">
        <f>'Name List'!B23</f>
        <v>Mike Forrest</v>
      </c>
      <c r="C23" s="134">
        <f t="shared" si="1"/>
        <v>0</v>
      </c>
      <c r="D23" s="134">
        <f>'Scores and stats'!QT23*$D$4</f>
        <v>0</v>
      </c>
      <c r="E23" s="134">
        <f>'Scores and stats'!QU23*$E$4</f>
        <v>0</v>
      </c>
      <c r="F23" s="134">
        <f>'Scores and stats'!QV23*$F$4</f>
        <v>52</v>
      </c>
      <c r="G23" s="134">
        <f>'Scores and stats'!QW23*$G$4</f>
        <v>-27</v>
      </c>
      <c r="H23" s="134">
        <f t="shared" si="2"/>
        <v>25</v>
      </c>
      <c r="I23" s="134">
        <f>'Appearances &amp; Xmas Dinner'!C23</f>
        <v>10</v>
      </c>
      <c r="J23" s="134">
        <f t="shared" si="0"/>
        <v>2.5</v>
      </c>
      <c r="K23" s="134">
        <f>'Scores and stats'!RK23</f>
        <v>28.8</v>
      </c>
      <c r="M23" s="176" t="str">
        <v>Gordon Fielding</v>
      </c>
      <c r="N23" s="177">
        <v>0</v>
      </c>
    </row>
    <row r="24" spans="2:14" s="132" customFormat="1" ht="11.25" x14ac:dyDescent="0.15">
      <c r="B24" s="132" t="str">
        <f>'Name List'!B24</f>
        <v>Tony Forsyth-James</v>
      </c>
      <c r="C24" s="134">
        <f t="shared" si="1"/>
        <v>38.283088235294116</v>
      </c>
      <c r="D24" s="134">
        <f>'Scores and stats'!QT24*$D$4</f>
        <v>0</v>
      </c>
      <c r="E24" s="134">
        <f>'Scores and stats'!QU24*$E$4</f>
        <v>18</v>
      </c>
      <c r="F24" s="134">
        <f>'Scores and stats'!QV24*$F$4</f>
        <v>164</v>
      </c>
      <c r="G24" s="134">
        <f>'Scores and stats'!QW24*$G$4</f>
        <v>-38</v>
      </c>
      <c r="H24" s="134">
        <f t="shared" si="2"/>
        <v>144</v>
      </c>
      <c r="I24" s="134">
        <f>'Appearances &amp; Xmas Dinner'!C24</f>
        <v>17</v>
      </c>
      <c r="J24" s="134">
        <f t="shared" si="0"/>
        <v>8.4705882352941178</v>
      </c>
      <c r="K24" s="134">
        <f>'Scores and stats'!RK24</f>
        <v>29.8125</v>
      </c>
      <c r="M24" s="176" t="str">
        <v>Paul Fitzgerald</v>
      </c>
      <c r="N24" s="177">
        <v>0</v>
      </c>
    </row>
    <row r="25" spans="2:14" s="132" customFormat="1" ht="11.25" x14ac:dyDescent="0.15">
      <c r="B25" s="132" t="str">
        <f>'Name List'!B25</f>
        <v>Archie Fraser</v>
      </c>
      <c r="C25" s="134">
        <f t="shared" si="1"/>
        <v>0</v>
      </c>
      <c r="D25" s="134">
        <f>'Scores and stats'!QT25*$D$4</f>
        <v>0</v>
      </c>
      <c r="E25" s="134">
        <f>'Scores and stats'!QU25*$E$4</f>
        <v>9</v>
      </c>
      <c r="F25" s="134">
        <f>'Scores and stats'!QV25*$F$4</f>
        <v>26</v>
      </c>
      <c r="G25" s="134">
        <f>'Scores and stats'!QW25*$G$4</f>
        <v>-3</v>
      </c>
      <c r="H25" s="134">
        <f t="shared" si="2"/>
        <v>32</v>
      </c>
      <c r="I25" s="134">
        <f>'Appearances &amp; Xmas Dinner'!C25</f>
        <v>2</v>
      </c>
      <c r="J25" s="134">
        <f t="shared" si="0"/>
        <v>16</v>
      </c>
      <c r="K25" s="134">
        <f>'Scores and stats'!RK25</f>
        <v>36.5</v>
      </c>
      <c r="M25" s="176" t="str">
        <v>Ben Fleet</v>
      </c>
      <c r="N25" s="177">
        <v>0</v>
      </c>
    </row>
    <row r="26" spans="2:14" s="132" customFormat="1" ht="11.25" x14ac:dyDescent="0.15">
      <c r="B26" s="132" t="str">
        <f>'Name List'!B26</f>
        <v>Ross Fraser</v>
      </c>
      <c r="C26" s="134">
        <f t="shared" si="1"/>
        <v>0</v>
      </c>
      <c r="D26" s="134">
        <f>'Scores and stats'!QT26*$D$4</f>
        <v>0</v>
      </c>
      <c r="E26" s="134">
        <f>'Scores and stats'!QU26*$E$4</f>
        <v>6</v>
      </c>
      <c r="F26" s="134">
        <f>'Scores and stats'!QV26*$F$4</f>
        <v>30</v>
      </c>
      <c r="G26" s="134">
        <f>'Scores and stats'!QW26*$G$4</f>
        <v>-6</v>
      </c>
      <c r="H26" s="134">
        <f t="shared" si="2"/>
        <v>30</v>
      </c>
      <c r="I26" s="134">
        <f>'Appearances &amp; Xmas Dinner'!C26</f>
        <v>3</v>
      </c>
      <c r="J26" s="134">
        <f t="shared" si="0"/>
        <v>10</v>
      </c>
      <c r="K26" s="134">
        <f>'Scores and stats'!RK26</f>
        <v>31</v>
      </c>
      <c r="M26" s="176" t="str">
        <v>Mike Forrest</v>
      </c>
      <c r="N26" s="177">
        <v>0</v>
      </c>
    </row>
    <row r="27" spans="2:14" s="132" customFormat="1" ht="11.25" x14ac:dyDescent="0.15">
      <c r="B27" s="132" t="str">
        <f>'Name List'!B27</f>
        <v>Nick Garner</v>
      </c>
      <c r="C27" s="134">
        <f t="shared" si="1"/>
        <v>0</v>
      </c>
      <c r="D27" s="134">
        <f>'Scores and stats'!QT27*$D$4</f>
        <v>0</v>
      </c>
      <c r="E27" s="134">
        <f>'Scores and stats'!QU27*$E$4</f>
        <v>12</v>
      </c>
      <c r="F27" s="134">
        <f>'Scores and stats'!QV27*$F$4</f>
        <v>62</v>
      </c>
      <c r="G27" s="134">
        <f>'Scores and stats'!QW27*$G$4</f>
        <v>-17</v>
      </c>
      <c r="H27" s="134">
        <f t="shared" si="2"/>
        <v>57</v>
      </c>
      <c r="I27" s="134">
        <f>'Appearances &amp; Xmas Dinner'!C27</f>
        <v>7</v>
      </c>
      <c r="J27" s="134">
        <f t="shared" si="0"/>
        <v>8.1428571428571423</v>
      </c>
      <c r="K27" s="134">
        <f>'Scores and stats'!RK27</f>
        <v>29.857142857142858</v>
      </c>
      <c r="L27" s="135"/>
      <c r="M27" s="176" t="str">
        <v>Archie Fraser</v>
      </c>
      <c r="N27" s="177">
        <v>0</v>
      </c>
    </row>
    <row r="28" spans="2:14" s="132" customFormat="1" ht="11.25" x14ac:dyDescent="0.15">
      <c r="B28" s="132" t="str">
        <f>'Name List'!B28</f>
        <v>Stuart Gay</v>
      </c>
      <c r="C28" s="134">
        <f t="shared" si="1"/>
        <v>0</v>
      </c>
      <c r="D28" s="134">
        <f>'Scores and stats'!QT28*$D$4</f>
        <v>0</v>
      </c>
      <c r="E28" s="134">
        <f>'Scores and stats'!QU28*$E$4</f>
        <v>0</v>
      </c>
      <c r="F28" s="134">
        <f>'Scores and stats'!QV28*$F$4</f>
        <v>10</v>
      </c>
      <c r="G28" s="134">
        <f>'Scores and stats'!QW28*$G$4</f>
        <v>-1</v>
      </c>
      <c r="H28" s="134">
        <f t="shared" si="2"/>
        <v>9</v>
      </c>
      <c r="I28" s="134">
        <f>'Appearances &amp; Xmas Dinner'!C28</f>
        <v>1</v>
      </c>
      <c r="J28" s="134">
        <f t="shared" si="0"/>
        <v>9</v>
      </c>
      <c r="K28" s="134">
        <f>'Scores and stats'!RK28</f>
        <v>39</v>
      </c>
      <c r="M28" s="176" t="str">
        <v>Ross Fraser</v>
      </c>
      <c r="N28" s="177">
        <v>0</v>
      </c>
    </row>
    <row r="29" spans="2:14" s="132" customFormat="1" ht="11.25" x14ac:dyDescent="0.15">
      <c r="B29" s="132" t="str">
        <f>'Name List'!B29</f>
        <v>Jordan Hall</v>
      </c>
      <c r="C29" s="134">
        <f t="shared" si="1"/>
        <v>0</v>
      </c>
      <c r="D29" s="134">
        <f>'Scores and stats'!QT29*$D$4</f>
        <v>4</v>
      </c>
      <c r="E29" s="134">
        <f>'Scores and stats'!QU29*$E$4</f>
        <v>6</v>
      </c>
      <c r="F29" s="134">
        <f>'Scores and stats'!QV29*$F$4</f>
        <v>26</v>
      </c>
      <c r="G29" s="134">
        <f>'Scores and stats'!QW29*$G$4</f>
        <v>0</v>
      </c>
      <c r="H29" s="134">
        <f t="shared" si="2"/>
        <v>36</v>
      </c>
      <c r="I29" s="134">
        <f>'Appearances &amp; Xmas Dinner'!C29</f>
        <v>1</v>
      </c>
      <c r="J29" s="134">
        <f t="shared" si="0"/>
        <v>36</v>
      </c>
      <c r="K29" s="134">
        <f>'Scores and stats'!RK29</f>
        <v>38</v>
      </c>
      <c r="L29" s="135"/>
      <c r="M29" s="176" t="str">
        <v>Nick Garner</v>
      </c>
      <c r="N29" s="177">
        <v>0</v>
      </c>
    </row>
    <row r="30" spans="2:14" s="132" customFormat="1" ht="11.25" x14ac:dyDescent="0.15">
      <c r="B30" s="132" t="str">
        <f>'Name List'!B30</f>
        <v>Gary Hall</v>
      </c>
      <c r="C30" s="134">
        <f t="shared" si="1"/>
        <v>0</v>
      </c>
      <c r="D30" s="134">
        <f>'Scores and stats'!QT30*$D$4</f>
        <v>0</v>
      </c>
      <c r="E30" s="134">
        <f>'Scores and stats'!QU30*$E$4</f>
        <v>0</v>
      </c>
      <c r="F30" s="134">
        <f>'Scores and stats'!QV30*$F$4</f>
        <v>8</v>
      </c>
      <c r="G30" s="134">
        <f>'Scores and stats'!QW30*$G$4</f>
        <v>-13</v>
      </c>
      <c r="H30" s="134">
        <f t="shared" si="2"/>
        <v>-5</v>
      </c>
      <c r="I30" s="134">
        <f>'Appearances &amp; Xmas Dinner'!C30</f>
        <v>1</v>
      </c>
      <c r="J30" s="134">
        <f t="shared" si="0"/>
        <v>-5</v>
      </c>
      <c r="K30" s="134">
        <f>'Scores and stats'!RK30</f>
        <v>9</v>
      </c>
      <c r="M30" s="176" t="str">
        <v>Stuart Gay</v>
      </c>
      <c r="N30" s="177">
        <v>0</v>
      </c>
    </row>
    <row r="31" spans="2:14" s="132" customFormat="1" ht="11.25" x14ac:dyDescent="0.15">
      <c r="B31" s="132" t="str">
        <f>'Name List'!B31</f>
        <v>Anthony Harris</v>
      </c>
      <c r="C31" s="134">
        <f t="shared" si="1"/>
        <v>0</v>
      </c>
      <c r="D31" s="134">
        <f>'Scores and stats'!QT31*$D$4</f>
        <v>0</v>
      </c>
      <c r="E31" s="134">
        <f>'Scores and stats'!QU31*$E$4</f>
        <v>12</v>
      </c>
      <c r="F31" s="134">
        <f>'Scores and stats'!QV31*$F$4</f>
        <v>110</v>
      </c>
      <c r="G31" s="134">
        <f>'Scores and stats'!QW31*$G$4</f>
        <v>-11</v>
      </c>
      <c r="H31" s="134">
        <f t="shared" si="2"/>
        <v>111</v>
      </c>
      <c r="I31" s="134">
        <f>'Appearances &amp; Xmas Dinner'!C31</f>
        <v>8</v>
      </c>
      <c r="J31" s="134">
        <f t="shared" si="0"/>
        <v>13.875</v>
      </c>
      <c r="K31" s="134">
        <f>'Scores and stats'!RK31</f>
        <v>34.285714285714285</v>
      </c>
      <c r="M31" s="176" t="str">
        <v>Jordan Hall</v>
      </c>
      <c r="N31" s="177">
        <v>0</v>
      </c>
    </row>
    <row r="32" spans="2:14" s="132" customFormat="1" ht="11.25" x14ac:dyDescent="0.15">
      <c r="B32" s="132" t="str">
        <f>'Name List'!B32</f>
        <v>Neil Hart</v>
      </c>
      <c r="C32" s="134">
        <f t="shared" si="1"/>
        <v>0</v>
      </c>
      <c r="D32" s="134">
        <f>'Scores and stats'!QT32*$D$4</f>
        <v>0</v>
      </c>
      <c r="E32" s="134">
        <f>'Scores and stats'!QU32*$E$4</f>
        <v>39</v>
      </c>
      <c r="F32" s="134">
        <f>'Scores and stats'!QV32*$F$4</f>
        <v>106</v>
      </c>
      <c r="G32" s="134">
        <f>'Scores and stats'!QW32*$G$4</f>
        <v>-5</v>
      </c>
      <c r="H32" s="134">
        <f t="shared" si="2"/>
        <v>140</v>
      </c>
      <c r="I32" s="134">
        <f>'Appearances &amp; Xmas Dinner'!C32</f>
        <v>6</v>
      </c>
      <c r="J32" s="134">
        <f t="shared" si="0"/>
        <v>23.333333333333332</v>
      </c>
      <c r="K32" s="134">
        <f>'Scores and stats'!RK32</f>
        <v>32.333333333333336</v>
      </c>
      <c r="M32" s="176" t="str">
        <v>Gary Hall</v>
      </c>
      <c r="N32" s="177">
        <v>0</v>
      </c>
    </row>
    <row r="33" spans="2:14" s="132" customFormat="1" ht="11.25" x14ac:dyDescent="0.15">
      <c r="B33" s="132" t="str">
        <f>'Name List'!B33</f>
        <v>Tony Hearson</v>
      </c>
      <c r="C33" s="134">
        <f t="shared" si="1"/>
        <v>0</v>
      </c>
      <c r="D33" s="134">
        <f>'Scores and stats'!QT33*$D$4</f>
        <v>0</v>
      </c>
      <c r="E33" s="134">
        <f>'Scores and stats'!QU33*$E$4</f>
        <v>0</v>
      </c>
      <c r="F33" s="134">
        <f>'Scores and stats'!QV33*$F$4</f>
        <v>0</v>
      </c>
      <c r="G33" s="134">
        <f>'Scores and stats'!QW33*$G$4</f>
        <v>0</v>
      </c>
      <c r="H33" s="134">
        <f t="shared" si="2"/>
        <v>0</v>
      </c>
      <c r="I33" s="134">
        <f>'Appearances &amp; Xmas Dinner'!C33</f>
        <v>0</v>
      </c>
      <c r="J33" s="134">
        <f t="shared" si="0"/>
        <v>0</v>
      </c>
      <c r="K33" s="134">
        <f>'Scores and stats'!RK33</f>
        <v>0</v>
      </c>
      <c r="M33" s="176" t="str">
        <v>Anthony Harris</v>
      </c>
      <c r="N33" s="177">
        <v>0</v>
      </c>
    </row>
    <row r="34" spans="2:14" s="132" customFormat="1" ht="11.25" x14ac:dyDescent="0.15">
      <c r="B34" s="132" t="str">
        <f>'Name List'!B34</f>
        <v>David Hilton</v>
      </c>
      <c r="C34" s="134">
        <f t="shared" si="1"/>
        <v>0</v>
      </c>
      <c r="D34" s="134">
        <f>'Scores and stats'!QT34*$D$4</f>
        <v>0</v>
      </c>
      <c r="E34" s="134">
        <f>'Scores and stats'!QU34*$E$4</f>
        <v>3</v>
      </c>
      <c r="F34" s="134">
        <f>'Scores and stats'!QV34*$F$4</f>
        <v>14</v>
      </c>
      <c r="G34" s="134">
        <f>'Scores and stats'!QW34*$G$4</f>
        <v>-2</v>
      </c>
      <c r="H34" s="134">
        <f t="shared" si="2"/>
        <v>15</v>
      </c>
      <c r="I34" s="134">
        <f>'Appearances &amp; Xmas Dinner'!C34</f>
        <v>1</v>
      </c>
      <c r="J34" s="134">
        <f t="shared" si="0"/>
        <v>15</v>
      </c>
      <c r="K34" s="134">
        <f>'Scores and stats'!RK34</f>
        <v>27</v>
      </c>
      <c r="M34" s="176" t="str">
        <v>Neil Hart</v>
      </c>
      <c r="N34" s="177">
        <v>0</v>
      </c>
    </row>
    <row r="35" spans="2:14" s="132" customFormat="1" ht="11.25" x14ac:dyDescent="0.15">
      <c r="B35" s="132" t="str">
        <f>'Name List'!B35</f>
        <v>Eoghan Hilton</v>
      </c>
      <c r="C35" s="134">
        <f t="shared" si="1"/>
        <v>0</v>
      </c>
      <c r="D35" s="134">
        <f>'Scores and stats'!QT35*$D$4</f>
        <v>0</v>
      </c>
      <c r="E35" s="134">
        <f>'Scores and stats'!QU35*$E$4</f>
        <v>12</v>
      </c>
      <c r="F35" s="134">
        <f>'Scores and stats'!QV35*$F$4</f>
        <v>24</v>
      </c>
      <c r="G35" s="134">
        <f>'Scores and stats'!QW35*$G$4</f>
        <v>-4</v>
      </c>
      <c r="H35" s="134">
        <f t="shared" si="2"/>
        <v>32</v>
      </c>
      <c r="I35" s="134">
        <f>'Appearances &amp; Xmas Dinner'!C35</f>
        <v>2</v>
      </c>
      <c r="J35" s="134">
        <f t="shared" si="0"/>
        <v>16</v>
      </c>
      <c r="K35" s="134">
        <f>'Scores and stats'!RK35</f>
        <v>31.5</v>
      </c>
      <c r="M35" s="176" t="str">
        <v>Tony Hearson</v>
      </c>
      <c r="N35" s="177">
        <v>0</v>
      </c>
    </row>
    <row r="36" spans="2:14" s="132" customFormat="1" ht="11.25" x14ac:dyDescent="0.15">
      <c r="B36" s="132" t="str">
        <f>'Name List'!B36</f>
        <v>Martin Holder</v>
      </c>
      <c r="C36" s="134">
        <f t="shared" si="1"/>
        <v>0</v>
      </c>
      <c r="D36" s="134">
        <f>'Scores and stats'!QT36*$D$4</f>
        <v>0</v>
      </c>
      <c r="E36" s="134">
        <f>'Scores and stats'!QU36*$E$4</f>
        <v>0</v>
      </c>
      <c r="F36" s="134">
        <f>'Scores and stats'!QV36*$F$4</f>
        <v>0</v>
      </c>
      <c r="G36" s="134">
        <f>'Scores and stats'!QW36*$G$4</f>
        <v>0</v>
      </c>
      <c r="H36" s="134">
        <f t="shared" si="2"/>
        <v>0</v>
      </c>
      <c r="I36" s="134">
        <f>'Appearances &amp; Xmas Dinner'!C36</f>
        <v>0</v>
      </c>
      <c r="J36" s="134">
        <f t="shared" si="0"/>
        <v>0</v>
      </c>
      <c r="K36" s="134">
        <f>'Scores and stats'!RK36</f>
        <v>0</v>
      </c>
      <c r="M36" s="176" t="str">
        <v>David Hilton</v>
      </c>
      <c r="N36" s="177">
        <v>0</v>
      </c>
    </row>
    <row r="37" spans="2:14" s="132" customFormat="1" ht="11.25" x14ac:dyDescent="0.15">
      <c r="B37" s="132" t="str">
        <f>'Name List'!B37</f>
        <v>Justin Hunt</v>
      </c>
      <c r="C37" s="134">
        <f t="shared" si="1"/>
        <v>0</v>
      </c>
      <c r="D37" s="134">
        <f>'Scores and stats'!QT37*$D$4</f>
        <v>4</v>
      </c>
      <c r="E37" s="134">
        <f>'Scores and stats'!QU37*$E$4</f>
        <v>45</v>
      </c>
      <c r="F37" s="134">
        <f>'Scores and stats'!QV37*$F$4</f>
        <v>160</v>
      </c>
      <c r="G37" s="134">
        <f>'Scores and stats'!QW37*$G$4</f>
        <v>-8</v>
      </c>
      <c r="H37" s="134">
        <f t="shared" si="2"/>
        <v>201</v>
      </c>
      <c r="I37" s="134">
        <f>'Appearances &amp; Xmas Dinner'!C37</f>
        <v>10</v>
      </c>
      <c r="J37" s="134">
        <f t="shared" si="0"/>
        <v>20.100000000000001</v>
      </c>
      <c r="K37" s="134">
        <f>'Scores and stats'!RK37</f>
        <v>34.444444444444443</v>
      </c>
      <c r="M37" s="176" t="str">
        <v>Eoghan Hilton</v>
      </c>
      <c r="N37" s="177">
        <v>0</v>
      </c>
    </row>
    <row r="38" spans="2:14" s="132" customFormat="1" ht="11.25" x14ac:dyDescent="0.15">
      <c r="B38" s="132" t="str">
        <f>'Name List'!B38</f>
        <v>Mark Hutchinson</v>
      </c>
      <c r="C38" s="134">
        <f t="shared" si="1"/>
        <v>0</v>
      </c>
      <c r="D38" s="134">
        <f>'Scores and stats'!QT38*$D$4</f>
        <v>0</v>
      </c>
      <c r="E38" s="134">
        <f>'Scores and stats'!QU38*$E$4</f>
        <v>0</v>
      </c>
      <c r="F38" s="134">
        <f>'Scores and stats'!QV38*$F$4</f>
        <v>0</v>
      </c>
      <c r="G38" s="134">
        <f>'Scores and stats'!QW38*$G$4</f>
        <v>0</v>
      </c>
      <c r="H38" s="134">
        <f t="shared" si="2"/>
        <v>0</v>
      </c>
      <c r="I38" s="134">
        <f>'Appearances &amp; Xmas Dinner'!C38</f>
        <v>0</v>
      </c>
      <c r="J38" s="134">
        <f t="shared" ref="J38:J64" si="3">IFERROR(SUM(H38/I38),0)</f>
        <v>0</v>
      </c>
      <c r="K38" s="134">
        <f>'Scores and stats'!RK38</f>
        <v>0</v>
      </c>
      <c r="M38" s="176" t="str">
        <v>Martin Holder</v>
      </c>
      <c r="N38" s="177">
        <v>0</v>
      </c>
    </row>
    <row r="39" spans="2:14" s="132" customFormat="1" ht="11.25" x14ac:dyDescent="0.15">
      <c r="B39" s="132" t="str">
        <f>'Name List'!B39</f>
        <v>Andy Johnson</v>
      </c>
      <c r="C39" s="134">
        <f t="shared" si="1"/>
        <v>0</v>
      </c>
      <c r="D39" s="134">
        <f>'Scores and stats'!QT39*$D$4</f>
        <v>0</v>
      </c>
      <c r="E39" s="134">
        <f>'Scores and stats'!QU39*$E$4</f>
        <v>51</v>
      </c>
      <c r="F39" s="134">
        <f>'Scores and stats'!QV39*$F$4</f>
        <v>200</v>
      </c>
      <c r="G39" s="134">
        <f>'Scores and stats'!QW39*$G$4</f>
        <v>-14</v>
      </c>
      <c r="H39" s="134">
        <f t="shared" si="2"/>
        <v>237</v>
      </c>
      <c r="I39" s="134">
        <f>'Appearances &amp; Xmas Dinner'!C39</f>
        <v>13</v>
      </c>
      <c r="J39" s="134">
        <f t="shared" si="3"/>
        <v>18.23076923076923</v>
      </c>
      <c r="K39" s="134">
        <f>'Scores and stats'!RK39</f>
        <v>29.75</v>
      </c>
      <c r="M39" s="176" t="str">
        <v>Justin Hunt</v>
      </c>
      <c r="N39" s="177">
        <v>0</v>
      </c>
    </row>
    <row r="40" spans="2:14" s="132" customFormat="1" ht="11.25" x14ac:dyDescent="0.15">
      <c r="B40" s="132" t="str">
        <f>'Name List'!B40</f>
        <v>Oli Lloyd</v>
      </c>
      <c r="C40" s="134">
        <f t="shared" si="1"/>
        <v>0</v>
      </c>
      <c r="D40" s="134">
        <f>'Scores and stats'!QT40*$D$4</f>
        <v>0</v>
      </c>
      <c r="E40" s="134">
        <f>'Scores and stats'!QU40*$E$4</f>
        <v>3</v>
      </c>
      <c r="F40" s="134">
        <f>'Scores and stats'!QV40*$F$4</f>
        <v>34</v>
      </c>
      <c r="G40" s="134">
        <f>'Scores and stats'!QW40*$G$4</f>
        <v>-4</v>
      </c>
      <c r="H40" s="134">
        <f t="shared" si="2"/>
        <v>33</v>
      </c>
      <c r="I40" s="134">
        <f>'Appearances &amp; Xmas Dinner'!C40</f>
        <v>2</v>
      </c>
      <c r="J40" s="134">
        <f t="shared" si="3"/>
        <v>16.5</v>
      </c>
      <c r="K40" s="134">
        <f>'Scores and stats'!RK40</f>
        <v>30</v>
      </c>
      <c r="M40" s="176" t="str">
        <v>Mark Hutchinson</v>
      </c>
      <c r="N40" s="177">
        <v>0</v>
      </c>
    </row>
    <row r="41" spans="2:14" s="132" customFormat="1" ht="11.25" x14ac:dyDescent="0.15">
      <c r="B41" s="132" t="str">
        <f>'Name List'!B41</f>
        <v>Andy Lucey</v>
      </c>
      <c r="C41" s="134">
        <f t="shared" si="1"/>
        <v>0</v>
      </c>
      <c r="D41" s="134">
        <f>'Scores and stats'!QT41*$D$4</f>
        <v>0</v>
      </c>
      <c r="E41" s="134">
        <f>'Scores and stats'!QU41*$E$4</f>
        <v>0</v>
      </c>
      <c r="F41" s="134">
        <f>'Scores and stats'!QV41*$F$4</f>
        <v>0</v>
      </c>
      <c r="G41" s="134">
        <f>'Scores and stats'!QW41*$G$4</f>
        <v>0</v>
      </c>
      <c r="H41" s="134">
        <f t="shared" si="2"/>
        <v>0</v>
      </c>
      <c r="I41" s="134">
        <f>'Appearances &amp; Xmas Dinner'!C41</f>
        <v>0</v>
      </c>
      <c r="J41" s="134">
        <f t="shared" si="3"/>
        <v>0</v>
      </c>
      <c r="K41" s="134">
        <f>'Scores and stats'!RK41</f>
        <v>0</v>
      </c>
      <c r="M41" s="176" t="str">
        <v>Andy Johnson</v>
      </c>
      <c r="N41" s="177">
        <v>0</v>
      </c>
    </row>
    <row r="42" spans="2:14" s="132" customFormat="1" ht="11.25" x14ac:dyDescent="0.15">
      <c r="B42" s="132" t="str">
        <f>'Name List'!B42</f>
        <v>Paul Martin</v>
      </c>
      <c r="C42" s="134">
        <f t="shared" si="1"/>
        <v>0</v>
      </c>
      <c r="D42" s="134">
        <f>'Scores and stats'!QT42*$D$4</f>
        <v>0</v>
      </c>
      <c r="E42" s="134">
        <f>'Scores and stats'!QU42*$E$4</f>
        <v>12</v>
      </c>
      <c r="F42" s="134">
        <f>'Scores and stats'!QV42*$F$4</f>
        <v>58</v>
      </c>
      <c r="G42" s="134">
        <f>'Scores and stats'!QW42*$G$4</f>
        <v>-2</v>
      </c>
      <c r="H42" s="134">
        <f t="shared" si="2"/>
        <v>68</v>
      </c>
      <c r="I42" s="134">
        <f>'Appearances &amp; Xmas Dinner'!C42</f>
        <v>3</v>
      </c>
      <c r="J42" s="134">
        <f t="shared" si="3"/>
        <v>22.666666666666668</v>
      </c>
      <c r="K42" s="134">
        <f>'Scores and stats'!RK42</f>
        <v>33.5</v>
      </c>
      <c r="L42" s="135"/>
      <c r="M42" s="176" t="str">
        <v>Oli Lloyd</v>
      </c>
      <c r="N42" s="177">
        <v>0</v>
      </c>
    </row>
    <row r="43" spans="2:14" s="132" customFormat="1" ht="11.25" x14ac:dyDescent="0.15">
      <c r="B43" s="132" t="str">
        <f>'Name List'!B43</f>
        <v>Edward Money</v>
      </c>
      <c r="C43" s="134">
        <f t="shared" si="1"/>
        <v>0</v>
      </c>
      <c r="D43" s="134">
        <f>'Scores and stats'!QT43*$D$4</f>
        <v>4</v>
      </c>
      <c r="E43" s="134">
        <f>'Scores and stats'!QU43*$E$4</f>
        <v>6</v>
      </c>
      <c r="F43" s="134">
        <f>'Scores and stats'!QV43*$F$4</f>
        <v>42</v>
      </c>
      <c r="G43" s="134">
        <f>'Scores and stats'!QW43*$G$4</f>
        <v>-4</v>
      </c>
      <c r="H43" s="134">
        <f t="shared" si="2"/>
        <v>48</v>
      </c>
      <c r="I43" s="134">
        <f>'Appearances &amp; Xmas Dinner'!C43</f>
        <v>3</v>
      </c>
      <c r="J43" s="134">
        <f t="shared" si="3"/>
        <v>16</v>
      </c>
      <c r="K43" s="134">
        <f>'Scores and stats'!RK43</f>
        <v>29.666666666666668</v>
      </c>
      <c r="L43" s="135"/>
      <c r="M43" s="176" t="str">
        <v>Andy Lucey</v>
      </c>
      <c r="N43" s="177">
        <v>0</v>
      </c>
    </row>
    <row r="44" spans="2:14" s="132" customFormat="1" ht="11.25" x14ac:dyDescent="0.15">
      <c r="B44" s="132" t="str">
        <f>'Name List'!B44</f>
        <v>Dickie Moxham</v>
      </c>
      <c r="C44" s="134">
        <f t="shared" si="1"/>
        <v>0</v>
      </c>
      <c r="D44" s="134">
        <f>'Scores and stats'!QT44*$D$4</f>
        <v>0</v>
      </c>
      <c r="E44" s="134">
        <f>'Scores and stats'!QU44*$E$4</f>
        <v>33</v>
      </c>
      <c r="F44" s="134">
        <f>'Scores and stats'!QV44*$F$4</f>
        <v>80</v>
      </c>
      <c r="G44" s="134">
        <f>'Scores and stats'!QW44*$G$4</f>
        <v>-4</v>
      </c>
      <c r="H44" s="134">
        <f t="shared" si="2"/>
        <v>109</v>
      </c>
      <c r="I44" s="134">
        <f>'Appearances &amp; Xmas Dinner'!C44</f>
        <v>4</v>
      </c>
      <c r="J44" s="134">
        <f t="shared" si="3"/>
        <v>27.25</v>
      </c>
      <c r="K44" s="134">
        <f>'Scores and stats'!RK44</f>
        <v>31.5</v>
      </c>
      <c r="M44" s="176" t="str">
        <v>Paul Martin</v>
      </c>
      <c r="N44" s="177">
        <v>0</v>
      </c>
    </row>
    <row r="45" spans="2:14" s="132" customFormat="1" ht="11.25" x14ac:dyDescent="0.15">
      <c r="B45" s="132" t="str">
        <f>'Name List'!B45</f>
        <v>Dave Randall</v>
      </c>
      <c r="C45" s="134">
        <f t="shared" si="1"/>
        <v>44.540441176470587</v>
      </c>
      <c r="D45" s="134">
        <f>'Scores and stats'!QT45*$D$4</f>
        <v>0</v>
      </c>
      <c r="E45" s="134">
        <f>'Scores and stats'!QU45*$E$4</f>
        <v>51</v>
      </c>
      <c r="F45" s="134">
        <f>'Scores and stats'!QV45*$F$4</f>
        <v>244</v>
      </c>
      <c r="G45" s="134">
        <f>'Scores and stats'!QW45*$G$4</f>
        <v>-34</v>
      </c>
      <c r="H45" s="134">
        <f t="shared" si="2"/>
        <v>261</v>
      </c>
      <c r="I45" s="134">
        <f>'Appearances &amp; Xmas Dinner'!C45</f>
        <v>17</v>
      </c>
      <c r="J45" s="134">
        <f t="shared" si="3"/>
        <v>15.352941176470589</v>
      </c>
      <c r="K45" s="134">
        <f>'Scores and stats'!RK45</f>
        <v>29.1875</v>
      </c>
      <c r="M45" s="176" t="str">
        <v>Edward Money</v>
      </c>
      <c r="N45" s="177">
        <v>0</v>
      </c>
    </row>
    <row r="46" spans="2:14" s="132" customFormat="1" ht="11.25" x14ac:dyDescent="0.15">
      <c r="B46" s="132" t="str">
        <f>'Name List'!B46</f>
        <v>Arron Rutherford</v>
      </c>
      <c r="C46" s="134">
        <f t="shared" si="1"/>
        <v>0</v>
      </c>
      <c r="D46" s="134">
        <f>'Scores and stats'!QT46*$D$4</f>
        <v>0</v>
      </c>
      <c r="E46" s="134">
        <f>'Scores and stats'!QU46*$E$4</f>
        <v>0</v>
      </c>
      <c r="F46" s="134">
        <f>'Scores and stats'!QV46*$F$4</f>
        <v>18</v>
      </c>
      <c r="G46" s="134">
        <f>'Scores and stats'!QW46*$G$4</f>
        <v>-5</v>
      </c>
      <c r="H46" s="134">
        <f t="shared" si="2"/>
        <v>13</v>
      </c>
      <c r="I46" s="134">
        <f>'Appearances &amp; Xmas Dinner'!C46</f>
        <v>2</v>
      </c>
      <c r="J46" s="134">
        <f t="shared" si="3"/>
        <v>6.5</v>
      </c>
      <c r="K46" s="134">
        <f>'Scores and stats'!RK46</f>
        <v>27</v>
      </c>
      <c r="M46" s="176" t="str">
        <v>Dickie Moxham</v>
      </c>
      <c r="N46" s="177">
        <v>0</v>
      </c>
    </row>
    <row r="47" spans="2:14" s="132" customFormat="1" ht="11.25" x14ac:dyDescent="0.15">
      <c r="B47" s="132" t="str">
        <f>'Name List'!B47</f>
        <v>Terry Shoker</v>
      </c>
      <c r="C47" s="134">
        <f t="shared" si="1"/>
        <v>0</v>
      </c>
      <c r="D47" s="134">
        <f>'Scores and stats'!QT47*$D$4</f>
        <v>0</v>
      </c>
      <c r="E47" s="134">
        <f>'Scores and stats'!QU47*$E$4</f>
        <v>0</v>
      </c>
      <c r="F47" s="134">
        <f>'Scores and stats'!QV47*$F$4</f>
        <v>0</v>
      </c>
      <c r="G47" s="134">
        <f>'Scores and stats'!QW47*$G$4</f>
        <v>0</v>
      </c>
      <c r="H47" s="134">
        <f t="shared" si="2"/>
        <v>0</v>
      </c>
      <c r="I47" s="134">
        <f>'Appearances &amp; Xmas Dinner'!C47</f>
        <v>0</v>
      </c>
      <c r="J47" s="134">
        <f t="shared" si="3"/>
        <v>0</v>
      </c>
      <c r="K47" s="134">
        <f>'Scores and stats'!RK47</f>
        <v>0</v>
      </c>
      <c r="M47" s="176" t="str">
        <v>Arron Rutherford</v>
      </c>
      <c r="N47" s="177">
        <v>0</v>
      </c>
    </row>
    <row r="48" spans="2:14" s="132" customFormat="1" ht="11.25" x14ac:dyDescent="0.15">
      <c r="B48" s="132" t="str">
        <f>'Name List'!B48</f>
        <v>Chris Smith</v>
      </c>
      <c r="C48" s="134">
        <f t="shared" si="1"/>
        <v>0</v>
      </c>
      <c r="D48" s="134">
        <f>'Scores and stats'!QT48*$D$4</f>
        <v>4</v>
      </c>
      <c r="E48" s="134">
        <f>'Scores and stats'!QU48*$E$4</f>
        <v>87</v>
      </c>
      <c r="F48" s="134">
        <f>'Scores and stats'!QV48*$F$4</f>
        <v>228</v>
      </c>
      <c r="G48" s="134">
        <f>'Scores and stats'!QW48*$G$4</f>
        <v>-7</v>
      </c>
      <c r="H48" s="134">
        <f t="shared" si="2"/>
        <v>312</v>
      </c>
      <c r="I48" s="134">
        <f>'Appearances &amp; Xmas Dinner'!C48</f>
        <v>11</v>
      </c>
      <c r="J48" s="134">
        <f t="shared" si="3"/>
        <v>28.363636363636363</v>
      </c>
      <c r="K48" s="134">
        <f>'Scores and stats'!RK48</f>
        <v>34.4</v>
      </c>
      <c r="L48" s="135"/>
      <c r="M48" s="176" t="str">
        <v>Terry Shoker</v>
      </c>
      <c r="N48" s="177">
        <v>0</v>
      </c>
    </row>
    <row r="49" spans="2:14" s="132" customFormat="1" ht="11.25" x14ac:dyDescent="0.15">
      <c r="B49" s="132" t="str">
        <f>'Name List'!B49</f>
        <v>Justin Spencer</v>
      </c>
      <c r="C49" s="134">
        <f t="shared" si="1"/>
        <v>0</v>
      </c>
      <c r="D49" s="134">
        <f>'Scores and stats'!QT49*$D$4</f>
        <v>0</v>
      </c>
      <c r="E49" s="134">
        <f>'Scores and stats'!QU49*$E$4</f>
        <v>0</v>
      </c>
      <c r="F49" s="134">
        <f>'Scores and stats'!QV49*$F$4</f>
        <v>16</v>
      </c>
      <c r="G49" s="134">
        <f>'Scores and stats'!QW49*$G$4</f>
        <v>-1</v>
      </c>
      <c r="H49" s="134">
        <f t="shared" si="2"/>
        <v>15</v>
      </c>
      <c r="I49" s="134">
        <f>'Appearances &amp; Xmas Dinner'!C49</f>
        <v>1</v>
      </c>
      <c r="J49" s="134">
        <f t="shared" si="3"/>
        <v>15</v>
      </c>
      <c r="K49" s="134">
        <f>'Scores and stats'!RK49</f>
        <v>32</v>
      </c>
      <c r="M49" s="176" t="str">
        <v>Chris Smith</v>
      </c>
      <c r="N49" s="177">
        <v>0</v>
      </c>
    </row>
    <row r="50" spans="2:14" s="132" customFormat="1" ht="11.25" x14ac:dyDescent="0.15">
      <c r="B50" s="132" t="str">
        <f>'Name List'!B50</f>
        <v>Jake Sprosen</v>
      </c>
      <c r="C50" s="134">
        <f t="shared" si="1"/>
        <v>0</v>
      </c>
      <c r="D50" s="134">
        <f>'Scores and stats'!QT50*$D$4</f>
        <v>0</v>
      </c>
      <c r="E50" s="134">
        <f>'Scores and stats'!QU50*$E$4</f>
        <v>0</v>
      </c>
      <c r="F50" s="134">
        <f>'Scores and stats'!QV50*$F$4</f>
        <v>0</v>
      </c>
      <c r="G50" s="134">
        <f>'Scores and stats'!QW50*$G$4</f>
        <v>0</v>
      </c>
      <c r="H50" s="134">
        <f t="shared" si="2"/>
        <v>0</v>
      </c>
      <c r="I50" s="134">
        <f>'Appearances &amp; Xmas Dinner'!C50</f>
        <v>0</v>
      </c>
      <c r="J50" s="134">
        <f t="shared" si="3"/>
        <v>0</v>
      </c>
      <c r="K50" s="134">
        <f>'Scores and stats'!RK50</f>
        <v>0</v>
      </c>
      <c r="M50" s="176" t="str">
        <v>Justin Spencer</v>
      </c>
      <c r="N50" s="177">
        <v>0</v>
      </c>
    </row>
    <row r="51" spans="2:14" s="132" customFormat="1" ht="11.25" x14ac:dyDescent="0.15">
      <c r="B51" s="132" t="str">
        <f>'Name List'!B51</f>
        <v>Tosh Sprosen</v>
      </c>
      <c r="C51" s="134">
        <f t="shared" si="1"/>
        <v>0</v>
      </c>
      <c r="D51" s="134">
        <f>'Scores and stats'!QT51*$D$4</f>
        <v>0</v>
      </c>
      <c r="E51" s="134">
        <f>'Scores and stats'!QU51*$E$4</f>
        <v>0</v>
      </c>
      <c r="F51" s="134">
        <f>'Scores and stats'!QV51*$F$4</f>
        <v>0</v>
      </c>
      <c r="G51" s="134">
        <f>'Scores and stats'!QW51*$G$4</f>
        <v>0</v>
      </c>
      <c r="H51" s="134">
        <f t="shared" si="2"/>
        <v>0</v>
      </c>
      <c r="I51" s="134">
        <f>'Appearances &amp; Xmas Dinner'!C51</f>
        <v>0</v>
      </c>
      <c r="J51" s="134">
        <f t="shared" si="3"/>
        <v>0</v>
      </c>
      <c r="K51" s="134">
        <f>'Scores and stats'!RK51</f>
        <v>0</v>
      </c>
      <c r="M51" s="176" t="str">
        <v>Jake Sprosen</v>
      </c>
      <c r="N51" s="177">
        <v>0</v>
      </c>
    </row>
    <row r="52" spans="2:14" s="132" customFormat="1" ht="11.25" x14ac:dyDescent="0.15">
      <c r="B52" s="132" t="str">
        <f>'Name List'!B52</f>
        <v>Bill Sutton</v>
      </c>
      <c r="C52" s="134">
        <f t="shared" si="1"/>
        <v>0</v>
      </c>
      <c r="D52" s="134">
        <f>'Scores and stats'!QT52*$D$4</f>
        <v>0</v>
      </c>
      <c r="E52" s="134">
        <f>'Scores and stats'!QU52*$E$4</f>
        <v>0</v>
      </c>
      <c r="F52" s="134">
        <f>'Scores and stats'!QV52*$F$4</f>
        <v>0</v>
      </c>
      <c r="G52" s="134">
        <f>'Scores and stats'!QW52*$G$4</f>
        <v>0</v>
      </c>
      <c r="H52" s="134">
        <f t="shared" si="2"/>
        <v>0</v>
      </c>
      <c r="I52" s="134">
        <f>'Appearances &amp; Xmas Dinner'!C52</f>
        <v>0</v>
      </c>
      <c r="J52" s="134">
        <f t="shared" si="3"/>
        <v>0</v>
      </c>
      <c r="K52" s="134">
        <f>'Scores and stats'!RK52</f>
        <v>0</v>
      </c>
      <c r="M52" s="176" t="str">
        <v>Tosh Sprosen</v>
      </c>
      <c r="N52" s="177">
        <v>0</v>
      </c>
    </row>
    <row r="53" spans="2:14" s="132" customFormat="1" ht="11.25" x14ac:dyDescent="0.15">
      <c r="B53" s="132" t="str">
        <f>'Name List'!B53</f>
        <v>Dan Thomas</v>
      </c>
      <c r="C53" s="134">
        <f t="shared" si="1"/>
        <v>0</v>
      </c>
      <c r="D53" s="134">
        <f>'Scores and stats'!QT53*$D$4</f>
        <v>0</v>
      </c>
      <c r="E53" s="134">
        <f>'Scores and stats'!QU53*$E$4</f>
        <v>9</v>
      </c>
      <c r="F53" s="134">
        <f>'Scores and stats'!QV53*$F$4</f>
        <v>40</v>
      </c>
      <c r="G53" s="134">
        <f>'Scores and stats'!QW53*$G$4</f>
        <v>-2</v>
      </c>
      <c r="H53" s="134">
        <f t="shared" si="2"/>
        <v>47</v>
      </c>
      <c r="I53" s="134">
        <f>'Appearances &amp; Xmas Dinner'!C53</f>
        <v>2</v>
      </c>
      <c r="J53" s="134">
        <f t="shared" si="3"/>
        <v>23.5</v>
      </c>
      <c r="K53" s="134">
        <f>'Scores and stats'!RK53</f>
        <v>33</v>
      </c>
      <c r="M53" s="176" t="str">
        <v>Bill Sutton</v>
      </c>
      <c r="N53" s="177">
        <v>0</v>
      </c>
    </row>
    <row r="54" spans="2:14" s="132" customFormat="1" ht="11.25" x14ac:dyDescent="0.15">
      <c r="B54" s="132" t="str">
        <f>'Name List'!B54</f>
        <v>Andy Thompson</v>
      </c>
      <c r="C54" s="134">
        <f t="shared" si="1"/>
        <v>0</v>
      </c>
      <c r="D54" s="134">
        <f>'Scores and stats'!QT54*$D$4</f>
        <v>0</v>
      </c>
      <c r="E54" s="134">
        <f>'Scores and stats'!QU54*$E$4</f>
        <v>0</v>
      </c>
      <c r="F54" s="134">
        <f>'Scores and stats'!QV54*$F$4</f>
        <v>0</v>
      </c>
      <c r="G54" s="134">
        <f>'Scores and stats'!QW54*$G$4</f>
        <v>0</v>
      </c>
      <c r="H54" s="134">
        <f t="shared" si="2"/>
        <v>0</v>
      </c>
      <c r="I54" s="134">
        <f>'Appearances &amp; Xmas Dinner'!C54</f>
        <v>0</v>
      </c>
      <c r="J54" s="134">
        <f t="shared" si="3"/>
        <v>0</v>
      </c>
      <c r="K54" s="134">
        <f>'Scores and stats'!RK54</f>
        <v>0</v>
      </c>
      <c r="M54" s="176" t="str">
        <v>Dan Thomas</v>
      </c>
      <c r="N54" s="177">
        <v>0</v>
      </c>
    </row>
    <row r="55" spans="2:14" s="132" customFormat="1" ht="11.25" x14ac:dyDescent="0.15">
      <c r="B55" s="132" t="str">
        <f>'Name List'!B55</f>
        <v>Rory Thompson</v>
      </c>
      <c r="C55" s="134">
        <f t="shared" si="1"/>
        <v>0</v>
      </c>
      <c r="D55" s="134">
        <f>'Scores and stats'!QT55*$D$4</f>
        <v>0</v>
      </c>
      <c r="E55" s="134">
        <f>'Scores and stats'!QU55*$E$4</f>
        <v>0</v>
      </c>
      <c r="F55" s="134">
        <f>'Scores and stats'!QV55*$F$4</f>
        <v>0</v>
      </c>
      <c r="G55" s="134">
        <f>'Scores and stats'!QW55*$G$4</f>
        <v>0</v>
      </c>
      <c r="H55" s="134">
        <f t="shared" si="2"/>
        <v>0</v>
      </c>
      <c r="I55" s="134">
        <f>'Appearances &amp; Xmas Dinner'!C55</f>
        <v>0</v>
      </c>
      <c r="J55" s="134">
        <f t="shared" si="3"/>
        <v>0</v>
      </c>
      <c r="K55" s="134">
        <f>'Scores and stats'!RK55</f>
        <v>0</v>
      </c>
      <c r="M55" s="176" t="str">
        <v>Andy Thompson</v>
      </c>
      <c r="N55" s="177">
        <v>0</v>
      </c>
    </row>
    <row r="56" spans="2:14" s="132" customFormat="1" ht="11.25" x14ac:dyDescent="0.15">
      <c r="B56" s="132" t="str">
        <f>'Name List'!B56</f>
        <v>Sonny Thompson</v>
      </c>
      <c r="C56" s="134">
        <f t="shared" si="1"/>
        <v>0</v>
      </c>
      <c r="D56" s="134">
        <f>'Scores and stats'!QT56*$D$4</f>
        <v>0</v>
      </c>
      <c r="E56" s="134">
        <f>'Scores and stats'!QU56*$E$4</f>
        <v>0</v>
      </c>
      <c r="F56" s="134">
        <f>'Scores and stats'!QV56*$F$4</f>
        <v>0</v>
      </c>
      <c r="G56" s="134">
        <f>'Scores and stats'!QW56*$G$4</f>
        <v>0</v>
      </c>
      <c r="H56" s="134">
        <f t="shared" si="2"/>
        <v>0</v>
      </c>
      <c r="I56" s="134">
        <f>'Appearances &amp; Xmas Dinner'!C56</f>
        <v>0</v>
      </c>
      <c r="J56" s="134">
        <f t="shared" si="3"/>
        <v>0</v>
      </c>
      <c r="K56" s="134">
        <f>'Scores and stats'!RK56</f>
        <v>0</v>
      </c>
      <c r="M56" s="176" t="str">
        <v>Rory Thompson</v>
      </c>
      <c r="N56" s="177">
        <v>0</v>
      </c>
    </row>
    <row r="57" spans="2:14" s="132" customFormat="1" ht="11.25" x14ac:dyDescent="0.15">
      <c r="B57" s="132" t="str">
        <f>'Name List'!B57</f>
        <v>Kevin Tribley</v>
      </c>
      <c r="C57" s="134">
        <f t="shared" si="1"/>
        <v>0</v>
      </c>
      <c r="D57" s="134">
        <f>'Scores and stats'!QT57*$D$4</f>
        <v>0</v>
      </c>
      <c r="E57" s="134">
        <f>'Scores and stats'!QU57*$E$4</f>
        <v>30</v>
      </c>
      <c r="F57" s="134">
        <f>'Scores and stats'!QV57*$F$4</f>
        <v>174</v>
      </c>
      <c r="G57" s="134">
        <f>'Scores and stats'!QW57*$G$4</f>
        <v>-20</v>
      </c>
      <c r="H57" s="134">
        <f t="shared" si="2"/>
        <v>184</v>
      </c>
      <c r="I57" s="134">
        <f>'Appearances &amp; Xmas Dinner'!C57</f>
        <v>12</v>
      </c>
      <c r="J57" s="134">
        <f t="shared" si="3"/>
        <v>15.333333333333334</v>
      </c>
      <c r="K57" s="134">
        <f>'Scores and stats'!RK57</f>
        <v>31.166666666666668</v>
      </c>
      <c r="M57" s="176" t="str">
        <v>Sonny Thompson</v>
      </c>
      <c r="N57" s="177">
        <v>0</v>
      </c>
    </row>
    <row r="58" spans="2:14" s="132" customFormat="1" ht="11.25" x14ac:dyDescent="0.15">
      <c r="B58" s="132" t="str">
        <f>'Name List'!B58</f>
        <v>Russell Turner</v>
      </c>
      <c r="C58" s="134">
        <f t="shared" si="1"/>
        <v>0</v>
      </c>
      <c r="D58" s="134">
        <f>'Scores and stats'!QT58*$D$4</f>
        <v>0</v>
      </c>
      <c r="E58" s="134">
        <f>'Scores and stats'!QU58*$E$4</f>
        <v>3</v>
      </c>
      <c r="F58" s="134">
        <f>'Scores and stats'!QV58*$F$4</f>
        <v>44</v>
      </c>
      <c r="G58" s="134">
        <f>'Scores and stats'!QW58*$G$4</f>
        <v>-4</v>
      </c>
      <c r="H58" s="134">
        <f t="shared" si="2"/>
        <v>43</v>
      </c>
      <c r="I58" s="134">
        <f>'Appearances &amp; Xmas Dinner'!C58</f>
        <v>2</v>
      </c>
      <c r="J58" s="134">
        <f t="shared" si="3"/>
        <v>21.5</v>
      </c>
      <c r="K58" s="134">
        <f>'Scores and stats'!RK58</f>
        <v>36</v>
      </c>
      <c r="M58" s="176" t="str">
        <v>Kevin Tribley</v>
      </c>
      <c r="N58" s="177">
        <v>0</v>
      </c>
    </row>
    <row r="59" spans="2:14" s="132" customFormat="1" ht="11.25" x14ac:dyDescent="0.15">
      <c r="B59" s="132" t="str">
        <f>'Name List'!B59</f>
        <v>Peter Vallely</v>
      </c>
      <c r="C59" s="134">
        <f t="shared" si="1"/>
        <v>0</v>
      </c>
      <c r="D59" s="134">
        <f>'Scores and stats'!QT59*$D$4</f>
        <v>0</v>
      </c>
      <c r="E59" s="134">
        <f>'Scores and stats'!QU59*$E$4</f>
        <v>54</v>
      </c>
      <c r="F59" s="134">
        <f>'Scores and stats'!QV59*$F$4</f>
        <v>208</v>
      </c>
      <c r="G59" s="134">
        <f>'Scores and stats'!QW59*$G$4</f>
        <v>-14</v>
      </c>
      <c r="H59" s="134">
        <f t="shared" si="2"/>
        <v>248</v>
      </c>
      <c r="I59" s="134">
        <f>'Appearances &amp; Xmas Dinner'!C59</f>
        <v>11</v>
      </c>
      <c r="J59" s="134">
        <f t="shared" si="3"/>
        <v>22.545454545454547</v>
      </c>
      <c r="K59" s="134">
        <f>'Scores and stats'!RK59</f>
        <v>33.545454545454547</v>
      </c>
      <c r="M59" s="176" t="str">
        <v>Russell Turner</v>
      </c>
      <c r="N59" s="177">
        <v>0</v>
      </c>
    </row>
    <row r="60" spans="2:14" s="132" customFormat="1" ht="11.25" x14ac:dyDescent="0.15">
      <c r="B60" s="132" t="str">
        <f>'Name List'!B60</f>
        <v>Ryan Vaughan</v>
      </c>
      <c r="C60" s="134">
        <f t="shared" si="1"/>
        <v>0</v>
      </c>
      <c r="D60" s="134">
        <f>'Scores and stats'!QT60*$D$4</f>
        <v>0</v>
      </c>
      <c r="E60" s="134">
        <f>'Scores and stats'!QU60*$E$4</f>
        <v>6</v>
      </c>
      <c r="F60" s="134">
        <f>'Scores and stats'!QV60*$F$4</f>
        <v>38</v>
      </c>
      <c r="G60" s="134">
        <f>'Scores and stats'!QW60*$G$4</f>
        <v>-9</v>
      </c>
      <c r="H60" s="134">
        <f t="shared" si="2"/>
        <v>35</v>
      </c>
      <c r="I60" s="134">
        <f>'Appearances &amp; Xmas Dinner'!C60</f>
        <v>3</v>
      </c>
      <c r="J60" s="134">
        <f t="shared" si="3"/>
        <v>11.666666666666666</v>
      </c>
      <c r="K60" s="134">
        <f>'Scores and stats'!RK60</f>
        <v>34.666666666666664</v>
      </c>
      <c r="M60" s="176" t="str">
        <v>Peter Vallely</v>
      </c>
      <c r="N60" s="177">
        <v>0</v>
      </c>
    </row>
    <row r="61" spans="2:14" s="132" customFormat="1" ht="11.25" x14ac:dyDescent="0.15">
      <c r="B61" s="132" t="str">
        <f>'Name List'!B61</f>
        <v>Jason Wale</v>
      </c>
      <c r="C61" s="134">
        <f t="shared" si="1"/>
        <v>0</v>
      </c>
      <c r="D61" s="134">
        <f>'Scores and stats'!QT61*$D$4</f>
        <v>0</v>
      </c>
      <c r="E61" s="134">
        <f>'Scores and stats'!QU61*$E$4</f>
        <v>42</v>
      </c>
      <c r="F61" s="134">
        <f>'Scores and stats'!QV61*$F$4</f>
        <v>156</v>
      </c>
      <c r="G61" s="134">
        <f>'Scores and stats'!QW61*$G$4</f>
        <v>-21</v>
      </c>
      <c r="H61" s="134">
        <f t="shared" si="2"/>
        <v>177</v>
      </c>
      <c r="I61" s="134">
        <f>'Appearances &amp; Xmas Dinner'!C61</f>
        <v>10</v>
      </c>
      <c r="J61" s="134">
        <f t="shared" si="3"/>
        <v>17.7</v>
      </c>
      <c r="K61" s="134">
        <f>'Scores and stats'!RK61</f>
        <v>32.4</v>
      </c>
      <c r="M61" s="176" t="str">
        <v>Ryan Vaughan</v>
      </c>
      <c r="N61" s="177">
        <v>0</v>
      </c>
    </row>
    <row r="62" spans="2:14" s="132" customFormat="1" ht="11.25" x14ac:dyDescent="0.15">
      <c r="B62" s="132" t="str">
        <f>'Name List'!B62</f>
        <v>Terry Walker</v>
      </c>
      <c r="C62" s="134">
        <f t="shared" si="1"/>
        <v>0</v>
      </c>
      <c r="D62" s="134">
        <f>'Scores and stats'!QT62*$D$4</f>
        <v>0</v>
      </c>
      <c r="E62" s="134">
        <f>'Scores and stats'!QU62*$E$4</f>
        <v>6</v>
      </c>
      <c r="F62" s="134">
        <f>'Scores and stats'!QV62*$F$4</f>
        <v>62</v>
      </c>
      <c r="G62" s="134">
        <f>'Scores and stats'!QW62*$G$4</f>
        <v>-16</v>
      </c>
      <c r="H62" s="134">
        <f t="shared" si="2"/>
        <v>52</v>
      </c>
      <c r="I62" s="134">
        <f>'Appearances &amp; Xmas Dinner'!C62</f>
        <v>5</v>
      </c>
      <c r="J62" s="134">
        <f t="shared" si="3"/>
        <v>10.4</v>
      </c>
      <c r="K62" s="134">
        <f>'Scores and stats'!RK62</f>
        <v>27</v>
      </c>
      <c r="M62" s="176" t="str">
        <v>Jason Wale</v>
      </c>
      <c r="N62" s="177">
        <v>0</v>
      </c>
    </row>
    <row r="63" spans="2:14" s="132" customFormat="1" ht="11.25" x14ac:dyDescent="0.15">
      <c r="B63" s="132" t="str">
        <f>'Name List'!B63</f>
        <v>Finn Wheeler</v>
      </c>
      <c r="C63" s="134">
        <f t="shared" si="1"/>
        <v>0</v>
      </c>
      <c r="D63" s="134">
        <f>'Scores and stats'!QT63*$D$4</f>
        <v>0</v>
      </c>
      <c r="E63" s="134">
        <f>'Scores and stats'!QU63*$E$4</f>
        <v>6</v>
      </c>
      <c r="F63" s="134">
        <f>'Scores and stats'!QV63*$F$4</f>
        <v>44</v>
      </c>
      <c r="G63" s="134">
        <f>'Scores and stats'!QW63*$G$4</f>
        <v>-8</v>
      </c>
      <c r="H63" s="134">
        <f t="shared" si="2"/>
        <v>42</v>
      </c>
      <c r="I63" s="134">
        <f>'Appearances &amp; Xmas Dinner'!C63</f>
        <v>3</v>
      </c>
      <c r="J63" s="134">
        <f t="shared" si="3"/>
        <v>14</v>
      </c>
      <c r="K63" s="134">
        <f>'Scores and stats'!RK63</f>
        <v>29</v>
      </c>
      <c r="M63" s="176" t="str">
        <v>Terry Walker</v>
      </c>
      <c r="N63" s="177">
        <v>0</v>
      </c>
    </row>
    <row r="64" spans="2:14" s="132" customFormat="1" ht="11.25" x14ac:dyDescent="0.15">
      <c r="B64" s="132" t="str">
        <f>'Name List'!B64</f>
        <v>Steve Wheeler</v>
      </c>
      <c r="C64" s="134">
        <f t="shared" si="1"/>
        <v>0</v>
      </c>
      <c r="D64" s="134">
        <f>'Scores and stats'!QT64*$D$4</f>
        <v>0</v>
      </c>
      <c r="E64" s="134">
        <f>'Scores and stats'!QU64*$E$4</f>
        <v>6</v>
      </c>
      <c r="F64" s="134">
        <f>'Scores and stats'!QV64*$F$4</f>
        <v>36</v>
      </c>
      <c r="G64" s="134">
        <f>'Scores and stats'!QW64*$G$4</f>
        <v>-13</v>
      </c>
      <c r="H64" s="134">
        <f t="shared" si="2"/>
        <v>29</v>
      </c>
      <c r="I64" s="134">
        <f>'Appearances &amp; Xmas Dinner'!C64</f>
        <v>3</v>
      </c>
      <c r="J64" s="134">
        <f t="shared" si="3"/>
        <v>9.6666666666666661</v>
      </c>
      <c r="K64" s="134">
        <f>'Scores and stats'!RK64</f>
        <v>29</v>
      </c>
      <c r="M64" s="176" t="str">
        <v>Finn Wheeler</v>
      </c>
      <c r="N64" s="177">
        <v>0</v>
      </c>
    </row>
    <row r="65" spans="2:14" s="132" customFormat="1" ht="11.25" x14ac:dyDescent="0.15">
      <c r="B65" s="132" t="str">
        <f>'Name List'!B65</f>
        <v>Brad Whitehead</v>
      </c>
      <c r="C65" s="134">
        <f t="shared" si="1"/>
        <v>51.571428571428569</v>
      </c>
      <c r="D65" s="134">
        <f>'Scores and stats'!QT65*$D$4</f>
        <v>0</v>
      </c>
      <c r="E65" s="134">
        <f>'Scores and stats'!QU65*$E$4</f>
        <v>111</v>
      </c>
      <c r="F65" s="134">
        <f>'Scores and stats'!QV65*$F$4</f>
        <v>218</v>
      </c>
      <c r="G65" s="134">
        <f>'Scores and stats'!QW65*$G$4</f>
        <v>-14</v>
      </c>
      <c r="H65" s="134">
        <f t="shared" si="2"/>
        <v>315</v>
      </c>
      <c r="I65" s="134">
        <f>'Appearances &amp; Xmas Dinner'!C65</f>
        <v>15</v>
      </c>
      <c r="J65" s="134">
        <f t="shared" ref="J65:J66" si="4">IFERROR(SUM(H65/I65),0)</f>
        <v>21</v>
      </c>
      <c r="K65" s="134">
        <f>'Scores and stats'!RK65</f>
        <v>30.571428571428573</v>
      </c>
      <c r="M65" s="176" t="str">
        <v>Steve Wheeler</v>
      </c>
      <c r="N65" s="177">
        <v>0</v>
      </c>
    </row>
    <row r="66" spans="2:14" s="132" customFormat="1" ht="11.25" x14ac:dyDescent="0.15">
      <c r="B66" s="132" t="str">
        <f>'Name List'!B66</f>
        <v>Dave Woodget</v>
      </c>
      <c r="C66" s="134">
        <f t="shared" si="1"/>
        <v>0</v>
      </c>
      <c r="D66" s="134">
        <f>'Scores and stats'!QT66*$D$4</f>
        <v>0</v>
      </c>
      <c r="E66" s="134">
        <f>'Scores and stats'!QU66*$E$4</f>
        <v>3</v>
      </c>
      <c r="F66" s="134">
        <f>'Scores and stats'!QV66*$F$4</f>
        <v>10</v>
      </c>
      <c r="G66" s="134">
        <f>'Scores and stats'!QW66*$G$4</f>
        <v>-2</v>
      </c>
      <c r="H66" s="134">
        <f t="shared" si="2"/>
        <v>11</v>
      </c>
      <c r="I66" s="134">
        <f>'Appearances &amp; Xmas Dinner'!C66</f>
        <v>1</v>
      </c>
      <c r="J66" s="134">
        <f t="shared" si="4"/>
        <v>11</v>
      </c>
      <c r="K66" s="134">
        <f>'Scores and stats'!RK66</f>
        <v>31</v>
      </c>
      <c r="M66" s="176" t="str">
        <v>Dave Woodget</v>
      </c>
      <c r="N66" s="177">
        <v>0</v>
      </c>
    </row>
    <row r="67" spans="2:14" s="132" customFormat="1" ht="11.25" x14ac:dyDescent="0.15">
      <c r="B67" s="132" t="str">
        <f>'Name List'!B67</f>
        <v>Jonathan Kanareck</v>
      </c>
      <c r="C67" s="134">
        <f t="shared" si="1"/>
        <v>0</v>
      </c>
      <c r="D67" s="134">
        <f>'Scores and stats'!QT67*$D$4</f>
        <v>0</v>
      </c>
      <c r="E67" s="134">
        <f>'Scores and stats'!QU67*$E$4</f>
        <v>3</v>
      </c>
      <c r="F67" s="134">
        <f>'Scores and stats'!QV67*$F$4</f>
        <v>12</v>
      </c>
      <c r="G67" s="134">
        <f>'Scores and stats'!QW67*$G$4</f>
        <v>-6</v>
      </c>
      <c r="H67" s="134">
        <f t="shared" si="2"/>
        <v>9</v>
      </c>
      <c r="I67" s="134">
        <f>'Appearances &amp; Xmas Dinner'!C67</f>
        <v>2</v>
      </c>
      <c r="J67" s="134">
        <f t="shared" ref="J67" si="5">IFERROR(SUM(H67/I67),0)</f>
        <v>4.5</v>
      </c>
      <c r="K67" s="134">
        <f>'Scores and stats'!RK67</f>
        <v>27.5</v>
      </c>
      <c r="M67" s="176" t="str">
        <v>Jonathan Kanareck</v>
      </c>
      <c r="N67" s="177">
        <v>0</v>
      </c>
    </row>
    <row r="68" spans="2:14" x14ac:dyDescent="0.2">
      <c r="B68" s="132" t="str">
        <f>'Name List'!B68</f>
        <v>Oliver Proud</v>
      </c>
      <c r="C68" s="134">
        <f t="shared" si="1"/>
        <v>0</v>
      </c>
      <c r="D68" s="134">
        <f>'Scores and stats'!QT68*$D$4</f>
        <v>0</v>
      </c>
      <c r="E68" s="134">
        <f>'Scores and stats'!QU68*$E$4</f>
        <v>0</v>
      </c>
      <c r="F68" s="134">
        <f>'Scores and stats'!QV68*$F$4</f>
        <v>6</v>
      </c>
      <c r="G68" s="134">
        <f>'Scores and stats'!QW68*$G$4</f>
        <v>-7</v>
      </c>
      <c r="H68" s="134">
        <f t="shared" si="2"/>
        <v>-1</v>
      </c>
      <c r="I68" s="134">
        <f>'Appearances &amp; Xmas Dinner'!C68</f>
        <v>1</v>
      </c>
      <c r="J68" s="134">
        <f t="shared" ref="J68:J88" si="6">IFERROR(SUM(H68/I68),0)</f>
        <v>-1</v>
      </c>
      <c r="K68" s="134">
        <f>'Scores and stats'!RK68</f>
        <v>19</v>
      </c>
      <c r="M68" s="176" t="str">
        <v>Oliver Proud</v>
      </c>
      <c r="N68" s="177">
        <v>0</v>
      </c>
    </row>
    <row r="69" spans="2:14" x14ac:dyDescent="0.2">
      <c r="B69" s="132" t="str">
        <f>'Name List'!B69</f>
        <v>Joe Hooper</v>
      </c>
      <c r="C69" s="134">
        <f t="shared" si="1"/>
        <v>0</v>
      </c>
      <c r="D69" s="134">
        <f>'Scores and stats'!QT69*$D$4</f>
        <v>0</v>
      </c>
      <c r="E69" s="134">
        <f>'Scores and stats'!QU69*$E$4</f>
        <v>51</v>
      </c>
      <c r="F69" s="134">
        <f>'Scores and stats'!QV69*$F$4</f>
        <v>78</v>
      </c>
      <c r="G69" s="134">
        <f>'Scores and stats'!QW69*$G$4</f>
        <v>-2</v>
      </c>
      <c r="H69" s="134">
        <f t="shared" si="2"/>
        <v>127</v>
      </c>
      <c r="I69" s="134">
        <f>'Appearances &amp; Xmas Dinner'!C69</f>
        <v>4</v>
      </c>
      <c r="J69" s="134">
        <f t="shared" si="6"/>
        <v>31.75</v>
      </c>
      <c r="K69" s="134">
        <f>'Scores and stats'!RK69</f>
        <v>33.5</v>
      </c>
      <c r="M69" s="176" t="str">
        <v>Joe Hooper</v>
      </c>
      <c r="N69" s="177">
        <v>0</v>
      </c>
    </row>
    <row r="70" spans="2:14" x14ac:dyDescent="0.2">
      <c r="B70" s="132" t="str">
        <f>'Name List'!B70</f>
        <v>Danny Jones</v>
      </c>
      <c r="C70" s="134">
        <f t="shared" si="1"/>
        <v>0</v>
      </c>
      <c r="D70" s="134">
        <f>'Scores and stats'!QT70*$D$4</f>
        <v>0</v>
      </c>
      <c r="E70" s="134">
        <f>'Scores and stats'!QU70*$E$4</f>
        <v>18</v>
      </c>
      <c r="F70" s="134">
        <f>'Scores and stats'!QV70*$F$4</f>
        <v>42</v>
      </c>
      <c r="G70" s="134">
        <f>'Scores and stats'!QW70*$G$4</f>
        <v>0</v>
      </c>
      <c r="H70" s="134">
        <f t="shared" si="2"/>
        <v>60</v>
      </c>
      <c r="I70" s="134">
        <f>'Appearances &amp; Xmas Dinner'!C70</f>
        <v>2</v>
      </c>
      <c r="J70" s="134">
        <f t="shared" si="6"/>
        <v>30</v>
      </c>
      <c r="K70" s="134">
        <f>'Scores and stats'!RK70</f>
        <v>33</v>
      </c>
      <c r="M70" s="176" t="str">
        <v>Danny Jones</v>
      </c>
      <c r="N70" s="177">
        <v>0</v>
      </c>
    </row>
    <row r="71" spans="2:14" x14ac:dyDescent="0.2">
      <c r="B71" s="132" t="str">
        <f>'Name List'!B71</f>
        <v>Liam Anderson</v>
      </c>
      <c r="C71" s="134">
        <f t="shared" ref="C71:C105" si="7">IF(I71&lt;15,0,J71+K71)</f>
        <v>0</v>
      </c>
      <c r="D71" s="134">
        <f>'Scores and stats'!QT71*$D$4</f>
        <v>0</v>
      </c>
      <c r="E71" s="134">
        <f>'Scores and stats'!QU71*$E$4</f>
        <v>0</v>
      </c>
      <c r="F71" s="134">
        <f>'Scores and stats'!QV71*$F$4</f>
        <v>0</v>
      </c>
      <c r="G71" s="134">
        <f>'Scores and stats'!QW71*$G$4</f>
        <v>0</v>
      </c>
      <c r="H71" s="134">
        <f t="shared" ref="H71:H105" si="8">SUM(D71:G71)</f>
        <v>0</v>
      </c>
      <c r="I71" s="134">
        <f>'Appearances &amp; Xmas Dinner'!C71</f>
        <v>0</v>
      </c>
      <c r="J71" s="134">
        <f t="shared" si="6"/>
        <v>0</v>
      </c>
      <c r="K71" s="134">
        <f>'Scores and stats'!RK71</f>
        <v>0</v>
      </c>
      <c r="M71" s="176" t="str">
        <v>Liam Anderson</v>
      </c>
      <c r="N71" s="177">
        <v>0</v>
      </c>
    </row>
    <row r="72" spans="2:14" x14ac:dyDescent="0.2">
      <c r="B72" s="132" t="str">
        <f>'Name List'!B72</f>
        <v>Sam Cochrane</v>
      </c>
      <c r="C72" s="134">
        <f t="shared" si="7"/>
        <v>0</v>
      </c>
      <c r="D72" s="134">
        <f>'Scores and stats'!QT72*$D$4</f>
        <v>0</v>
      </c>
      <c r="E72" s="134">
        <f>'Scores and stats'!QU72*$E$4</f>
        <v>9</v>
      </c>
      <c r="F72" s="134">
        <f>'Scores and stats'!QV72*$F$4</f>
        <v>32</v>
      </c>
      <c r="G72" s="134">
        <f>'Scores and stats'!QW72*$G$4</f>
        <v>-27</v>
      </c>
      <c r="H72" s="134">
        <f t="shared" si="8"/>
        <v>14</v>
      </c>
      <c r="I72" s="134">
        <f>'Appearances &amp; Xmas Dinner'!C72</f>
        <v>7</v>
      </c>
      <c r="J72" s="134">
        <f t="shared" si="6"/>
        <v>2</v>
      </c>
      <c r="K72" s="134">
        <f>'Scores and stats'!RK72</f>
        <v>25.714285714285715</v>
      </c>
      <c r="M72" s="176" t="str">
        <v>Sam Cochrane</v>
      </c>
      <c r="N72" s="177">
        <v>0</v>
      </c>
    </row>
    <row r="73" spans="2:14" x14ac:dyDescent="0.2">
      <c r="B73" s="132" t="str">
        <f>'Name List'!B73</f>
        <v>Shaun Alexander</v>
      </c>
      <c r="C73" s="134">
        <f t="shared" si="7"/>
        <v>0</v>
      </c>
      <c r="D73" s="134">
        <f>'Scores and stats'!QT73*$D$4</f>
        <v>0</v>
      </c>
      <c r="E73" s="134">
        <f>'Scores and stats'!QU73*$E$4</f>
        <v>21</v>
      </c>
      <c r="F73" s="134">
        <f>'Scores and stats'!QV73*$F$4</f>
        <v>86</v>
      </c>
      <c r="G73" s="134">
        <f>'Scores and stats'!QW73*$G$4</f>
        <v>-7</v>
      </c>
      <c r="H73" s="134">
        <f t="shared" si="8"/>
        <v>100</v>
      </c>
      <c r="I73" s="134">
        <f>'Appearances &amp; Xmas Dinner'!C73</f>
        <v>6</v>
      </c>
      <c r="J73" s="134">
        <f t="shared" si="6"/>
        <v>16.666666666666668</v>
      </c>
      <c r="K73" s="134">
        <f>'Scores and stats'!RK73</f>
        <v>22.4</v>
      </c>
      <c r="M73" s="176" t="str">
        <v>Shaun Alexander</v>
      </c>
      <c r="N73" s="177">
        <v>0</v>
      </c>
    </row>
    <row r="74" spans="2:14" x14ac:dyDescent="0.2">
      <c r="B74" s="132" t="str">
        <f>'Name List'!B74</f>
        <v>Kyle Deane</v>
      </c>
      <c r="C74" s="134">
        <f t="shared" si="7"/>
        <v>0</v>
      </c>
      <c r="D74" s="134">
        <f>'Scores and stats'!QT74*$D$4</f>
        <v>0</v>
      </c>
      <c r="E74" s="134">
        <f>'Scores and stats'!QU74*$E$4</f>
        <v>3</v>
      </c>
      <c r="F74" s="134">
        <f>'Scores and stats'!QV74*$F$4</f>
        <v>10</v>
      </c>
      <c r="G74" s="134">
        <f>'Scores and stats'!QW74*$G$4</f>
        <v>-3</v>
      </c>
      <c r="H74" s="134">
        <f t="shared" si="8"/>
        <v>10</v>
      </c>
      <c r="I74" s="134">
        <f>'Appearances &amp; Xmas Dinner'!C74</f>
        <v>1</v>
      </c>
      <c r="J74" s="134">
        <f t="shared" si="6"/>
        <v>10</v>
      </c>
      <c r="K74" s="134">
        <f>'Scores and stats'!RK74</f>
        <v>24</v>
      </c>
      <c r="M74" s="176" t="str">
        <v>Kyle Deane</v>
      </c>
      <c r="N74" s="177">
        <v>0</v>
      </c>
    </row>
    <row r="75" spans="2:14" x14ac:dyDescent="0.2">
      <c r="B75" s="132">
        <f>'Name List'!B75</f>
        <v>1</v>
      </c>
      <c r="C75" s="134">
        <f t="shared" si="7"/>
        <v>0</v>
      </c>
      <c r="D75" s="134">
        <f>'Scores and stats'!QT75*$D$4</f>
        <v>0</v>
      </c>
      <c r="E75" s="134">
        <f>'Scores and stats'!QU75*$E$4</f>
        <v>0</v>
      </c>
      <c r="F75" s="134">
        <f>'Scores and stats'!QV75*$F$4</f>
        <v>0</v>
      </c>
      <c r="G75" s="134">
        <f>'Scores and stats'!QW75*$G$4</f>
        <v>0</v>
      </c>
      <c r="H75" s="134">
        <f t="shared" si="8"/>
        <v>0</v>
      </c>
      <c r="I75" s="134">
        <f>'Appearances &amp; Xmas Dinner'!C75</f>
        <v>0</v>
      </c>
      <c r="J75" s="134">
        <f t="shared" si="6"/>
        <v>0</v>
      </c>
      <c r="K75" s="134">
        <f>'Scores and stats'!RK75</f>
        <v>0</v>
      </c>
      <c r="M75" s="176">
        <v>1</v>
      </c>
      <c r="N75" s="177">
        <v>0</v>
      </c>
    </row>
    <row r="76" spans="2:14" x14ac:dyDescent="0.2">
      <c r="B76" s="132">
        <f>'Name List'!B76</f>
        <v>2</v>
      </c>
      <c r="C76" s="134">
        <f t="shared" si="7"/>
        <v>0</v>
      </c>
      <c r="D76" s="134">
        <f>'Scores and stats'!QT76*$D$4</f>
        <v>0</v>
      </c>
      <c r="E76" s="134">
        <f>'Scores and stats'!QU76*$E$4</f>
        <v>0</v>
      </c>
      <c r="F76" s="134">
        <f>'Scores and stats'!QV76*$F$4</f>
        <v>0</v>
      </c>
      <c r="G76" s="134">
        <f>'Scores and stats'!QW76*$G$4</f>
        <v>0</v>
      </c>
      <c r="H76" s="134">
        <f t="shared" si="8"/>
        <v>0</v>
      </c>
      <c r="I76" s="134">
        <f>'Appearances &amp; Xmas Dinner'!C76</f>
        <v>0</v>
      </c>
      <c r="J76" s="134">
        <f t="shared" si="6"/>
        <v>0</v>
      </c>
      <c r="K76" s="134">
        <f>'Scores and stats'!RK76</f>
        <v>0</v>
      </c>
      <c r="M76" s="176">
        <v>2</v>
      </c>
      <c r="N76" s="177">
        <v>0</v>
      </c>
    </row>
    <row r="77" spans="2:14" x14ac:dyDescent="0.2">
      <c r="B77" s="132">
        <f>'Name List'!B77</f>
        <v>3</v>
      </c>
      <c r="C77" s="134">
        <f t="shared" si="7"/>
        <v>0</v>
      </c>
      <c r="D77" s="134">
        <f>'Scores and stats'!QT77*$D$4</f>
        <v>0</v>
      </c>
      <c r="E77" s="134">
        <f>'Scores and stats'!QU77*$E$4</f>
        <v>0</v>
      </c>
      <c r="F77" s="134">
        <f>'Scores and stats'!QV77*$F$4</f>
        <v>0</v>
      </c>
      <c r="G77" s="134">
        <f>'Scores and stats'!QW77*$G$4</f>
        <v>0</v>
      </c>
      <c r="H77" s="134">
        <f t="shared" si="8"/>
        <v>0</v>
      </c>
      <c r="I77" s="134">
        <f>'Appearances &amp; Xmas Dinner'!C77</f>
        <v>0</v>
      </c>
      <c r="J77" s="134">
        <f t="shared" si="6"/>
        <v>0</v>
      </c>
      <c r="K77" s="134">
        <f>'Scores and stats'!RK77</f>
        <v>0</v>
      </c>
      <c r="M77" s="176">
        <v>3</v>
      </c>
      <c r="N77" s="177">
        <v>0</v>
      </c>
    </row>
    <row r="78" spans="2:14" x14ac:dyDescent="0.2">
      <c r="B78" s="132">
        <f>'Name List'!B78</f>
        <v>4</v>
      </c>
      <c r="C78" s="134">
        <f t="shared" si="7"/>
        <v>0</v>
      </c>
      <c r="D78" s="134">
        <f>'Scores and stats'!QT78*$D$4</f>
        <v>0</v>
      </c>
      <c r="E78" s="134">
        <f>'Scores and stats'!QU78*$E$4</f>
        <v>0</v>
      </c>
      <c r="F78" s="134">
        <f>'Scores and stats'!QV78*$F$4</f>
        <v>0</v>
      </c>
      <c r="G78" s="134">
        <f>'Scores and stats'!QW78*$G$4</f>
        <v>0</v>
      </c>
      <c r="H78" s="134">
        <f t="shared" si="8"/>
        <v>0</v>
      </c>
      <c r="I78" s="134">
        <f>'Appearances &amp; Xmas Dinner'!C78</f>
        <v>0</v>
      </c>
      <c r="J78" s="134">
        <f t="shared" si="6"/>
        <v>0</v>
      </c>
      <c r="K78" s="134">
        <f>'Scores and stats'!RK78</f>
        <v>0</v>
      </c>
      <c r="M78" s="176">
        <v>4</v>
      </c>
      <c r="N78" s="177">
        <v>0</v>
      </c>
    </row>
    <row r="79" spans="2:14" x14ac:dyDescent="0.2">
      <c r="B79" s="132">
        <f>'Name List'!B79</f>
        <v>5</v>
      </c>
      <c r="C79" s="134">
        <f t="shared" si="7"/>
        <v>0</v>
      </c>
      <c r="D79" s="134">
        <f>'Scores and stats'!QT79*$D$4</f>
        <v>0</v>
      </c>
      <c r="E79" s="134">
        <f>'Scores and stats'!QU79*$E$4</f>
        <v>0</v>
      </c>
      <c r="F79" s="134">
        <f>'Scores and stats'!QV79*$F$4</f>
        <v>0</v>
      </c>
      <c r="G79" s="134">
        <f>'Scores and stats'!QW79*$G$4</f>
        <v>0</v>
      </c>
      <c r="H79" s="134">
        <f t="shared" si="8"/>
        <v>0</v>
      </c>
      <c r="I79" s="134">
        <f>'Appearances &amp; Xmas Dinner'!C79</f>
        <v>0</v>
      </c>
      <c r="J79" s="134">
        <f t="shared" si="6"/>
        <v>0</v>
      </c>
      <c r="K79" s="134">
        <f>'Scores and stats'!RK79</f>
        <v>0</v>
      </c>
      <c r="M79" s="176">
        <v>5</v>
      </c>
      <c r="N79" s="177">
        <v>0</v>
      </c>
    </row>
    <row r="80" spans="2:14" x14ac:dyDescent="0.2">
      <c r="B80" s="132">
        <f>'Name List'!B80</f>
        <v>6</v>
      </c>
      <c r="C80" s="134">
        <f t="shared" si="7"/>
        <v>0</v>
      </c>
      <c r="D80" s="134">
        <f>'Scores and stats'!QT80*$D$4</f>
        <v>0</v>
      </c>
      <c r="E80" s="134">
        <f>'Scores and stats'!QU80*$E$4</f>
        <v>0</v>
      </c>
      <c r="F80" s="134">
        <f>'Scores and stats'!QV80*$F$4</f>
        <v>0</v>
      </c>
      <c r="G80" s="134">
        <f>'Scores and stats'!QW80*$G$4</f>
        <v>0</v>
      </c>
      <c r="H80" s="134">
        <f t="shared" si="8"/>
        <v>0</v>
      </c>
      <c r="I80" s="134">
        <f>'Appearances &amp; Xmas Dinner'!C80</f>
        <v>0</v>
      </c>
      <c r="J80" s="134">
        <f t="shared" si="6"/>
        <v>0</v>
      </c>
      <c r="K80" s="134">
        <f>'Scores and stats'!RK80</f>
        <v>0</v>
      </c>
      <c r="M80" s="176">
        <v>6</v>
      </c>
      <c r="N80" s="177">
        <v>0</v>
      </c>
    </row>
    <row r="81" spans="2:14" x14ac:dyDescent="0.2">
      <c r="B81" s="132">
        <f>'Name List'!B81</f>
        <v>7</v>
      </c>
      <c r="C81" s="134">
        <f t="shared" si="7"/>
        <v>0</v>
      </c>
      <c r="D81" s="134">
        <f>'Scores and stats'!QT81*$D$4</f>
        <v>0</v>
      </c>
      <c r="E81" s="134">
        <f>'Scores and stats'!QU81*$E$4</f>
        <v>0</v>
      </c>
      <c r="F81" s="134">
        <f>'Scores and stats'!QV81*$F$4</f>
        <v>0</v>
      </c>
      <c r="G81" s="134">
        <f>'Scores and stats'!QW81*$G$4</f>
        <v>0</v>
      </c>
      <c r="H81" s="134">
        <f t="shared" si="8"/>
        <v>0</v>
      </c>
      <c r="I81" s="134">
        <f>'Appearances &amp; Xmas Dinner'!C81</f>
        <v>0</v>
      </c>
      <c r="J81" s="134">
        <f t="shared" si="6"/>
        <v>0</v>
      </c>
      <c r="K81" s="134">
        <f>'Scores and stats'!RK81</f>
        <v>0</v>
      </c>
      <c r="M81" s="176">
        <v>7</v>
      </c>
      <c r="N81" s="177">
        <v>0</v>
      </c>
    </row>
    <row r="82" spans="2:14" x14ac:dyDescent="0.2">
      <c r="B82" s="132">
        <f>'Name List'!B82</f>
        <v>8</v>
      </c>
      <c r="C82" s="134">
        <f t="shared" si="7"/>
        <v>0</v>
      </c>
      <c r="D82" s="134">
        <f>'Scores and stats'!QT82*$D$4</f>
        <v>0</v>
      </c>
      <c r="E82" s="134">
        <f>'Scores and stats'!QU82*$E$4</f>
        <v>0</v>
      </c>
      <c r="F82" s="134">
        <f>'Scores and stats'!QV82*$F$4</f>
        <v>0</v>
      </c>
      <c r="G82" s="134">
        <f>'Scores and stats'!QW82*$G$4</f>
        <v>0</v>
      </c>
      <c r="H82" s="134">
        <f t="shared" si="8"/>
        <v>0</v>
      </c>
      <c r="I82" s="134">
        <f>'Appearances &amp; Xmas Dinner'!C82</f>
        <v>0</v>
      </c>
      <c r="J82" s="134">
        <f t="shared" si="6"/>
        <v>0</v>
      </c>
      <c r="K82" s="134">
        <f>'Scores and stats'!RK82</f>
        <v>0</v>
      </c>
      <c r="M82" s="176">
        <v>8</v>
      </c>
      <c r="N82" s="177">
        <v>0</v>
      </c>
    </row>
    <row r="83" spans="2:14" x14ac:dyDescent="0.2">
      <c r="B83" s="132">
        <f>'Name List'!B83</f>
        <v>9</v>
      </c>
      <c r="C83" s="134">
        <f t="shared" si="7"/>
        <v>0</v>
      </c>
      <c r="D83" s="134">
        <f>'Scores and stats'!QT83*$D$4</f>
        <v>0</v>
      </c>
      <c r="E83" s="134">
        <f>'Scores and stats'!QU83*$E$4</f>
        <v>0</v>
      </c>
      <c r="F83" s="134">
        <f>'Scores and stats'!QV83*$F$4</f>
        <v>0</v>
      </c>
      <c r="G83" s="134">
        <f>'Scores and stats'!QW83*$G$4</f>
        <v>0</v>
      </c>
      <c r="H83" s="134">
        <f t="shared" si="8"/>
        <v>0</v>
      </c>
      <c r="I83" s="134">
        <f>'Appearances &amp; Xmas Dinner'!C83</f>
        <v>0</v>
      </c>
      <c r="J83" s="134">
        <f t="shared" si="6"/>
        <v>0</v>
      </c>
      <c r="K83" s="134">
        <f>'Scores and stats'!RK83</f>
        <v>0</v>
      </c>
      <c r="M83" s="176">
        <v>9</v>
      </c>
      <c r="N83" s="177">
        <v>0</v>
      </c>
    </row>
    <row r="84" spans="2:14" x14ac:dyDescent="0.2">
      <c r="B84" s="132">
        <f>'Name List'!B84</f>
        <v>10</v>
      </c>
      <c r="C84" s="134">
        <f t="shared" si="7"/>
        <v>0</v>
      </c>
      <c r="D84" s="134">
        <f>'Scores and stats'!QT84*$D$4</f>
        <v>0</v>
      </c>
      <c r="E84" s="134">
        <f>'Scores and stats'!QU84*$E$4</f>
        <v>0</v>
      </c>
      <c r="F84" s="134">
        <f>'Scores and stats'!QV84*$F$4</f>
        <v>0</v>
      </c>
      <c r="G84" s="134">
        <f>'Scores and stats'!QW84*$G$4</f>
        <v>0</v>
      </c>
      <c r="H84" s="134">
        <f t="shared" si="8"/>
        <v>0</v>
      </c>
      <c r="I84" s="134">
        <f>'Appearances &amp; Xmas Dinner'!C84</f>
        <v>0</v>
      </c>
      <c r="J84" s="134">
        <f t="shared" si="6"/>
        <v>0</v>
      </c>
      <c r="K84" s="134">
        <f>'Scores and stats'!RK84</f>
        <v>0</v>
      </c>
      <c r="M84" s="176">
        <v>10</v>
      </c>
      <c r="N84" s="177">
        <v>0</v>
      </c>
    </row>
    <row r="85" spans="2:14" x14ac:dyDescent="0.2">
      <c r="B85" s="132">
        <f>'Name List'!B85</f>
        <v>11</v>
      </c>
      <c r="C85" s="134">
        <f t="shared" si="7"/>
        <v>0</v>
      </c>
      <c r="D85" s="134">
        <f>'Scores and stats'!QT85*$D$4</f>
        <v>0</v>
      </c>
      <c r="E85" s="134">
        <f>'Scores and stats'!QU85*$E$4</f>
        <v>0</v>
      </c>
      <c r="F85" s="134">
        <f>'Scores and stats'!QV85*$F$4</f>
        <v>0</v>
      </c>
      <c r="G85" s="134">
        <f>'Scores and stats'!QW85*$G$4</f>
        <v>0</v>
      </c>
      <c r="H85" s="134">
        <f t="shared" si="8"/>
        <v>0</v>
      </c>
      <c r="I85" s="134">
        <f>'Appearances &amp; Xmas Dinner'!C85</f>
        <v>0</v>
      </c>
      <c r="J85" s="134">
        <f t="shared" si="6"/>
        <v>0</v>
      </c>
      <c r="K85" s="134">
        <f>'Scores and stats'!RK85</f>
        <v>0</v>
      </c>
      <c r="M85" s="176">
        <v>11</v>
      </c>
      <c r="N85" s="177">
        <v>0</v>
      </c>
    </row>
    <row r="86" spans="2:14" x14ac:dyDescent="0.2">
      <c r="B86" s="132">
        <f>'Name List'!B86</f>
        <v>12</v>
      </c>
      <c r="C86" s="134">
        <f t="shared" si="7"/>
        <v>0</v>
      </c>
      <c r="D86" s="134">
        <f>'Scores and stats'!QT86*$D$4</f>
        <v>0</v>
      </c>
      <c r="E86" s="134">
        <f>'Scores and stats'!QU86*$E$4</f>
        <v>0</v>
      </c>
      <c r="F86" s="134">
        <f>'Scores and stats'!QV86*$F$4</f>
        <v>0</v>
      </c>
      <c r="G86" s="134">
        <f>'Scores and stats'!QW86*$G$4</f>
        <v>0</v>
      </c>
      <c r="H86" s="134">
        <f t="shared" si="8"/>
        <v>0</v>
      </c>
      <c r="I86" s="134">
        <f>'Appearances &amp; Xmas Dinner'!C86</f>
        <v>0</v>
      </c>
      <c r="J86" s="134">
        <f t="shared" si="6"/>
        <v>0</v>
      </c>
      <c r="K86" s="134">
        <f>'Scores and stats'!RK86</f>
        <v>0</v>
      </c>
      <c r="M86" s="176">
        <v>12</v>
      </c>
      <c r="N86" s="177">
        <v>0</v>
      </c>
    </row>
    <row r="87" spans="2:14" x14ac:dyDescent="0.2">
      <c r="B87" s="132">
        <f>'Name List'!B87</f>
        <v>13</v>
      </c>
      <c r="C87" s="134">
        <f t="shared" si="7"/>
        <v>0</v>
      </c>
      <c r="D87" s="134">
        <f>'Scores and stats'!QT87*$D$4</f>
        <v>0</v>
      </c>
      <c r="E87" s="134">
        <f>'Scores and stats'!QU87*$E$4</f>
        <v>0</v>
      </c>
      <c r="F87" s="134">
        <f>'Scores and stats'!QV87*$F$4</f>
        <v>0</v>
      </c>
      <c r="G87" s="134">
        <f>'Scores and stats'!QW87*$G$4</f>
        <v>0</v>
      </c>
      <c r="H87" s="134">
        <f t="shared" si="8"/>
        <v>0</v>
      </c>
      <c r="I87" s="134">
        <f>'Appearances &amp; Xmas Dinner'!C87</f>
        <v>0</v>
      </c>
      <c r="J87" s="134">
        <f t="shared" si="6"/>
        <v>0</v>
      </c>
      <c r="K87" s="134">
        <f>'Scores and stats'!RK87</f>
        <v>0</v>
      </c>
      <c r="M87" s="176">
        <v>13</v>
      </c>
      <c r="N87" s="177">
        <v>0</v>
      </c>
    </row>
    <row r="88" spans="2:14" x14ac:dyDescent="0.2">
      <c r="B88" s="132">
        <f>'Name List'!B88</f>
        <v>14</v>
      </c>
      <c r="C88" s="134">
        <f t="shared" si="7"/>
        <v>0</v>
      </c>
      <c r="D88" s="134">
        <f>'Scores and stats'!QT88*$D$4</f>
        <v>0</v>
      </c>
      <c r="E88" s="134">
        <f>'Scores and stats'!QU88*$E$4</f>
        <v>0</v>
      </c>
      <c r="F88" s="134">
        <f>'Scores and stats'!QV88*$F$4</f>
        <v>0</v>
      </c>
      <c r="G88" s="134">
        <f>'Scores and stats'!QW88*$G$4</f>
        <v>0</v>
      </c>
      <c r="H88" s="134">
        <f t="shared" si="8"/>
        <v>0</v>
      </c>
      <c r="I88" s="134">
        <f>'Appearances &amp; Xmas Dinner'!C88</f>
        <v>0</v>
      </c>
      <c r="J88" s="134">
        <f t="shared" si="6"/>
        <v>0</v>
      </c>
      <c r="K88" s="134">
        <f>'Scores and stats'!RK88</f>
        <v>0</v>
      </c>
      <c r="M88" s="176">
        <v>14</v>
      </c>
      <c r="N88" s="177">
        <v>0</v>
      </c>
    </row>
    <row r="89" spans="2:14" x14ac:dyDescent="0.2">
      <c r="B89" s="132">
        <f>'Name List'!B89</f>
        <v>15</v>
      </c>
      <c r="C89" s="134">
        <f t="shared" si="7"/>
        <v>0</v>
      </c>
      <c r="D89" s="134">
        <f>'Scores and stats'!QT89*$D$4</f>
        <v>0</v>
      </c>
      <c r="E89" s="134">
        <f>'Scores and stats'!QU89*$E$4</f>
        <v>0</v>
      </c>
      <c r="F89" s="134">
        <f>'Scores and stats'!QV89*$F$4</f>
        <v>0</v>
      </c>
      <c r="G89" s="134">
        <f>'Scores and stats'!QW89*$G$4</f>
        <v>0</v>
      </c>
      <c r="H89" s="134">
        <f t="shared" si="8"/>
        <v>0</v>
      </c>
      <c r="I89" s="134">
        <f>'Appearances &amp; Xmas Dinner'!C89</f>
        <v>0</v>
      </c>
      <c r="J89" s="134">
        <f t="shared" ref="J89:J105" si="9">IFERROR(SUM(H89/I89),0)</f>
        <v>0</v>
      </c>
      <c r="K89" s="134">
        <f>'Scores and stats'!RK89</f>
        <v>0</v>
      </c>
      <c r="M89" s="176">
        <v>15</v>
      </c>
      <c r="N89" s="177">
        <v>0</v>
      </c>
    </row>
    <row r="90" spans="2:14" x14ac:dyDescent="0.2">
      <c r="B90" s="132">
        <f>'Name List'!B90</f>
        <v>16</v>
      </c>
      <c r="C90" s="134">
        <f t="shared" si="7"/>
        <v>0</v>
      </c>
      <c r="D90" s="134">
        <f>'Scores and stats'!QT90*$D$4</f>
        <v>0</v>
      </c>
      <c r="E90" s="134">
        <f>'Scores and stats'!QU90*$E$4</f>
        <v>0</v>
      </c>
      <c r="F90" s="134">
        <f>'Scores and stats'!QV90*$F$4</f>
        <v>0</v>
      </c>
      <c r="G90" s="134">
        <f>'Scores and stats'!QW90*$G$4</f>
        <v>0</v>
      </c>
      <c r="H90" s="134">
        <f t="shared" si="8"/>
        <v>0</v>
      </c>
      <c r="I90" s="134">
        <f>'Appearances &amp; Xmas Dinner'!C90</f>
        <v>0</v>
      </c>
      <c r="J90" s="134">
        <f t="shared" si="9"/>
        <v>0</v>
      </c>
      <c r="K90" s="134">
        <f>'Scores and stats'!RK90</f>
        <v>0</v>
      </c>
      <c r="M90" s="176">
        <v>16</v>
      </c>
      <c r="N90" s="177">
        <v>0</v>
      </c>
    </row>
    <row r="91" spans="2:14" x14ac:dyDescent="0.2">
      <c r="B91" s="132">
        <f>'Name List'!B91</f>
        <v>17</v>
      </c>
      <c r="C91" s="134">
        <f t="shared" si="7"/>
        <v>0</v>
      </c>
      <c r="D91" s="134">
        <f>'Scores and stats'!QT91*$D$4</f>
        <v>0</v>
      </c>
      <c r="E91" s="134">
        <f>'Scores and stats'!QU91*$E$4</f>
        <v>0</v>
      </c>
      <c r="F91" s="134">
        <f>'Scores and stats'!QV91*$F$4</f>
        <v>0</v>
      </c>
      <c r="G91" s="134">
        <f>'Scores and stats'!QW91*$G$4</f>
        <v>0</v>
      </c>
      <c r="H91" s="134">
        <f t="shared" si="8"/>
        <v>0</v>
      </c>
      <c r="I91" s="134">
        <f>'Appearances &amp; Xmas Dinner'!C91</f>
        <v>0</v>
      </c>
      <c r="J91" s="134">
        <f t="shared" si="9"/>
        <v>0</v>
      </c>
      <c r="K91" s="134">
        <f>'Scores and stats'!RK91</f>
        <v>0</v>
      </c>
      <c r="M91" s="176">
        <v>17</v>
      </c>
      <c r="N91" s="177">
        <v>0</v>
      </c>
    </row>
    <row r="92" spans="2:14" x14ac:dyDescent="0.2">
      <c r="B92" s="132">
        <f>'Name List'!B92</f>
        <v>18</v>
      </c>
      <c r="C92" s="134">
        <f t="shared" si="7"/>
        <v>0</v>
      </c>
      <c r="D92" s="134">
        <f>'Scores and stats'!QT92*$D$4</f>
        <v>0</v>
      </c>
      <c r="E92" s="134">
        <f>'Scores and stats'!QU92*$E$4</f>
        <v>0</v>
      </c>
      <c r="F92" s="134">
        <f>'Scores and stats'!QV92*$F$4</f>
        <v>0</v>
      </c>
      <c r="G92" s="134">
        <f>'Scores and stats'!QW92*$G$4</f>
        <v>0</v>
      </c>
      <c r="H92" s="134">
        <f t="shared" si="8"/>
        <v>0</v>
      </c>
      <c r="I92" s="134">
        <f>'Appearances &amp; Xmas Dinner'!C92</f>
        <v>0</v>
      </c>
      <c r="J92" s="134">
        <f t="shared" si="9"/>
        <v>0</v>
      </c>
      <c r="K92" s="134">
        <f>'Scores and stats'!RK92</f>
        <v>0</v>
      </c>
      <c r="M92" s="176">
        <v>18</v>
      </c>
      <c r="N92" s="177">
        <v>0</v>
      </c>
    </row>
    <row r="93" spans="2:14" x14ac:dyDescent="0.2">
      <c r="B93" s="132">
        <f>'Name List'!B93</f>
        <v>19</v>
      </c>
      <c r="C93" s="134">
        <f t="shared" si="7"/>
        <v>0</v>
      </c>
      <c r="D93" s="134">
        <f>'Scores and stats'!QT93*$D$4</f>
        <v>0</v>
      </c>
      <c r="E93" s="134">
        <f>'Scores and stats'!QU93*$E$4</f>
        <v>0</v>
      </c>
      <c r="F93" s="134">
        <f>'Scores and stats'!QV93*$F$4</f>
        <v>0</v>
      </c>
      <c r="G93" s="134">
        <f>'Scores and stats'!QW93*$G$4</f>
        <v>0</v>
      </c>
      <c r="H93" s="134">
        <f t="shared" si="8"/>
        <v>0</v>
      </c>
      <c r="I93" s="134">
        <f>'Appearances &amp; Xmas Dinner'!C93</f>
        <v>0</v>
      </c>
      <c r="J93" s="134">
        <f t="shared" si="9"/>
        <v>0</v>
      </c>
      <c r="K93" s="134">
        <f>'Scores and stats'!RK93</f>
        <v>0</v>
      </c>
      <c r="M93" s="176">
        <v>19</v>
      </c>
      <c r="N93" s="177">
        <v>0</v>
      </c>
    </row>
    <row r="94" spans="2:14" x14ac:dyDescent="0.2">
      <c r="B94" s="132">
        <f>'Name List'!B94</f>
        <v>20</v>
      </c>
      <c r="C94" s="134">
        <f t="shared" si="7"/>
        <v>0</v>
      </c>
      <c r="D94" s="134">
        <f>'Scores and stats'!QT94*$D$4</f>
        <v>0</v>
      </c>
      <c r="E94" s="134">
        <f>'Scores and stats'!QU94*$E$4</f>
        <v>0</v>
      </c>
      <c r="F94" s="134">
        <f>'Scores and stats'!QV94*$F$4</f>
        <v>0</v>
      </c>
      <c r="G94" s="134">
        <f>'Scores and stats'!QW94*$G$4</f>
        <v>0</v>
      </c>
      <c r="H94" s="134">
        <f t="shared" si="8"/>
        <v>0</v>
      </c>
      <c r="I94" s="134">
        <f>'Appearances &amp; Xmas Dinner'!C94</f>
        <v>0</v>
      </c>
      <c r="J94" s="134">
        <f t="shared" si="9"/>
        <v>0</v>
      </c>
      <c r="K94" s="134">
        <f>'Scores and stats'!RK94</f>
        <v>0</v>
      </c>
      <c r="M94" s="176">
        <v>20</v>
      </c>
      <c r="N94" s="177">
        <v>0</v>
      </c>
    </row>
    <row r="95" spans="2:14" x14ac:dyDescent="0.2">
      <c r="B95" s="132">
        <f>'Name List'!B95</f>
        <v>21</v>
      </c>
      <c r="C95" s="134">
        <f t="shared" si="7"/>
        <v>0</v>
      </c>
      <c r="D95" s="134">
        <f>'Scores and stats'!QT95*$D$4</f>
        <v>0</v>
      </c>
      <c r="E95" s="134">
        <f>'Scores and stats'!QU95*$E$4</f>
        <v>0</v>
      </c>
      <c r="F95" s="134">
        <f>'Scores and stats'!QV95*$F$4</f>
        <v>0</v>
      </c>
      <c r="G95" s="134">
        <f>'Scores and stats'!QW95*$G$4</f>
        <v>0</v>
      </c>
      <c r="H95" s="134">
        <f t="shared" si="8"/>
        <v>0</v>
      </c>
      <c r="I95" s="134">
        <f>'Appearances &amp; Xmas Dinner'!C95</f>
        <v>0</v>
      </c>
      <c r="J95" s="134">
        <f t="shared" si="9"/>
        <v>0</v>
      </c>
      <c r="K95" s="134">
        <f>'Scores and stats'!RK95</f>
        <v>0</v>
      </c>
      <c r="M95" s="176">
        <v>21</v>
      </c>
      <c r="N95" s="177">
        <v>0</v>
      </c>
    </row>
    <row r="96" spans="2:14" x14ac:dyDescent="0.2">
      <c r="B96" s="132">
        <f>'Name List'!B96</f>
        <v>22</v>
      </c>
      <c r="C96" s="134">
        <f t="shared" si="7"/>
        <v>0</v>
      </c>
      <c r="D96" s="134">
        <f>'Scores and stats'!QT96*$D$4</f>
        <v>0</v>
      </c>
      <c r="E96" s="134">
        <f>'Scores and stats'!QU96*$E$4</f>
        <v>0</v>
      </c>
      <c r="F96" s="134">
        <f>'Scores and stats'!QV96*$F$4</f>
        <v>0</v>
      </c>
      <c r="G96" s="134">
        <f>'Scores and stats'!QW96*$G$4</f>
        <v>0</v>
      </c>
      <c r="H96" s="134">
        <f t="shared" si="8"/>
        <v>0</v>
      </c>
      <c r="I96" s="134">
        <f>'Appearances &amp; Xmas Dinner'!C96</f>
        <v>0</v>
      </c>
      <c r="J96" s="134">
        <f t="shared" si="9"/>
        <v>0</v>
      </c>
      <c r="K96" s="134">
        <f>'Scores and stats'!RK96</f>
        <v>0</v>
      </c>
      <c r="M96" s="176">
        <v>22</v>
      </c>
      <c r="N96" s="177">
        <v>0</v>
      </c>
    </row>
    <row r="97" spans="2:14" x14ac:dyDescent="0.2">
      <c r="B97" s="132">
        <f>'Name List'!B97</f>
        <v>23</v>
      </c>
      <c r="C97" s="134">
        <f t="shared" si="7"/>
        <v>0</v>
      </c>
      <c r="D97" s="134">
        <f>'Scores and stats'!QT97*$D$4</f>
        <v>0</v>
      </c>
      <c r="E97" s="134">
        <f>'Scores and stats'!QU97*$E$4</f>
        <v>0</v>
      </c>
      <c r="F97" s="134">
        <f>'Scores and stats'!QV97*$F$4</f>
        <v>0</v>
      </c>
      <c r="G97" s="134">
        <f>'Scores and stats'!QW97*$G$4</f>
        <v>0</v>
      </c>
      <c r="H97" s="134">
        <f t="shared" si="8"/>
        <v>0</v>
      </c>
      <c r="I97" s="134">
        <f>'Appearances &amp; Xmas Dinner'!C97</f>
        <v>0</v>
      </c>
      <c r="J97" s="134">
        <f t="shared" si="9"/>
        <v>0</v>
      </c>
      <c r="K97" s="134">
        <f>'Scores and stats'!RK97</f>
        <v>0</v>
      </c>
      <c r="M97" s="176">
        <v>23</v>
      </c>
      <c r="N97" s="177">
        <v>0</v>
      </c>
    </row>
    <row r="98" spans="2:14" x14ac:dyDescent="0.2">
      <c r="B98" s="132">
        <f>'Name List'!B98</f>
        <v>24</v>
      </c>
      <c r="C98" s="134">
        <f t="shared" si="7"/>
        <v>0</v>
      </c>
      <c r="D98" s="134">
        <f>'Scores and stats'!QT98*$D$4</f>
        <v>0</v>
      </c>
      <c r="E98" s="134">
        <f>'Scores and stats'!QU98*$E$4</f>
        <v>0</v>
      </c>
      <c r="F98" s="134">
        <f>'Scores and stats'!QV98*$F$4</f>
        <v>0</v>
      </c>
      <c r="G98" s="134">
        <f>'Scores and stats'!QW98*$G$4</f>
        <v>0</v>
      </c>
      <c r="H98" s="134">
        <f t="shared" si="8"/>
        <v>0</v>
      </c>
      <c r="I98" s="134">
        <f>'Appearances &amp; Xmas Dinner'!C98</f>
        <v>0</v>
      </c>
      <c r="J98" s="134">
        <f t="shared" si="9"/>
        <v>0</v>
      </c>
      <c r="K98" s="134">
        <f>'Scores and stats'!RK98</f>
        <v>0</v>
      </c>
      <c r="M98" s="176">
        <v>24</v>
      </c>
      <c r="N98" s="177">
        <v>0</v>
      </c>
    </row>
    <row r="99" spans="2:14" x14ac:dyDescent="0.2">
      <c r="B99" s="132">
        <f>'Name List'!B99</f>
        <v>25</v>
      </c>
      <c r="C99" s="134">
        <f t="shared" si="7"/>
        <v>0</v>
      </c>
      <c r="D99" s="134">
        <f>'Scores and stats'!QT99*$D$4</f>
        <v>0</v>
      </c>
      <c r="E99" s="134">
        <f>'Scores and stats'!QU99*$E$4</f>
        <v>0</v>
      </c>
      <c r="F99" s="134">
        <f>'Scores and stats'!QV99*$F$4</f>
        <v>0</v>
      </c>
      <c r="G99" s="134">
        <f>'Scores and stats'!QW99*$G$4</f>
        <v>0</v>
      </c>
      <c r="H99" s="134">
        <f t="shared" si="8"/>
        <v>0</v>
      </c>
      <c r="I99" s="134">
        <f>'Appearances &amp; Xmas Dinner'!C99</f>
        <v>0</v>
      </c>
      <c r="J99" s="134">
        <f t="shared" si="9"/>
        <v>0</v>
      </c>
      <c r="K99" s="134">
        <f>'Scores and stats'!RK99</f>
        <v>0</v>
      </c>
      <c r="M99" s="176">
        <v>25</v>
      </c>
      <c r="N99" s="177">
        <v>0</v>
      </c>
    </row>
    <row r="100" spans="2:14" x14ac:dyDescent="0.2">
      <c r="B100" s="132">
        <f>'Name List'!B100</f>
        <v>26</v>
      </c>
      <c r="C100" s="134">
        <f t="shared" si="7"/>
        <v>0</v>
      </c>
      <c r="D100" s="134">
        <f>'Scores and stats'!QT100*$D$4</f>
        <v>0</v>
      </c>
      <c r="E100" s="134">
        <f>'Scores and stats'!QU100*$E$4</f>
        <v>0</v>
      </c>
      <c r="F100" s="134">
        <f>'Scores and stats'!QV100*$F$4</f>
        <v>0</v>
      </c>
      <c r="G100" s="134">
        <f>'Scores and stats'!QW100*$G$4</f>
        <v>0</v>
      </c>
      <c r="H100" s="134">
        <f t="shared" si="8"/>
        <v>0</v>
      </c>
      <c r="I100" s="134">
        <f>'Appearances &amp; Xmas Dinner'!C100</f>
        <v>0</v>
      </c>
      <c r="J100" s="134">
        <f t="shared" si="9"/>
        <v>0</v>
      </c>
      <c r="K100" s="134">
        <f>'Scores and stats'!RK100</f>
        <v>0</v>
      </c>
      <c r="M100" s="176">
        <v>26</v>
      </c>
      <c r="N100" s="177">
        <v>0</v>
      </c>
    </row>
    <row r="101" spans="2:14" x14ac:dyDescent="0.2">
      <c r="B101" s="132">
        <f>'Name List'!B101</f>
        <v>27</v>
      </c>
      <c r="C101" s="134">
        <f t="shared" si="7"/>
        <v>0</v>
      </c>
      <c r="D101" s="134">
        <f>'Scores and stats'!QT101*$D$4</f>
        <v>0</v>
      </c>
      <c r="E101" s="134">
        <f>'Scores and stats'!QU101*$E$4</f>
        <v>0</v>
      </c>
      <c r="F101" s="134">
        <f>'Scores and stats'!QV101*$F$4</f>
        <v>0</v>
      </c>
      <c r="G101" s="134">
        <f>'Scores and stats'!QW101*$G$4</f>
        <v>0</v>
      </c>
      <c r="H101" s="134">
        <f t="shared" si="8"/>
        <v>0</v>
      </c>
      <c r="I101" s="134">
        <f>'Appearances &amp; Xmas Dinner'!C101</f>
        <v>0</v>
      </c>
      <c r="J101" s="134">
        <f t="shared" si="9"/>
        <v>0</v>
      </c>
      <c r="K101" s="134">
        <f>'Scores and stats'!RK101</f>
        <v>0</v>
      </c>
      <c r="M101" s="176">
        <v>27</v>
      </c>
      <c r="N101" s="177">
        <v>0</v>
      </c>
    </row>
    <row r="102" spans="2:14" x14ac:dyDescent="0.2">
      <c r="B102" s="132">
        <f>'Name List'!B102</f>
        <v>28</v>
      </c>
      <c r="C102" s="134">
        <f t="shared" si="7"/>
        <v>0</v>
      </c>
      <c r="D102" s="134">
        <f>'Scores and stats'!QT102*$D$4</f>
        <v>0</v>
      </c>
      <c r="E102" s="134">
        <f>'Scores and stats'!QU102*$E$4</f>
        <v>0</v>
      </c>
      <c r="F102" s="134">
        <f>'Scores and stats'!QV102*$F$4</f>
        <v>0</v>
      </c>
      <c r="G102" s="134">
        <f>'Scores and stats'!QW102*$G$4</f>
        <v>0</v>
      </c>
      <c r="H102" s="134">
        <f t="shared" si="8"/>
        <v>0</v>
      </c>
      <c r="I102" s="134">
        <f>'Appearances &amp; Xmas Dinner'!C102</f>
        <v>0</v>
      </c>
      <c r="J102" s="134">
        <f t="shared" si="9"/>
        <v>0</v>
      </c>
      <c r="K102" s="134">
        <f>'Scores and stats'!RK102</f>
        <v>0</v>
      </c>
      <c r="M102" s="176">
        <v>28</v>
      </c>
      <c r="N102" s="177">
        <v>0</v>
      </c>
    </row>
    <row r="103" spans="2:14" x14ac:dyDescent="0.2">
      <c r="B103" s="132">
        <f>'Name List'!B103</f>
        <v>29</v>
      </c>
      <c r="C103" s="134">
        <f t="shared" si="7"/>
        <v>0</v>
      </c>
      <c r="D103" s="134">
        <f>'Scores and stats'!QT103*$D$4</f>
        <v>0</v>
      </c>
      <c r="E103" s="134">
        <f>'Scores and stats'!QU103*$E$4</f>
        <v>0</v>
      </c>
      <c r="F103" s="134">
        <f>'Scores and stats'!QV103*$F$4</f>
        <v>0</v>
      </c>
      <c r="G103" s="134">
        <f>'Scores and stats'!QW103*$G$4</f>
        <v>0</v>
      </c>
      <c r="H103" s="134">
        <f t="shared" si="8"/>
        <v>0</v>
      </c>
      <c r="I103" s="134">
        <f>'Appearances &amp; Xmas Dinner'!C103</f>
        <v>0</v>
      </c>
      <c r="J103" s="134">
        <f t="shared" si="9"/>
        <v>0</v>
      </c>
      <c r="K103" s="134">
        <f>'Scores and stats'!RK103</f>
        <v>0</v>
      </c>
      <c r="M103" s="176">
        <v>29</v>
      </c>
      <c r="N103" s="177">
        <v>0</v>
      </c>
    </row>
    <row r="104" spans="2:14" x14ac:dyDescent="0.2">
      <c r="B104" s="132">
        <f>'Name List'!B104</f>
        <v>30</v>
      </c>
      <c r="C104" s="134">
        <f t="shared" si="7"/>
        <v>0</v>
      </c>
      <c r="D104" s="134">
        <f>'Scores and stats'!QT104*$D$4</f>
        <v>0</v>
      </c>
      <c r="E104" s="134">
        <f>'Scores and stats'!QU104*$E$4</f>
        <v>0</v>
      </c>
      <c r="F104" s="134">
        <f>'Scores and stats'!QV104*$F$4</f>
        <v>0</v>
      </c>
      <c r="G104" s="134">
        <f>'Scores and stats'!QW104*$G$4</f>
        <v>0</v>
      </c>
      <c r="H104" s="134">
        <f t="shared" si="8"/>
        <v>0</v>
      </c>
      <c r="I104" s="134">
        <f>'Appearances &amp; Xmas Dinner'!C104</f>
        <v>0</v>
      </c>
      <c r="J104" s="134">
        <f t="shared" si="9"/>
        <v>0</v>
      </c>
      <c r="K104" s="134">
        <f>'Scores and stats'!RK104</f>
        <v>0</v>
      </c>
      <c r="M104" s="176">
        <v>30</v>
      </c>
      <c r="N104" s="177">
        <v>0</v>
      </c>
    </row>
    <row r="105" spans="2:14" x14ac:dyDescent="0.2">
      <c r="B105" s="132">
        <f>'Name List'!B105</f>
        <v>31</v>
      </c>
      <c r="C105" s="134">
        <f t="shared" si="7"/>
        <v>0</v>
      </c>
      <c r="D105" s="134">
        <f>'Scores and stats'!QT105*$D$4</f>
        <v>0</v>
      </c>
      <c r="E105" s="134">
        <f>'Scores and stats'!QU105*$E$4</f>
        <v>0</v>
      </c>
      <c r="F105" s="134">
        <f>'Scores and stats'!QV105*$F$4</f>
        <v>0</v>
      </c>
      <c r="G105" s="134">
        <f>'Scores and stats'!QW105*$G$4</f>
        <v>0</v>
      </c>
      <c r="H105" s="134">
        <f t="shared" si="8"/>
        <v>0</v>
      </c>
      <c r="I105" s="134">
        <f>'Appearances &amp; Xmas Dinner'!C105</f>
        <v>0</v>
      </c>
      <c r="J105" s="134">
        <f t="shared" si="9"/>
        <v>0</v>
      </c>
      <c r="K105" s="134">
        <f>'Scores and stats'!RK105</f>
        <v>0</v>
      </c>
      <c r="M105" s="178">
        <v>31</v>
      </c>
      <c r="N105" s="179">
        <v>0</v>
      </c>
    </row>
    <row r="106" spans="2:14" x14ac:dyDescent="0.2">
      <c r="B106" s="132"/>
    </row>
  </sheetData>
  <mergeCells count="4">
    <mergeCell ref="M3:N3"/>
    <mergeCell ref="K3:K4"/>
    <mergeCell ref="J3:J4"/>
    <mergeCell ref="C3:C4"/>
  </mergeCells>
  <pageMargins left="0.25" right="0.25" top="0.75" bottom="0.75" header="0.3" footer="0.3"/>
  <pageSetup paperSize="9" orientation="portrait" r:id="rId1"/>
  <headerFooter>
    <oddFooter>&amp;C&amp;1#&amp;"Calibri"&amp;10&amp;K000000PUBLIC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0B675-04A6-4C6A-A98F-B9601E75919F}">
  <sheetPr>
    <tabColor theme="0" tint="-0.249977111117893"/>
  </sheetPr>
  <dimension ref="B3:F105"/>
  <sheetViews>
    <sheetView workbookViewId="0">
      <selection activeCell="G81" sqref="G81"/>
    </sheetView>
  </sheetViews>
  <sheetFormatPr defaultColWidth="9.33203125" defaultRowHeight="11.25" x14ac:dyDescent="0.15"/>
  <cols>
    <col min="1" max="1" width="9.33203125" style="57"/>
    <col min="2" max="2" width="23.1640625" style="57" customWidth="1"/>
    <col min="3" max="3" width="17.6640625" style="58" customWidth="1"/>
    <col min="4" max="4" width="3.5" style="57" customWidth="1"/>
    <col min="5" max="5" width="25" style="59" customWidth="1"/>
    <col min="6" max="6" width="9.33203125" style="59"/>
    <col min="7" max="16384" width="9.33203125" style="57"/>
  </cols>
  <sheetData>
    <row r="3" spans="2:6" x14ac:dyDescent="0.15">
      <c r="C3" s="58" t="s">
        <v>126</v>
      </c>
      <c r="D3" s="58"/>
      <c r="E3" s="720" t="s">
        <v>131</v>
      </c>
      <c r="F3" s="721"/>
    </row>
    <row r="4" spans="2:6" x14ac:dyDescent="0.15">
      <c r="E4" s="182"/>
      <c r="F4" s="183"/>
    </row>
    <row r="5" spans="2:6" x14ac:dyDescent="0.15">
      <c r="E5" s="182"/>
      <c r="F5" s="183"/>
    </row>
    <row r="6" spans="2:6" x14ac:dyDescent="0.15">
      <c r="B6" s="57" t="str">
        <f>'Name List'!B6</f>
        <v>Stuart Anderson</v>
      </c>
      <c r="C6" s="60">
        <f>'Scores and stats'!QT6</f>
        <v>0</v>
      </c>
      <c r="D6" s="61"/>
      <c r="E6" s="182" t="str" cm="1">
        <f t="array" ref="E6:F105">_xlfn._xlws.SORT(B6:C105,2,-1)</f>
        <v>James Dunn</v>
      </c>
      <c r="F6" s="183">
        <v>1</v>
      </c>
    </row>
    <row r="7" spans="2:6" x14ac:dyDescent="0.15">
      <c r="B7" s="57" t="str">
        <f>'Name List'!B7</f>
        <v>Max Ball</v>
      </c>
      <c r="C7" s="60">
        <f>'Scores and stats'!QT7</f>
        <v>0</v>
      </c>
      <c r="E7" s="182" t="str">
        <v>Jordan Hall</v>
      </c>
      <c r="F7" s="183">
        <v>1</v>
      </c>
    </row>
    <row r="8" spans="2:6" x14ac:dyDescent="0.15">
      <c r="B8" s="57" t="str">
        <f>'Name List'!B8</f>
        <v>Harley Bishop</v>
      </c>
      <c r="C8" s="60">
        <f>'Scores and stats'!QT8</f>
        <v>0</v>
      </c>
      <c r="E8" s="182" t="str">
        <v>Justin Hunt</v>
      </c>
      <c r="F8" s="183">
        <v>1</v>
      </c>
    </row>
    <row r="9" spans="2:6" x14ac:dyDescent="0.15">
      <c r="B9" s="57" t="str">
        <f>'Name List'!B9</f>
        <v>Chris Burroughs</v>
      </c>
      <c r="C9" s="60">
        <f>'Scores and stats'!QT9</f>
        <v>0</v>
      </c>
      <c r="E9" s="182" t="str">
        <v>Edward Money</v>
      </c>
      <c r="F9" s="183">
        <v>1</v>
      </c>
    </row>
    <row r="10" spans="2:6" x14ac:dyDescent="0.15">
      <c r="B10" s="57" t="str">
        <f>'Name List'!B10</f>
        <v>George Burton</v>
      </c>
      <c r="C10" s="60">
        <f>'Scores and stats'!QT10</f>
        <v>0</v>
      </c>
      <c r="E10" s="182" t="str">
        <v>Chris Smith</v>
      </c>
      <c r="F10" s="183">
        <v>1</v>
      </c>
    </row>
    <row r="11" spans="2:6" x14ac:dyDescent="0.15">
      <c r="B11" s="57" t="str">
        <f>'Name List'!B11</f>
        <v>Tom Burton</v>
      </c>
      <c r="C11" s="60">
        <f>'Scores and stats'!QT11</f>
        <v>0</v>
      </c>
      <c r="E11" s="182" t="str">
        <v>Stuart Anderson</v>
      </c>
      <c r="F11" s="183">
        <v>0</v>
      </c>
    </row>
    <row r="12" spans="2:6" x14ac:dyDescent="0.15">
      <c r="B12" s="57" t="str">
        <f>'Name List'!B12</f>
        <v>Mike Chubb</v>
      </c>
      <c r="C12" s="60">
        <f>'Scores and stats'!QT12</f>
        <v>0</v>
      </c>
      <c r="E12" s="182" t="str">
        <v>Max Ball</v>
      </c>
      <c r="F12" s="183">
        <v>0</v>
      </c>
    </row>
    <row r="13" spans="2:6" x14ac:dyDescent="0.15">
      <c r="B13" s="57" t="str">
        <f>'Name List'!B13</f>
        <v>George Clarke</v>
      </c>
      <c r="C13" s="60">
        <f>'Scores and stats'!QT13</f>
        <v>0</v>
      </c>
      <c r="E13" s="182" t="str">
        <v>Harley Bishop</v>
      </c>
      <c r="F13" s="183">
        <v>0</v>
      </c>
    </row>
    <row r="14" spans="2:6" x14ac:dyDescent="0.15">
      <c r="B14" s="57" t="str">
        <f>'Name List'!B14</f>
        <v>Paul Clarke</v>
      </c>
      <c r="C14" s="60">
        <f>'Scores and stats'!QT14</f>
        <v>0</v>
      </c>
      <c r="E14" s="182" t="str">
        <v>Chris Burroughs</v>
      </c>
      <c r="F14" s="183">
        <v>0</v>
      </c>
    </row>
    <row r="15" spans="2:6" x14ac:dyDescent="0.15">
      <c r="B15" s="57" t="str">
        <f>'Name List'!B15</f>
        <v>Martin Coomber</v>
      </c>
      <c r="C15" s="60">
        <f>'Scores and stats'!QT15</f>
        <v>0</v>
      </c>
      <c r="E15" s="182" t="str">
        <v>George Burton</v>
      </c>
      <c r="F15" s="183">
        <v>0</v>
      </c>
    </row>
    <row r="16" spans="2:6" x14ac:dyDescent="0.15">
      <c r="B16" s="57" t="str">
        <f>'Name List'!B16</f>
        <v>Dominic Coughlin</v>
      </c>
      <c r="C16" s="60">
        <f>'Scores and stats'!QT16</f>
        <v>0</v>
      </c>
      <c r="E16" s="182" t="str">
        <v>Tom Burton</v>
      </c>
      <c r="F16" s="183">
        <v>0</v>
      </c>
    </row>
    <row r="17" spans="2:6" x14ac:dyDescent="0.15">
      <c r="B17" s="57" t="str">
        <f>'Name List'!B17</f>
        <v>Gareth Davies</v>
      </c>
      <c r="C17" s="60">
        <f>'Scores and stats'!QT17</f>
        <v>0</v>
      </c>
      <c r="E17" s="182" t="str">
        <v>Mike Chubb</v>
      </c>
      <c r="F17" s="183">
        <v>0</v>
      </c>
    </row>
    <row r="18" spans="2:6" x14ac:dyDescent="0.15">
      <c r="B18" s="57" t="str">
        <f>'Name List'!B18</f>
        <v>Peter Donovan</v>
      </c>
      <c r="C18" s="60">
        <f>'Scores and stats'!QT18</f>
        <v>0</v>
      </c>
      <c r="E18" s="182" t="str">
        <v>George Clarke</v>
      </c>
      <c r="F18" s="183">
        <v>0</v>
      </c>
    </row>
    <row r="19" spans="2:6" x14ac:dyDescent="0.15">
      <c r="B19" s="57" t="str">
        <f>'Name List'!B19</f>
        <v>James Dunn</v>
      </c>
      <c r="C19" s="60">
        <f>'Scores and stats'!QT19</f>
        <v>1</v>
      </c>
      <c r="E19" s="182" t="str">
        <v>Paul Clarke</v>
      </c>
      <c r="F19" s="183">
        <v>0</v>
      </c>
    </row>
    <row r="20" spans="2:6" x14ac:dyDescent="0.15">
      <c r="B20" s="57" t="str">
        <f>'Name List'!B20</f>
        <v>Gordon Fielding</v>
      </c>
      <c r="C20" s="60">
        <f>'Scores and stats'!QT20</f>
        <v>0</v>
      </c>
      <c r="E20" s="182" t="str">
        <v>Martin Coomber</v>
      </c>
      <c r="F20" s="183">
        <v>0</v>
      </c>
    </row>
    <row r="21" spans="2:6" x14ac:dyDescent="0.15">
      <c r="B21" s="57" t="str">
        <f>'Name List'!B21</f>
        <v>Paul Fitzgerald</v>
      </c>
      <c r="C21" s="60">
        <f>'Scores and stats'!QT21</f>
        <v>0</v>
      </c>
      <c r="E21" s="182" t="str">
        <v>Dominic Coughlin</v>
      </c>
      <c r="F21" s="183">
        <v>0</v>
      </c>
    </row>
    <row r="22" spans="2:6" x14ac:dyDescent="0.15">
      <c r="B22" s="57" t="str">
        <f>'Name List'!B22</f>
        <v>Ben Fleet</v>
      </c>
      <c r="C22" s="60">
        <f>'Scores and stats'!QT22</f>
        <v>0</v>
      </c>
      <c r="D22" s="61"/>
      <c r="E22" s="182" t="str">
        <v>Gareth Davies</v>
      </c>
      <c r="F22" s="183">
        <v>0</v>
      </c>
    </row>
    <row r="23" spans="2:6" x14ac:dyDescent="0.15">
      <c r="B23" s="57" t="str">
        <f>'Name List'!B23</f>
        <v>Mike Forrest</v>
      </c>
      <c r="C23" s="60">
        <f>'Scores and stats'!QT23</f>
        <v>0</v>
      </c>
      <c r="E23" s="182" t="str">
        <v>Peter Donovan</v>
      </c>
      <c r="F23" s="183">
        <v>0</v>
      </c>
    </row>
    <row r="24" spans="2:6" x14ac:dyDescent="0.15">
      <c r="B24" s="57" t="str">
        <f>'Name List'!B24</f>
        <v>Tony Forsyth-James</v>
      </c>
      <c r="C24" s="60">
        <f>'Scores and stats'!QT24</f>
        <v>0</v>
      </c>
      <c r="E24" s="182" t="str">
        <v>Gordon Fielding</v>
      </c>
      <c r="F24" s="183">
        <v>0</v>
      </c>
    </row>
    <row r="25" spans="2:6" x14ac:dyDescent="0.15">
      <c r="B25" s="57" t="str">
        <f>'Name List'!B25</f>
        <v>Archie Fraser</v>
      </c>
      <c r="C25" s="60">
        <f>'Scores and stats'!QT25</f>
        <v>0</v>
      </c>
      <c r="E25" s="182" t="str">
        <v>Paul Fitzgerald</v>
      </c>
      <c r="F25" s="183">
        <v>0</v>
      </c>
    </row>
    <row r="26" spans="2:6" x14ac:dyDescent="0.15">
      <c r="B26" s="57" t="str">
        <f>'Name List'!B26</f>
        <v>Ross Fraser</v>
      </c>
      <c r="C26" s="60">
        <f>'Scores and stats'!QT26</f>
        <v>0</v>
      </c>
      <c r="E26" s="182" t="str">
        <v>Ben Fleet</v>
      </c>
      <c r="F26" s="183">
        <v>0</v>
      </c>
    </row>
    <row r="27" spans="2:6" x14ac:dyDescent="0.15">
      <c r="B27" s="57" t="str">
        <f>'Name List'!B27</f>
        <v>Nick Garner</v>
      </c>
      <c r="C27" s="60">
        <f>'Scores and stats'!QT27</f>
        <v>0</v>
      </c>
      <c r="D27" s="61"/>
      <c r="E27" s="182" t="str">
        <v>Mike Forrest</v>
      </c>
      <c r="F27" s="183">
        <v>0</v>
      </c>
    </row>
    <row r="28" spans="2:6" x14ac:dyDescent="0.15">
      <c r="B28" s="57" t="str">
        <f>'Name List'!B28</f>
        <v>Stuart Gay</v>
      </c>
      <c r="C28" s="60">
        <f>'Scores and stats'!QT28</f>
        <v>0</v>
      </c>
      <c r="E28" s="182" t="str">
        <v>Tony Forsyth-James</v>
      </c>
      <c r="F28" s="183">
        <v>0</v>
      </c>
    </row>
    <row r="29" spans="2:6" x14ac:dyDescent="0.15">
      <c r="B29" s="57" t="str">
        <f>'Name List'!B29</f>
        <v>Jordan Hall</v>
      </c>
      <c r="C29" s="60">
        <f>'Scores and stats'!QT29</f>
        <v>1</v>
      </c>
      <c r="D29" s="61"/>
      <c r="E29" s="182" t="str">
        <v>Archie Fraser</v>
      </c>
      <c r="F29" s="183">
        <v>0</v>
      </c>
    </row>
    <row r="30" spans="2:6" x14ac:dyDescent="0.15">
      <c r="B30" s="57" t="str">
        <f>'Name List'!B30</f>
        <v>Gary Hall</v>
      </c>
      <c r="C30" s="60">
        <f>'Scores and stats'!QT30</f>
        <v>0</v>
      </c>
      <c r="E30" s="182" t="str">
        <v>Ross Fraser</v>
      </c>
      <c r="F30" s="183">
        <v>0</v>
      </c>
    </row>
    <row r="31" spans="2:6" x14ac:dyDescent="0.15">
      <c r="B31" s="57" t="str">
        <f>'Name List'!B31</f>
        <v>Anthony Harris</v>
      </c>
      <c r="C31" s="60">
        <f>'Scores and stats'!QT31</f>
        <v>0</v>
      </c>
      <c r="E31" s="182" t="str">
        <v>Nick Garner</v>
      </c>
      <c r="F31" s="183">
        <v>0</v>
      </c>
    </row>
    <row r="32" spans="2:6" x14ac:dyDescent="0.15">
      <c r="B32" s="57" t="str">
        <f>'Name List'!B32</f>
        <v>Neil Hart</v>
      </c>
      <c r="C32" s="60">
        <f>'Scores and stats'!QT32</f>
        <v>0</v>
      </c>
      <c r="E32" s="182" t="str">
        <v>Stuart Gay</v>
      </c>
      <c r="F32" s="183">
        <v>0</v>
      </c>
    </row>
    <row r="33" spans="2:6" x14ac:dyDescent="0.15">
      <c r="B33" s="57" t="str">
        <f>'Name List'!B33</f>
        <v>Tony Hearson</v>
      </c>
      <c r="C33" s="60">
        <f>'Scores and stats'!QT33</f>
        <v>0</v>
      </c>
      <c r="E33" s="182" t="str">
        <v>Gary Hall</v>
      </c>
      <c r="F33" s="183">
        <v>0</v>
      </c>
    </row>
    <row r="34" spans="2:6" x14ac:dyDescent="0.15">
      <c r="B34" s="57" t="str">
        <f>'Name List'!B34</f>
        <v>David Hilton</v>
      </c>
      <c r="C34" s="60">
        <f>'Scores and stats'!QT34</f>
        <v>0</v>
      </c>
      <c r="E34" s="182" t="str">
        <v>Anthony Harris</v>
      </c>
      <c r="F34" s="183">
        <v>0</v>
      </c>
    </row>
    <row r="35" spans="2:6" x14ac:dyDescent="0.15">
      <c r="B35" s="57" t="str">
        <f>'Name List'!B35</f>
        <v>Eoghan Hilton</v>
      </c>
      <c r="C35" s="60">
        <f>'Scores and stats'!QT35</f>
        <v>0</v>
      </c>
      <c r="E35" s="182" t="str">
        <v>Neil Hart</v>
      </c>
      <c r="F35" s="183">
        <v>0</v>
      </c>
    </row>
    <row r="36" spans="2:6" x14ac:dyDescent="0.15">
      <c r="B36" s="57" t="str">
        <f>'Name List'!B36</f>
        <v>Martin Holder</v>
      </c>
      <c r="C36" s="60">
        <f>'Scores and stats'!QT36</f>
        <v>0</v>
      </c>
      <c r="E36" s="182" t="str">
        <v>Tony Hearson</v>
      </c>
      <c r="F36" s="183">
        <v>0</v>
      </c>
    </row>
    <row r="37" spans="2:6" x14ac:dyDescent="0.15">
      <c r="B37" s="57" t="str">
        <f>'Name List'!B37</f>
        <v>Justin Hunt</v>
      </c>
      <c r="C37" s="60">
        <f>'Scores and stats'!QT37</f>
        <v>1</v>
      </c>
      <c r="E37" s="182" t="str">
        <v>David Hilton</v>
      </c>
      <c r="F37" s="183">
        <v>0</v>
      </c>
    </row>
    <row r="38" spans="2:6" x14ac:dyDescent="0.15">
      <c r="B38" s="57" t="str">
        <f>'Name List'!B38</f>
        <v>Mark Hutchinson</v>
      </c>
      <c r="C38" s="60">
        <f>'Scores and stats'!QT38</f>
        <v>0</v>
      </c>
      <c r="E38" s="182" t="str">
        <v>Eoghan Hilton</v>
      </c>
      <c r="F38" s="183">
        <v>0</v>
      </c>
    </row>
    <row r="39" spans="2:6" x14ac:dyDescent="0.15">
      <c r="B39" s="57" t="str">
        <f>'Name List'!B39</f>
        <v>Andy Johnson</v>
      </c>
      <c r="C39" s="60">
        <f>'Scores and stats'!QT39</f>
        <v>0</v>
      </c>
      <c r="E39" s="182" t="str">
        <v>Martin Holder</v>
      </c>
      <c r="F39" s="183">
        <v>0</v>
      </c>
    </row>
    <row r="40" spans="2:6" x14ac:dyDescent="0.15">
      <c r="B40" s="57" t="str">
        <f>'Name List'!B40</f>
        <v>Oli Lloyd</v>
      </c>
      <c r="C40" s="60">
        <f>'Scores and stats'!QT40</f>
        <v>0</v>
      </c>
      <c r="E40" s="182" t="str">
        <v>Mark Hutchinson</v>
      </c>
      <c r="F40" s="183">
        <v>0</v>
      </c>
    </row>
    <row r="41" spans="2:6" x14ac:dyDescent="0.15">
      <c r="B41" s="57" t="str">
        <f>'Name List'!B41</f>
        <v>Andy Lucey</v>
      </c>
      <c r="C41" s="60">
        <f>'Scores and stats'!QT41</f>
        <v>0</v>
      </c>
      <c r="E41" s="182" t="str">
        <v>Andy Johnson</v>
      </c>
      <c r="F41" s="183">
        <v>0</v>
      </c>
    </row>
    <row r="42" spans="2:6" x14ac:dyDescent="0.15">
      <c r="B42" s="57" t="str">
        <f>'Name List'!B42</f>
        <v>Paul Martin</v>
      </c>
      <c r="C42" s="60">
        <f>'Scores and stats'!QT42</f>
        <v>0</v>
      </c>
      <c r="D42" s="61"/>
      <c r="E42" s="182" t="str">
        <v>Oli Lloyd</v>
      </c>
      <c r="F42" s="183">
        <v>0</v>
      </c>
    </row>
    <row r="43" spans="2:6" x14ac:dyDescent="0.15">
      <c r="B43" s="57" t="str">
        <f>'Name List'!B43</f>
        <v>Edward Money</v>
      </c>
      <c r="C43" s="60">
        <f>'Scores and stats'!QT43</f>
        <v>1</v>
      </c>
      <c r="D43" s="61"/>
      <c r="E43" s="182" t="str">
        <v>Andy Lucey</v>
      </c>
      <c r="F43" s="183">
        <v>0</v>
      </c>
    </row>
    <row r="44" spans="2:6" x14ac:dyDescent="0.15">
      <c r="B44" s="57" t="str">
        <f>'Name List'!B44</f>
        <v>Dickie Moxham</v>
      </c>
      <c r="C44" s="60">
        <f>'Scores and stats'!QT44</f>
        <v>0</v>
      </c>
      <c r="E44" s="182" t="str">
        <v>Paul Martin</v>
      </c>
      <c r="F44" s="183">
        <v>0</v>
      </c>
    </row>
    <row r="45" spans="2:6" x14ac:dyDescent="0.15">
      <c r="B45" s="57" t="str">
        <f>'Name List'!B45</f>
        <v>Dave Randall</v>
      </c>
      <c r="C45" s="60">
        <f>'Scores and stats'!QT45</f>
        <v>0</v>
      </c>
      <c r="E45" s="182" t="str">
        <v>Dickie Moxham</v>
      </c>
      <c r="F45" s="183">
        <v>0</v>
      </c>
    </row>
    <row r="46" spans="2:6" x14ac:dyDescent="0.15">
      <c r="B46" s="57" t="str">
        <f>'Name List'!B46</f>
        <v>Arron Rutherford</v>
      </c>
      <c r="C46" s="60">
        <f>'Scores and stats'!QT46</f>
        <v>0</v>
      </c>
      <c r="E46" s="182" t="str">
        <v>Dave Randall</v>
      </c>
      <c r="F46" s="183">
        <v>0</v>
      </c>
    </row>
    <row r="47" spans="2:6" x14ac:dyDescent="0.15">
      <c r="B47" s="57" t="str">
        <f>'Name List'!B47</f>
        <v>Terry Shoker</v>
      </c>
      <c r="C47" s="60">
        <f>'Scores and stats'!QT47</f>
        <v>0</v>
      </c>
      <c r="E47" s="182" t="str">
        <v>Arron Rutherford</v>
      </c>
      <c r="F47" s="183">
        <v>0</v>
      </c>
    </row>
    <row r="48" spans="2:6" x14ac:dyDescent="0.15">
      <c r="B48" s="57" t="str">
        <f>'Name List'!B48</f>
        <v>Chris Smith</v>
      </c>
      <c r="C48" s="60">
        <f>'Scores and stats'!QT48</f>
        <v>1</v>
      </c>
      <c r="D48" s="61"/>
      <c r="E48" s="182" t="str">
        <v>Terry Shoker</v>
      </c>
      <c r="F48" s="183">
        <v>0</v>
      </c>
    </row>
    <row r="49" spans="2:6" x14ac:dyDescent="0.15">
      <c r="B49" s="57" t="str">
        <f>'Name List'!B49</f>
        <v>Justin Spencer</v>
      </c>
      <c r="C49" s="60">
        <f>'Scores and stats'!QT49</f>
        <v>0</v>
      </c>
      <c r="E49" s="182" t="str">
        <v>Justin Spencer</v>
      </c>
      <c r="F49" s="183">
        <v>0</v>
      </c>
    </row>
    <row r="50" spans="2:6" x14ac:dyDescent="0.15">
      <c r="B50" s="57" t="str">
        <f>'Name List'!B50</f>
        <v>Jake Sprosen</v>
      </c>
      <c r="C50" s="60">
        <f>'Scores and stats'!QT50</f>
        <v>0</v>
      </c>
      <c r="E50" s="182" t="str">
        <v>Jake Sprosen</v>
      </c>
      <c r="F50" s="183">
        <v>0</v>
      </c>
    </row>
    <row r="51" spans="2:6" x14ac:dyDescent="0.15">
      <c r="B51" s="57" t="str">
        <f>'Name List'!B51</f>
        <v>Tosh Sprosen</v>
      </c>
      <c r="C51" s="60">
        <f>'Scores and stats'!QT51</f>
        <v>0</v>
      </c>
      <c r="E51" s="182" t="str">
        <v>Tosh Sprosen</v>
      </c>
      <c r="F51" s="183">
        <v>0</v>
      </c>
    </row>
    <row r="52" spans="2:6" x14ac:dyDescent="0.15">
      <c r="B52" s="57" t="str">
        <f>'Name List'!B52</f>
        <v>Bill Sutton</v>
      </c>
      <c r="C52" s="60">
        <f>'Scores and stats'!QT52</f>
        <v>0</v>
      </c>
      <c r="E52" s="182" t="str">
        <v>Bill Sutton</v>
      </c>
      <c r="F52" s="183">
        <v>0</v>
      </c>
    </row>
    <row r="53" spans="2:6" x14ac:dyDescent="0.15">
      <c r="B53" s="57" t="str">
        <f>'Name List'!B53</f>
        <v>Dan Thomas</v>
      </c>
      <c r="C53" s="60">
        <f>'Scores and stats'!QT53</f>
        <v>0</v>
      </c>
      <c r="E53" s="182" t="str">
        <v>Dan Thomas</v>
      </c>
      <c r="F53" s="183">
        <v>0</v>
      </c>
    </row>
    <row r="54" spans="2:6" x14ac:dyDescent="0.15">
      <c r="B54" s="57" t="str">
        <f>'Name List'!B54</f>
        <v>Andy Thompson</v>
      </c>
      <c r="C54" s="60">
        <f>'Scores and stats'!QT54</f>
        <v>0</v>
      </c>
      <c r="E54" s="182" t="str">
        <v>Andy Thompson</v>
      </c>
      <c r="F54" s="183">
        <v>0</v>
      </c>
    </row>
    <row r="55" spans="2:6" x14ac:dyDescent="0.15">
      <c r="B55" s="57" t="str">
        <f>'Name List'!B55</f>
        <v>Rory Thompson</v>
      </c>
      <c r="C55" s="60">
        <f>'Scores and stats'!QT55</f>
        <v>0</v>
      </c>
      <c r="E55" s="182" t="str">
        <v>Rory Thompson</v>
      </c>
      <c r="F55" s="183">
        <v>0</v>
      </c>
    </row>
    <row r="56" spans="2:6" x14ac:dyDescent="0.15">
      <c r="B56" s="57" t="str">
        <f>'Name List'!B56</f>
        <v>Sonny Thompson</v>
      </c>
      <c r="C56" s="60">
        <f>'Scores and stats'!QT56</f>
        <v>0</v>
      </c>
      <c r="E56" s="182" t="str">
        <v>Sonny Thompson</v>
      </c>
      <c r="F56" s="183">
        <v>0</v>
      </c>
    </row>
    <row r="57" spans="2:6" x14ac:dyDescent="0.15">
      <c r="B57" s="57" t="str">
        <f>'Name List'!B57</f>
        <v>Kevin Tribley</v>
      </c>
      <c r="C57" s="60">
        <f>'Scores and stats'!QT57</f>
        <v>0</v>
      </c>
      <c r="E57" s="182" t="str">
        <v>Kevin Tribley</v>
      </c>
      <c r="F57" s="183">
        <v>0</v>
      </c>
    </row>
    <row r="58" spans="2:6" x14ac:dyDescent="0.15">
      <c r="B58" s="57" t="str">
        <f>'Name List'!B58</f>
        <v>Russell Turner</v>
      </c>
      <c r="C58" s="60">
        <f>'Scores and stats'!QT58</f>
        <v>0</v>
      </c>
      <c r="E58" s="182" t="str">
        <v>Russell Turner</v>
      </c>
      <c r="F58" s="183">
        <v>0</v>
      </c>
    </row>
    <row r="59" spans="2:6" x14ac:dyDescent="0.15">
      <c r="B59" s="57" t="str">
        <f>'Name List'!B59</f>
        <v>Peter Vallely</v>
      </c>
      <c r="C59" s="60">
        <f>'Scores and stats'!QT59</f>
        <v>0</v>
      </c>
      <c r="E59" s="182" t="str">
        <v>Peter Vallely</v>
      </c>
      <c r="F59" s="183">
        <v>0</v>
      </c>
    </row>
    <row r="60" spans="2:6" x14ac:dyDescent="0.15">
      <c r="B60" s="57" t="str">
        <f>'Name List'!B60</f>
        <v>Ryan Vaughan</v>
      </c>
      <c r="C60" s="60">
        <f>'Scores and stats'!QT60</f>
        <v>0</v>
      </c>
      <c r="E60" s="182" t="str">
        <v>Ryan Vaughan</v>
      </c>
      <c r="F60" s="183">
        <v>0</v>
      </c>
    </row>
    <row r="61" spans="2:6" x14ac:dyDescent="0.15">
      <c r="B61" s="57" t="str">
        <f>'Name List'!B61</f>
        <v>Jason Wale</v>
      </c>
      <c r="C61" s="60">
        <f>'Scores and stats'!QT61</f>
        <v>0</v>
      </c>
      <c r="E61" s="182" t="str">
        <v>Jason Wale</v>
      </c>
      <c r="F61" s="183">
        <v>0</v>
      </c>
    </row>
    <row r="62" spans="2:6" x14ac:dyDescent="0.15">
      <c r="B62" s="57" t="str">
        <f>'Name List'!B62</f>
        <v>Terry Walker</v>
      </c>
      <c r="C62" s="60">
        <f>'Scores and stats'!QT62</f>
        <v>0</v>
      </c>
      <c r="E62" s="182" t="str">
        <v>Terry Walker</v>
      </c>
      <c r="F62" s="183">
        <v>0</v>
      </c>
    </row>
    <row r="63" spans="2:6" x14ac:dyDescent="0.15">
      <c r="B63" s="57" t="str">
        <f>'Name List'!B63</f>
        <v>Finn Wheeler</v>
      </c>
      <c r="C63" s="60">
        <f>'Scores and stats'!QT63</f>
        <v>0</v>
      </c>
      <c r="E63" s="182" t="str">
        <v>Finn Wheeler</v>
      </c>
      <c r="F63" s="183">
        <v>0</v>
      </c>
    </row>
    <row r="64" spans="2:6" x14ac:dyDescent="0.15">
      <c r="B64" s="57" t="str">
        <f>'Name List'!B64</f>
        <v>Steve Wheeler</v>
      </c>
      <c r="C64" s="60">
        <f>'Scores and stats'!QT64</f>
        <v>0</v>
      </c>
      <c r="E64" s="182" t="str">
        <v>Steve Wheeler</v>
      </c>
      <c r="F64" s="183">
        <v>0</v>
      </c>
    </row>
    <row r="65" spans="2:6" x14ac:dyDescent="0.15">
      <c r="B65" s="57" t="str">
        <f>'Name List'!B65</f>
        <v>Brad Whitehead</v>
      </c>
      <c r="C65" s="60">
        <f>'Scores and stats'!QT65</f>
        <v>0</v>
      </c>
      <c r="E65" s="182" t="str">
        <v>Brad Whitehead</v>
      </c>
      <c r="F65" s="183">
        <v>0</v>
      </c>
    </row>
    <row r="66" spans="2:6" x14ac:dyDescent="0.15">
      <c r="B66" s="57" t="str">
        <f>'Name List'!B66</f>
        <v>Dave Woodget</v>
      </c>
      <c r="C66" s="60">
        <f>'Scores and stats'!QT66</f>
        <v>0</v>
      </c>
      <c r="E66" s="182" t="str">
        <v>Dave Woodget</v>
      </c>
      <c r="F66" s="183">
        <v>0</v>
      </c>
    </row>
    <row r="67" spans="2:6" x14ac:dyDescent="0.15">
      <c r="B67" s="57" t="str">
        <f>'Name List'!B67</f>
        <v>Jonathan Kanareck</v>
      </c>
      <c r="C67" s="60">
        <f>'Scores and stats'!QT67</f>
        <v>0</v>
      </c>
      <c r="E67" s="182" t="str">
        <v>Jonathan Kanareck</v>
      </c>
      <c r="F67" s="183">
        <v>0</v>
      </c>
    </row>
    <row r="68" spans="2:6" x14ac:dyDescent="0.15">
      <c r="B68" s="57" t="str">
        <f>'Name List'!B68</f>
        <v>Oliver Proud</v>
      </c>
      <c r="C68" s="60">
        <f>'Scores and stats'!QT68</f>
        <v>0</v>
      </c>
      <c r="E68" s="182" t="str">
        <v>Oliver Proud</v>
      </c>
      <c r="F68" s="183">
        <v>0</v>
      </c>
    </row>
    <row r="69" spans="2:6" x14ac:dyDescent="0.15">
      <c r="B69" s="57" t="str">
        <f>'Name List'!B69</f>
        <v>Joe Hooper</v>
      </c>
      <c r="C69" s="60">
        <f>'Scores and stats'!QT69</f>
        <v>0</v>
      </c>
      <c r="E69" s="182" t="str">
        <v>Joe Hooper</v>
      </c>
      <c r="F69" s="183">
        <v>0</v>
      </c>
    </row>
    <row r="70" spans="2:6" x14ac:dyDescent="0.15">
      <c r="B70" s="57" t="str">
        <f>'Name List'!B70</f>
        <v>Danny Jones</v>
      </c>
      <c r="C70" s="60">
        <f>'Scores and stats'!QT70</f>
        <v>0</v>
      </c>
      <c r="E70" s="182" t="str">
        <v>Danny Jones</v>
      </c>
      <c r="F70" s="183">
        <v>0</v>
      </c>
    </row>
    <row r="71" spans="2:6" x14ac:dyDescent="0.15">
      <c r="B71" s="57" t="str">
        <f>'Name List'!B71</f>
        <v>Liam Anderson</v>
      </c>
      <c r="C71" s="60">
        <f>'Scores and stats'!QT71</f>
        <v>0</v>
      </c>
      <c r="E71" s="182" t="str">
        <v>Liam Anderson</v>
      </c>
      <c r="F71" s="183">
        <v>0</v>
      </c>
    </row>
    <row r="72" spans="2:6" x14ac:dyDescent="0.15">
      <c r="B72" s="57" t="str">
        <f>'Name List'!B72</f>
        <v>Sam Cochrane</v>
      </c>
      <c r="C72" s="60">
        <f>'Scores and stats'!QT72</f>
        <v>0</v>
      </c>
      <c r="E72" s="182" t="str">
        <v>Sam Cochrane</v>
      </c>
      <c r="F72" s="183">
        <v>0</v>
      </c>
    </row>
    <row r="73" spans="2:6" x14ac:dyDescent="0.15">
      <c r="B73" s="57" t="str">
        <f>'Name List'!B73</f>
        <v>Shaun Alexander</v>
      </c>
      <c r="C73" s="60">
        <f>'Scores and stats'!QT73</f>
        <v>0</v>
      </c>
      <c r="E73" s="182" t="str">
        <v>Shaun Alexander</v>
      </c>
      <c r="F73" s="183">
        <v>0</v>
      </c>
    </row>
    <row r="74" spans="2:6" x14ac:dyDescent="0.15">
      <c r="B74" s="57" t="str">
        <f>'Name List'!B74</f>
        <v>Kyle Deane</v>
      </c>
      <c r="C74" s="60">
        <f>'Scores and stats'!QT74</f>
        <v>0</v>
      </c>
      <c r="E74" s="182" t="str">
        <v>Kyle Deane</v>
      </c>
      <c r="F74" s="183">
        <v>0</v>
      </c>
    </row>
    <row r="75" spans="2:6" x14ac:dyDescent="0.15">
      <c r="B75" s="57">
        <f>'Name List'!B75</f>
        <v>1</v>
      </c>
      <c r="C75" s="60">
        <f>'Scores and stats'!QT75</f>
        <v>0</v>
      </c>
      <c r="E75" s="182">
        <v>1</v>
      </c>
      <c r="F75" s="183">
        <v>0</v>
      </c>
    </row>
    <row r="76" spans="2:6" x14ac:dyDescent="0.15">
      <c r="B76" s="57">
        <f>'Name List'!B76</f>
        <v>2</v>
      </c>
      <c r="C76" s="60">
        <f>'Scores and stats'!QT76</f>
        <v>0</v>
      </c>
      <c r="E76" s="182">
        <v>2</v>
      </c>
      <c r="F76" s="183">
        <v>0</v>
      </c>
    </row>
    <row r="77" spans="2:6" x14ac:dyDescent="0.15">
      <c r="B77" s="57">
        <f>'Name List'!B77</f>
        <v>3</v>
      </c>
      <c r="C77" s="60">
        <f>'Scores and stats'!QT77</f>
        <v>0</v>
      </c>
      <c r="E77" s="182">
        <v>3</v>
      </c>
      <c r="F77" s="183">
        <v>0</v>
      </c>
    </row>
    <row r="78" spans="2:6" x14ac:dyDescent="0.15">
      <c r="B78" s="57">
        <f>'Name List'!B78</f>
        <v>4</v>
      </c>
      <c r="C78" s="60">
        <f>'Scores and stats'!QT78</f>
        <v>0</v>
      </c>
      <c r="E78" s="182">
        <v>4</v>
      </c>
      <c r="F78" s="183">
        <v>0</v>
      </c>
    </row>
    <row r="79" spans="2:6" x14ac:dyDescent="0.15">
      <c r="B79" s="57">
        <f>'Name List'!B79</f>
        <v>5</v>
      </c>
      <c r="C79" s="60">
        <f>'Scores and stats'!QT79</f>
        <v>0</v>
      </c>
      <c r="E79" s="182">
        <v>5</v>
      </c>
      <c r="F79" s="183">
        <v>0</v>
      </c>
    </row>
    <row r="80" spans="2:6" x14ac:dyDescent="0.15">
      <c r="B80" s="57">
        <f>'Name List'!B80</f>
        <v>6</v>
      </c>
      <c r="C80" s="60">
        <f>'Scores and stats'!QT80</f>
        <v>0</v>
      </c>
      <c r="E80" s="182">
        <v>6</v>
      </c>
      <c r="F80" s="183">
        <v>0</v>
      </c>
    </row>
    <row r="81" spans="2:6" x14ac:dyDescent="0.15">
      <c r="B81" s="57">
        <f>'Name List'!B81</f>
        <v>7</v>
      </c>
      <c r="C81" s="60">
        <f>'Scores and stats'!QT81</f>
        <v>0</v>
      </c>
      <c r="E81" s="182">
        <v>7</v>
      </c>
      <c r="F81" s="183">
        <v>0</v>
      </c>
    </row>
    <row r="82" spans="2:6" x14ac:dyDescent="0.15">
      <c r="B82" s="57">
        <f>'Name List'!B82</f>
        <v>8</v>
      </c>
      <c r="C82" s="60">
        <f>'Scores and stats'!QT82</f>
        <v>0</v>
      </c>
      <c r="E82" s="182">
        <v>8</v>
      </c>
      <c r="F82" s="183">
        <v>0</v>
      </c>
    </row>
    <row r="83" spans="2:6" x14ac:dyDescent="0.15">
      <c r="B83" s="57">
        <f>'Name List'!B83</f>
        <v>9</v>
      </c>
      <c r="C83" s="60">
        <f>'Scores and stats'!QT83</f>
        <v>0</v>
      </c>
      <c r="E83" s="182">
        <v>9</v>
      </c>
      <c r="F83" s="183">
        <v>0</v>
      </c>
    </row>
    <row r="84" spans="2:6" x14ac:dyDescent="0.15">
      <c r="B84" s="57">
        <f>'Name List'!B84</f>
        <v>10</v>
      </c>
      <c r="C84" s="60">
        <f>'Scores and stats'!QT84</f>
        <v>0</v>
      </c>
      <c r="E84" s="182">
        <v>10</v>
      </c>
      <c r="F84" s="183">
        <v>0</v>
      </c>
    </row>
    <row r="85" spans="2:6" x14ac:dyDescent="0.15">
      <c r="B85" s="57">
        <f>'Name List'!B85</f>
        <v>11</v>
      </c>
      <c r="C85" s="60">
        <f>'Scores and stats'!QT85</f>
        <v>0</v>
      </c>
      <c r="E85" s="182">
        <v>11</v>
      </c>
      <c r="F85" s="183">
        <v>0</v>
      </c>
    </row>
    <row r="86" spans="2:6" x14ac:dyDescent="0.15">
      <c r="B86" s="57">
        <f>'Name List'!B86</f>
        <v>12</v>
      </c>
      <c r="C86" s="60">
        <f>'Scores and stats'!QT86</f>
        <v>0</v>
      </c>
      <c r="E86" s="182">
        <v>12</v>
      </c>
      <c r="F86" s="183">
        <v>0</v>
      </c>
    </row>
    <row r="87" spans="2:6" x14ac:dyDescent="0.15">
      <c r="B87" s="57">
        <f>'Name List'!B87</f>
        <v>13</v>
      </c>
      <c r="C87" s="60">
        <f>'Scores and stats'!QT87</f>
        <v>0</v>
      </c>
      <c r="E87" s="182">
        <v>13</v>
      </c>
      <c r="F87" s="183">
        <v>0</v>
      </c>
    </row>
    <row r="88" spans="2:6" x14ac:dyDescent="0.15">
      <c r="B88" s="57">
        <f>'Name List'!B88</f>
        <v>14</v>
      </c>
      <c r="C88" s="60">
        <f>'Scores and stats'!QT88</f>
        <v>0</v>
      </c>
      <c r="E88" s="182">
        <v>14</v>
      </c>
      <c r="F88" s="183">
        <v>0</v>
      </c>
    </row>
    <row r="89" spans="2:6" x14ac:dyDescent="0.15">
      <c r="B89" s="57">
        <f>'Name List'!B89</f>
        <v>15</v>
      </c>
      <c r="C89" s="60">
        <f>'Scores and stats'!QT89</f>
        <v>0</v>
      </c>
      <c r="E89" s="182">
        <v>15</v>
      </c>
      <c r="F89" s="183">
        <v>0</v>
      </c>
    </row>
    <row r="90" spans="2:6" x14ac:dyDescent="0.15">
      <c r="B90" s="57">
        <f>'Name List'!B90</f>
        <v>16</v>
      </c>
      <c r="C90" s="60">
        <f>'Scores and stats'!QT90</f>
        <v>0</v>
      </c>
      <c r="E90" s="182">
        <v>16</v>
      </c>
      <c r="F90" s="183">
        <v>0</v>
      </c>
    </row>
    <row r="91" spans="2:6" x14ac:dyDescent="0.15">
      <c r="B91" s="57">
        <f>'Name List'!B91</f>
        <v>17</v>
      </c>
      <c r="C91" s="60">
        <f>'Scores and stats'!QT91</f>
        <v>0</v>
      </c>
      <c r="E91" s="182">
        <v>17</v>
      </c>
      <c r="F91" s="183">
        <v>0</v>
      </c>
    </row>
    <row r="92" spans="2:6" x14ac:dyDescent="0.15">
      <c r="B92" s="57">
        <f>'Name List'!B92</f>
        <v>18</v>
      </c>
      <c r="C92" s="60">
        <f>'Scores and stats'!QT92</f>
        <v>0</v>
      </c>
      <c r="E92" s="182">
        <v>18</v>
      </c>
      <c r="F92" s="183">
        <v>0</v>
      </c>
    </row>
    <row r="93" spans="2:6" x14ac:dyDescent="0.15">
      <c r="B93" s="57">
        <f>'Name List'!B93</f>
        <v>19</v>
      </c>
      <c r="C93" s="60">
        <f>'Scores and stats'!QT93</f>
        <v>0</v>
      </c>
      <c r="E93" s="182">
        <v>19</v>
      </c>
      <c r="F93" s="183">
        <v>0</v>
      </c>
    </row>
    <row r="94" spans="2:6" x14ac:dyDescent="0.15">
      <c r="B94" s="57">
        <f>'Name List'!B94</f>
        <v>20</v>
      </c>
      <c r="C94" s="60">
        <f>'Scores and stats'!QT94</f>
        <v>0</v>
      </c>
      <c r="E94" s="182">
        <v>20</v>
      </c>
      <c r="F94" s="183">
        <v>0</v>
      </c>
    </row>
    <row r="95" spans="2:6" x14ac:dyDescent="0.15">
      <c r="B95" s="57">
        <f>'Name List'!B95</f>
        <v>21</v>
      </c>
      <c r="C95" s="60">
        <f>'Scores and stats'!QT95</f>
        <v>0</v>
      </c>
      <c r="E95" s="182">
        <v>21</v>
      </c>
      <c r="F95" s="183">
        <v>0</v>
      </c>
    </row>
    <row r="96" spans="2:6" x14ac:dyDescent="0.15">
      <c r="B96" s="57">
        <f>'Name List'!B96</f>
        <v>22</v>
      </c>
      <c r="C96" s="60">
        <f>'Scores and stats'!QT96</f>
        <v>0</v>
      </c>
      <c r="E96" s="182">
        <v>22</v>
      </c>
      <c r="F96" s="183">
        <v>0</v>
      </c>
    </row>
    <row r="97" spans="2:6" x14ac:dyDescent="0.15">
      <c r="B97" s="57">
        <f>'Name List'!B97</f>
        <v>23</v>
      </c>
      <c r="C97" s="60">
        <f>'Scores and stats'!QT97</f>
        <v>0</v>
      </c>
      <c r="E97" s="182">
        <v>23</v>
      </c>
      <c r="F97" s="183">
        <v>0</v>
      </c>
    </row>
    <row r="98" spans="2:6" x14ac:dyDescent="0.15">
      <c r="B98" s="57">
        <f>'Name List'!B98</f>
        <v>24</v>
      </c>
      <c r="C98" s="60">
        <f>'Scores and stats'!QT98</f>
        <v>0</v>
      </c>
      <c r="E98" s="182">
        <v>24</v>
      </c>
      <c r="F98" s="183">
        <v>0</v>
      </c>
    </row>
    <row r="99" spans="2:6" x14ac:dyDescent="0.15">
      <c r="B99" s="57">
        <f>'Name List'!B99</f>
        <v>25</v>
      </c>
      <c r="C99" s="60">
        <f>'Scores and stats'!QT99</f>
        <v>0</v>
      </c>
      <c r="E99" s="182">
        <v>25</v>
      </c>
      <c r="F99" s="183">
        <v>0</v>
      </c>
    </row>
    <row r="100" spans="2:6" x14ac:dyDescent="0.15">
      <c r="B100" s="57">
        <f>'Name List'!B100</f>
        <v>26</v>
      </c>
      <c r="C100" s="60">
        <f>'Scores and stats'!QT100</f>
        <v>0</v>
      </c>
      <c r="E100" s="182">
        <v>26</v>
      </c>
      <c r="F100" s="183">
        <v>0</v>
      </c>
    </row>
    <row r="101" spans="2:6" x14ac:dyDescent="0.15">
      <c r="B101" s="57">
        <f>'Name List'!B101</f>
        <v>27</v>
      </c>
      <c r="C101" s="60">
        <f>'Scores and stats'!QT101</f>
        <v>0</v>
      </c>
      <c r="E101" s="182">
        <v>27</v>
      </c>
      <c r="F101" s="183">
        <v>0</v>
      </c>
    </row>
    <row r="102" spans="2:6" x14ac:dyDescent="0.15">
      <c r="B102" s="57">
        <f>'Name List'!B102</f>
        <v>28</v>
      </c>
      <c r="C102" s="60">
        <f>'Scores and stats'!QT102</f>
        <v>0</v>
      </c>
      <c r="E102" s="182">
        <v>28</v>
      </c>
      <c r="F102" s="183">
        <v>0</v>
      </c>
    </row>
    <row r="103" spans="2:6" x14ac:dyDescent="0.15">
      <c r="B103" s="57">
        <f>'Name List'!B103</f>
        <v>29</v>
      </c>
      <c r="C103" s="60">
        <f>'Scores and stats'!QT103</f>
        <v>0</v>
      </c>
      <c r="E103" s="182">
        <v>29</v>
      </c>
      <c r="F103" s="183">
        <v>0</v>
      </c>
    </row>
    <row r="104" spans="2:6" x14ac:dyDescent="0.15">
      <c r="B104" s="57">
        <f>'Name List'!B104</f>
        <v>30</v>
      </c>
      <c r="C104" s="60">
        <f>'Scores and stats'!QT104</f>
        <v>0</v>
      </c>
      <c r="E104" s="182">
        <v>30</v>
      </c>
      <c r="F104" s="183">
        <v>0</v>
      </c>
    </row>
    <row r="105" spans="2:6" x14ac:dyDescent="0.15">
      <c r="B105" s="57">
        <f>'Name List'!B105</f>
        <v>31</v>
      </c>
      <c r="C105" s="60">
        <f>'Scores and stats'!QT105</f>
        <v>0</v>
      </c>
      <c r="E105" s="325">
        <v>31</v>
      </c>
      <c r="F105" s="326">
        <v>0</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31BE-E511-4626-AA57-2D95A7AC1293}">
  <sheetPr>
    <tabColor theme="8" tint="0.59999389629810485"/>
  </sheetPr>
  <dimension ref="B3:F105"/>
  <sheetViews>
    <sheetView workbookViewId="0">
      <selection activeCell="R45" sqref="R45"/>
    </sheetView>
  </sheetViews>
  <sheetFormatPr defaultColWidth="9.33203125" defaultRowHeight="11.25" x14ac:dyDescent="0.15"/>
  <cols>
    <col min="1" max="1" width="9.33203125" style="57"/>
    <col min="2" max="2" width="23.1640625" style="57" customWidth="1"/>
    <col min="3" max="3" width="17.6640625" style="58" customWidth="1"/>
    <col min="4" max="4" width="3.5" style="57" customWidth="1"/>
    <col min="5" max="5" width="25" style="59" customWidth="1"/>
    <col min="6" max="6" width="9.33203125" style="59"/>
    <col min="7" max="16384" width="9.33203125" style="57"/>
  </cols>
  <sheetData>
    <row r="3" spans="2:6" x14ac:dyDescent="0.15">
      <c r="C3" s="58" t="s">
        <v>123</v>
      </c>
      <c r="D3" s="58"/>
      <c r="E3" s="722" t="s">
        <v>130</v>
      </c>
      <c r="F3" s="723"/>
    </row>
    <row r="4" spans="2:6" x14ac:dyDescent="0.15">
      <c r="E4" s="314"/>
      <c r="F4" s="315"/>
    </row>
    <row r="5" spans="2:6" x14ac:dyDescent="0.15">
      <c r="E5" s="188"/>
      <c r="F5" s="189"/>
    </row>
    <row r="6" spans="2:6" x14ac:dyDescent="0.15">
      <c r="B6" s="57" t="str">
        <f>'Name List'!B6</f>
        <v>Stuart Anderson</v>
      </c>
      <c r="C6" s="60">
        <f>'Scores and stats'!QU6</f>
        <v>0</v>
      </c>
      <c r="D6" s="61"/>
      <c r="E6" s="188" t="str" cm="1">
        <f t="array" ref="E6:F105">_xlfn._xlws.SORT(B6:C105,2,-1)</f>
        <v>Brad Whitehead</v>
      </c>
      <c r="F6" s="189">
        <v>37</v>
      </c>
    </row>
    <row r="7" spans="2:6" x14ac:dyDescent="0.15">
      <c r="B7" s="57" t="str">
        <f>'Name List'!B7</f>
        <v>Max Ball</v>
      </c>
      <c r="C7" s="60">
        <f>'Scores and stats'!QU7</f>
        <v>16</v>
      </c>
      <c r="E7" s="188" t="str">
        <v>Chris Smith</v>
      </c>
      <c r="F7" s="189">
        <v>29</v>
      </c>
    </row>
    <row r="8" spans="2:6" x14ac:dyDescent="0.15">
      <c r="B8" s="57" t="str">
        <f>'Name List'!B8</f>
        <v>Harley Bishop</v>
      </c>
      <c r="C8" s="60">
        <f>'Scores and stats'!QU8</f>
        <v>4</v>
      </c>
      <c r="E8" s="188" t="str">
        <v>Martin Coomber</v>
      </c>
      <c r="F8" s="189">
        <v>18</v>
      </c>
    </row>
    <row r="9" spans="2:6" x14ac:dyDescent="0.15">
      <c r="B9" s="57" t="str">
        <f>'Name List'!B9</f>
        <v>Chris Burroughs</v>
      </c>
      <c r="C9" s="60">
        <f>'Scores and stats'!QU9</f>
        <v>2</v>
      </c>
      <c r="E9" s="188" t="str">
        <v>Peter Vallely</v>
      </c>
      <c r="F9" s="189">
        <v>18</v>
      </c>
    </row>
    <row r="10" spans="2:6" x14ac:dyDescent="0.15">
      <c r="B10" s="57" t="str">
        <f>'Name List'!B10</f>
        <v>George Burton</v>
      </c>
      <c r="C10" s="60">
        <f>'Scores and stats'!QU10</f>
        <v>5</v>
      </c>
      <c r="E10" s="188" t="str">
        <v>Andy Johnson</v>
      </c>
      <c r="F10" s="189">
        <v>17</v>
      </c>
    </row>
    <row r="11" spans="2:6" x14ac:dyDescent="0.15">
      <c r="B11" s="57" t="str">
        <f>'Name List'!B11</f>
        <v>Tom Burton</v>
      </c>
      <c r="C11" s="60">
        <f>'Scores and stats'!QU11</f>
        <v>10</v>
      </c>
      <c r="E11" s="188" t="str">
        <v>Dave Randall</v>
      </c>
      <c r="F11" s="189">
        <v>17</v>
      </c>
    </row>
    <row r="12" spans="2:6" x14ac:dyDescent="0.15">
      <c r="B12" s="57" t="str">
        <f>'Name List'!B12</f>
        <v>Mike Chubb</v>
      </c>
      <c r="C12" s="60">
        <f>'Scores and stats'!QU12</f>
        <v>0</v>
      </c>
      <c r="E12" s="188" t="str">
        <v>Joe Hooper</v>
      </c>
      <c r="F12" s="189">
        <v>17</v>
      </c>
    </row>
    <row r="13" spans="2:6" x14ac:dyDescent="0.15">
      <c r="B13" s="57" t="str">
        <f>'Name List'!B13</f>
        <v>George Clarke</v>
      </c>
      <c r="C13" s="60">
        <f>'Scores and stats'!QU13</f>
        <v>1</v>
      </c>
      <c r="E13" s="188" t="str">
        <v>Max Ball</v>
      </c>
      <c r="F13" s="189">
        <v>16</v>
      </c>
    </row>
    <row r="14" spans="2:6" x14ac:dyDescent="0.15">
      <c r="B14" s="57" t="str">
        <f>'Name List'!B14</f>
        <v>Paul Clarke</v>
      </c>
      <c r="C14" s="60">
        <f>'Scores and stats'!QU14</f>
        <v>5</v>
      </c>
      <c r="E14" s="188" t="str">
        <v>Justin Hunt</v>
      </c>
      <c r="F14" s="189">
        <v>15</v>
      </c>
    </row>
    <row r="15" spans="2:6" x14ac:dyDescent="0.15">
      <c r="B15" s="57" t="str">
        <f>'Name List'!B15</f>
        <v>Martin Coomber</v>
      </c>
      <c r="C15" s="60">
        <f>'Scores and stats'!QU15</f>
        <v>18</v>
      </c>
      <c r="E15" s="188" t="str">
        <v>Jason Wale</v>
      </c>
      <c r="F15" s="189">
        <v>14</v>
      </c>
    </row>
    <row r="16" spans="2:6" x14ac:dyDescent="0.15">
      <c r="B16" s="57" t="str">
        <f>'Name List'!B16</f>
        <v>Dominic Coughlin</v>
      </c>
      <c r="C16" s="60">
        <f>'Scores and stats'!QU16</f>
        <v>0</v>
      </c>
      <c r="E16" s="188" t="str">
        <v>Neil Hart</v>
      </c>
      <c r="F16" s="189">
        <v>13</v>
      </c>
    </row>
    <row r="17" spans="2:6" x14ac:dyDescent="0.15">
      <c r="B17" s="57" t="str">
        <f>'Name List'!B17</f>
        <v>Gareth Davies</v>
      </c>
      <c r="C17" s="60">
        <f>'Scores and stats'!QU17</f>
        <v>3</v>
      </c>
      <c r="E17" s="188" t="str">
        <v>Dickie Moxham</v>
      </c>
      <c r="F17" s="189">
        <v>11</v>
      </c>
    </row>
    <row r="18" spans="2:6" x14ac:dyDescent="0.15">
      <c r="B18" s="57" t="str">
        <f>'Name List'!B18</f>
        <v>Peter Donovan</v>
      </c>
      <c r="C18" s="60">
        <f>'Scores and stats'!QU18</f>
        <v>0</v>
      </c>
      <c r="E18" s="188" t="str">
        <v>Tom Burton</v>
      </c>
      <c r="F18" s="189">
        <v>10</v>
      </c>
    </row>
    <row r="19" spans="2:6" x14ac:dyDescent="0.15">
      <c r="B19" s="57" t="str">
        <f>'Name List'!B19</f>
        <v>James Dunn</v>
      </c>
      <c r="C19" s="60">
        <f>'Scores and stats'!QU19</f>
        <v>2</v>
      </c>
      <c r="E19" s="188" t="str">
        <v>Kevin Tribley</v>
      </c>
      <c r="F19" s="189">
        <v>10</v>
      </c>
    </row>
    <row r="20" spans="2:6" x14ac:dyDescent="0.15">
      <c r="B20" s="57" t="str">
        <f>'Name List'!B20</f>
        <v>Gordon Fielding</v>
      </c>
      <c r="C20" s="60">
        <f>'Scores and stats'!QU20</f>
        <v>0</v>
      </c>
      <c r="E20" s="188" t="str">
        <v>Ben Fleet</v>
      </c>
      <c r="F20" s="189">
        <v>8</v>
      </c>
    </row>
    <row r="21" spans="2:6" x14ac:dyDescent="0.15">
      <c r="B21" s="57" t="str">
        <f>'Name List'!B21</f>
        <v>Paul Fitzgerald</v>
      </c>
      <c r="C21" s="60">
        <f>'Scores and stats'!QU21</f>
        <v>3</v>
      </c>
      <c r="E21" s="188" t="str">
        <v>Shaun Alexander</v>
      </c>
      <c r="F21" s="189">
        <v>7</v>
      </c>
    </row>
    <row r="22" spans="2:6" x14ac:dyDescent="0.15">
      <c r="B22" s="57" t="str">
        <f>'Name List'!B22</f>
        <v>Ben Fleet</v>
      </c>
      <c r="C22" s="60">
        <f>'Scores and stats'!QU22</f>
        <v>8</v>
      </c>
      <c r="D22" s="61"/>
      <c r="E22" s="188" t="str">
        <v>Tony Forsyth-James</v>
      </c>
      <c r="F22" s="189">
        <v>6</v>
      </c>
    </row>
    <row r="23" spans="2:6" x14ac:dyDescent="0.15">
      <c r="B23" s="57" t="str">
        <f>'Name List'!B23</f>
        <v>Mike Forrest</v>
      </c>
      <c r="C23" s="60">
        <f>'Scores and stats'!QU23</f>
        <v>0</v>
      </c>
      <c r="E23" s="188" t="str">
        <v>Danny Jones</v>
      </c>
      <c r="F23" s="189">
        <v>6</v>
      </c>
    </row>
    <row r="24" spans="2:6" x14ac:dyDescent="0.15">
      <c r="B24" s="57" t="str">
        <f>'Name List'!B24</f>
        <v>Tony Forsyth-James</v>
      </c>
      <c r="C24" s="60">
        <f>'Scores and stats'!QU24</f>
        <v>6</v>
      </c>
      <c r="E24" s="188" t="str">
        <v>George Burton</v>
      </c>
      <c r="F24" s="189">
        <v>5</v>
      </c>
    </row>
    <row r="25" spans="2:6" x14ac:dyDescent="0.15">
      <c r="B25" s="57" t="str">
        <f>'Name List'!B25</f>
        <v>Archie Fraser</v>
      </c>
      <c r="C25" s="60">
        <f>'Scores and stats'!QU25</f>
        <v>3</v>
      </c>
      <c r="E25" s="188" t="str">
        <v>Paul Clarke</v>
      </c>
      <c r="F25" s="189">
        <v>5</v>
      </c>
    </row>
    <row r="26" spans="2:6" x14ac:dyDescent="0.15">
      <c r="B26" s="57" t="str">
        <f>'Name List'!B26</f>
        <v>Ross Fraser</v>
      </c>
      <c r="C26" s="60">
        <f>'Scores and stats'!QU26</f>
        <v>2</v>
      </c>
      <c r="E26" s="188" t="str">
        <v>Harley Bishop</v>
      </c>
      <c r="F26" s="189">
        <v>4</v>
      </c>
    </row>
    <row r="27" spans="2:6" x14ac:dyDescent="0.15">
      <c r="B27" s="57" t="str">
        <f>'Name List'!B27</f>
        <v>Nick Garner</v>
      </c>
      <c r="C27" s="60">
        <f>'Scores and stats'!QU27</f>
        <v>4</v>
      </c>
      <c r="D27" s="61"/>
      <c r="E27" s="188" t="str">
        <v>Nick Garner</v>
      </c>
      <c r="F27" s="189">
        <v>4</v>
      </c>
    </row>
    <row r="28" spans="2:6" x14ac:dyDescent="0.15">
      <c r="B28" s="57" t="str">
        <f>'Name List'!B28</f>
        <v>Stuart Gay</v>
      </c>
      <c r="C28" s="60">
        <f>'Scores and stats'!QU28</f>
        <v>0</v>
      </c>
      <c r="E28" s="188" t="str">
        <v>Anthony Harris</v>
      </c>
      <c r="F28" s="189">
        <v>4</v>
      </c>
    </row>
    <row r="29" spans="2:6" x14ac:dyDescent="0.15">
      <c r="B29" s="57" t="str">
        <f>'Name List'!B29</f>
        <v>Jordan Hall</v>
      </c>
      <c r="C29" s="60">
        <f>'Scores and stats'!QU29</f>
        <v>2</v>
      </c>
      <c r="D29" s="61"/>
      <c r="E29" s="188" t="str">
        <v>Eoghan Hilton</v>
      </c>
      <c r="F29" s="189">
        <v>4</v>
      </c>
    </row>
    <row r="30" spans="2:6" x14ac:dyDescent="0.15">
      <c r="B30" s="57" t="str">
        <f>'Name List'!B30</f>
        <v>Gary Hall</v>
      </c>
      <c r="C30" s="60">
        <f>'Scores and stats'!QU30</f>
        <v>0</v>
      </c>
      <c r="E30" s="188" t="str">
        <v>Paul Martin</v>
      </c>
      <c r="F30" s="189">
        <v>4</v>
      </c>
    </row>
    <row r="31" spans="2:6" x14ac:dyDescent="0.15">
      <c r="B31" s="57" t="str">
        <f>'Name List'!B31</f>
        <v>Anthony Harris</v>
      </c>
      <c r="C31" s="60">
        <f>'Scores and stats'!QU31</f>
        <v>4</v>
      </c>
      <c r="E31" s="188" t="str">
        <v>Gareth Davies</v>
      </c>
      <c r="F31" s="189">
        <v>3</v>
      </c>
    </row>
    <row r="32" spans="2:6" x14ac:dyDescent="0.15">
      <c r="B32" s="57" t="str">
        <f>'Name List'!B32</f>
        <v>Neil Hart</v>
      </c>
      <c r="C32" s="60">
        <f>'Scores and stats'!QU32</f>
        <v>13</v>
      </c>
      <c r="E32" s="188" t="str">
        <v>Paul Fitzgerald</v>
      </c>
      <c r="F32" s="189">
        <v>3</v>
      </c>
    </row>
    <row r="33" spans="2:6" x14ac:dyDescent="0.15">
      <c r="B33" s="57" t="str">
        <f>'Name List'!B33</f>
        <v>Tony Hearson</v>
      </c>
      <c r="C33" s="60">
        <f>'Scores and stats'!QU33</f>
        <v>0</v>
      </c>
      <c r="E33" s="188" t="str">
        <v>Archie Fraser</v>
      </c>
      <c r="F33" s="189">
        <v>3</v>
      </c>
    </row>
    <row r="34" spans="2:6" x14ac:dyDescent="0.15">
      <c r="B34" s="57" t="str">
        <f>'Name List'!B34</f>
        <v>David Hilton</v>
      </c>
      <c r="C34" s="60">
        <f>'Scores and stats'!QU34</f>
        <v>1</v>
      </c>
      <c r="E34" s="188" t="str">
        <v>Dan Thomas</v>
      </c>
      <c r="F34" s="189">
        <v>3</v>
      </c>
    </row>
    <row r="35" spans="2:6" x14ac:dyDescent="0.15">
      <c r="B35" s="57" t="str">
        <f>'Name List'!B35</f>
        <v>Eoghan Hilton</v>
      </c>
      <c r="C35" s="60">
        <f>'Scores and stats'!QU35</f>
        <v>4</v>
      </c>
      <c r="E35" s="188" t="str">
        <v>Sam Cochrane</v>
      </c>
      <c r="F35" s="189">
        <v>3</v>
      </c>
    </row>
    <row r="36" spans="2:6" x14ac:dyDescent="0.15">
      <c r="B36" s="57" t="str">
        <f>'Name List'!B36</f>
        <v>Martin Holder</v>
      </c>
      <c r="C36" s="60">
        <f>'Scores and stats'!QU36</f>
        <v>0</v>
      </c>
      <c r="E36" s="188" t="str">
        <v>Chris Burroughs</v>
      </c>
      <c r="F36" s="189">
        <v>2</v>
      </c>
    </row>
    <row r="37" spans="2:6" x14ac:dyDescent="0.15">
      <c r="B37" s="57" t="str">
        <f>'Name List'!B37</f>
        <v>Justin Hunt</v>
      </c>
      <c r="C37" s="60">
        <f>'Scores and stats'!QU37</f>
        <v>15</v>
      </c>
      <c r="E37" s="188" t="str">
        <v>James Dunn</v>
      </c>
      <c r="F37" s="189">
        <v>2</v>
      </c>
    </row>
    <row r="38" spans="2:6" x14ac:dyDescent="0.15">
      <c r="B38" s="57" t="str">
        <f>'Name List'!B38</f>
        <v>Mark Hutchinson</v>
      </c>
      <c r="C38" s="60">
        <f>'Scores and stats'!QU38</f>
        <v>0</v>
      </c>
      <c r="E38" s="188" t="str">
        <v>Ross Fraser</v>
      </c>
      <c r="F38" s="189">
        <v>2</v>
      </c>
    </row>
    <row r="39" spans="2:6" x14ac:dyDescent="0.15">
      <c r="B39" s="57" t="str">
        <f>'Name List'!B39</f>
        <v>Andy Johnson</v>
      </c>
      <c r="C39" s="60">
        <f>'Scores and stats'!QU39</f>
        <v>17</v>
      </c>
      <c r="E39" s="188" t="str">
        <v>Jordan Hall</v>
      </c>
      <c r="F39" s="189">
        <v>2</v>
      </c>
    </row>
    <row r="40" spans="2:6" x14ac:dyDescent="0.15">
      <c r="B40" s="57" t="str">
        <f>'Name List'!B40</f>
        <v>Oli Lloyd</v>
      </c>
      <c r="C40" s="60">
        <f>'Scores and stats'!QU40</f>
        <v>1</v>
      </c>
      <c r="E40" s="188" t="str">
        <v>Edward Money</v>
      </c>
      <c r="F40" s="189">
        <v>2</v>
      </c>
    </row>
    <row r="41" spans="2:6" x14ac:dyDescent="0.15">
      <c r="B41" s="57" t="str">
        <f>'Name List'!B41</f>
        <v>Andy Lucey</v>
      </c>
      <c r="C41" s="60">
        <f>'Scores and stats'!QU41</f>
        <v>0</v>
      </c>
      <c r="E41" s="188" t="str">
        <v>Ryan Vaughan</v>
      </c>
      <c r="F41" s="189">
        <v>2</v>
      </c>
    </row>
    <row r="42" spans="2:6" x14ac:dyDescent="0.15">
      <c r="B42" s="57" t="str">
        <f>'Name List'!B42</f>
        <v>Paul Martin</v>
      </c>
      <c r="C42" s="60">
        <f>'Scores and stats'!QU42</f>
        <v>4</v>
      </c>
      <c r="D42" s="61"/>
      <c r="E42" s="188" t="str">
        <v>Terry Walker</v>
      </c>
      <c r="F42" s="189">
        <v>2</v>
      </c>
    </row>
    <row r="43" spans="2:6" x14ac:dyDescent="0.15">
      <c r="B43" s="57" t="str">
        <f>'Name List'!B43</f>
        <v>Edward Money</v>
      </c>
      <c r="C43" s="60">
        <f>'Scores and stats'!QU43</f>
        <v>2</v>
      </c>
      <c r="D43" s="61"/>
      <c r="E43" s="188" t="str">
        <v>Finn Wheeler</v>
      </c>
      <c r="F43" s="189">
        <v>2</v>
      </c>
    </row>
    <row r="44" spans="2:6" x14ac:dyDescent="0.15">
      <c r="B44" s="57" t="str">
        <f>'Name List'!B44</f>
        <v>Dickie Moxham</v>
      </c>
      <c r="C44" s="60">
        <f>'Scores and stats'!QU44</f>
        <v>11</v>
      </c>
      <c r="E44" s="188" t="str">
        <v>Steve Wheeler</v>
      </c>
      <c r="F44" s="189">
        <v>2</v>
      </c>
    </row>
    <row r="45" spans="2:6" x14ac:dyDescent="0.15">
      <c r="B45" s="57" t="str">
        <f>'Name List'!B45</f>
        <v>Dave Randall</v>
      </c>
      <c r="C45" s="60">
        <f>'Scores and stats'!QU45</f>
        <v>17</v>
      </c>
      <c r="E45" s="188" t="str">
        <v>George Clarke</v>
      </c>
      <c r="F45" s="189">
        <v>1</v>
      </c>
    </row>
    <row r="46" spans="2:6" x14ac:dyDescent="0.15">
      <c r="B46" s="57" t="str">
        <f>'Name List'!B46</f>
        <v>Arron Rutherford</v>
      </c>
      <c r="C46" s="60">
        <f>'Scores and stats'!QU46</f>
        <v>0</v>
      </c>
      <c r="E46" s="188" t="str">
        <v>David Hilton</v>
      </c>
      <c r="F46" s="189">
        <v>1</v>
      </c>
    </row>
    <row r="47" spans="2:6" x14ac:dyDescent="0.15">
      <c r="B47" s="57" t="str">
        <f>'Name List'!B47</f>
        <v>Terry Shoker</v>
      </c>
      <c r="C47" s="60">
        <f>'Scores and stats'!QU47</f>
        <v>0</v>
      </c>
      <c r="E47" s="188" t="str">
        <v>Oli Lloyd</v>
      </c>
      <c r="F47" s="189">
        <v>1</v>
      </c>
    </row>
    <row r="48" spans="2:6" x14ac:dyDescent="0.15">
      <c r="B48" s="57" t="str">
        <f>'Name List'!B48</f>
        <v>Chris Smith</v>
      </c>
      <c r="C48" s="60">
        <f>'Scores and stats'!QU48</f>
        <v>29</v>
      </c>
      <c r="D48" s="61"/>
      <c r="E48" s="188" t="str">
        <v>Russell Turner</v>
      </c>
      <c r="F48" s="189">
        <v>1</v>
      </c>
    </row>
    <row r="49" spans="2:6" x14ac:dyDescent="0.15">
      <c r="B49" s="57" t="str">
        <f>'Name List'!B49</f>
        <v>Justin Spencer</v>
      </c>
      <c r="C49" s="60">
        <f>'Scores and stats'!QU49</f>
        <v>0</v>
      </c>
      <c r="E49" s="188" t="str">
        <v>Dave Woodget</v>
      </c>
      <c r="F49" s="189">
        <v>1</v>
      </c>
    </row>
    <row r="50" spans="2:6" x14ac:dyDescent="0.15">
      <c r="B50" s="57" t="str">
        <f>'Name List'!B50</f>
        <v>Jake Sprosen</v>
      </c>
      <c r="C50" s="60">
        <f>'Scores and stats'!QU50</f>
        <v>0</v>
      </c>
      <c r="E50" s="188" t="str">
        <v>Jonathan Kanareck</v>
      </c>
      <c r="F50" s="189">
        <v>1</v>
      </c>
    </row>
    <row r="51" spans="2:6" x14ac:dyDescent="0.15">
      <c r="B51" s="57" t="str">
        <f>'Name List'!B51</f>
        <v>Tosh Sprosen</v>
      </c>
      <c r="C51" s="60">
        <f>'Scores and stats'!QU51</f>
        <v>0</v>
      </c>
      <c r="E51" s="188" t="str">
        <v>Kyle Deane</v>
      </c>
      <c r="F51" s="189">
        <v>1</v>
      </c>
    </row>
    <row r="52" spans="2:6" x14ac:dyDescent="0.15">
      <c r="B52" s="57" t="str">
        <f>'Name List'!B52</f>
        <v>Bill Sutton</v>
      </c>
      <c r="C52" s="60">
        <f>'Scores and stats'!QU52</f>
        <v>0</v>
      </c>
      <c r="E52" s="188" t="str">
        <v>Stuart Anderson</v>
      </c>
      <c r="F52" s="189">
        <v>0</v>
      </c>
    </row>
    <row r="53" spans="2:6" x14ac:dyDescent="0.15">
      <c r="B53" s="57" t="str">
        <f>'Name List'!B53</f>
        <v>Dan Thomas</v>
      </c>
      <c r="C53" s="60">
        <f>'Scores and stats'!QU53</f>
        <v>3</v>
      </c>
      <c r="E53" s="188" t="str">
        <v>Mike Chubb</v>
      </c>
      <c r="F53" s="189">
        <v>0</v>
      </c>
    </row>
    <row r="54" spans="2:6" x14ac:dyDescent="0.15">
      <c r="B54" s="57" t="str">
        <f>'Name List'!B54</f>
        <v>Andy Thompson</v>
      </c>
      <c r="C54" s="60">
        <f>'Scores and stats'!QU54</f>
        <v>0</v>
      </c>
      <c r="E54" s="188" t="str">
        <v>Dominic Coughlin</v>
      </c>
      <c r="F54" s="189">
        <v>0</v>
      </c>
    </row>
    <row r="55" spans="2:6" x14ac:dyDescent="0.15">
      <c r="B55" s="57" t="str">
        <f>'Name List'!B55</f>
        <v>Rory Thompson</v>
      </c>
      <c r="C55" s="60">
        <f>'Scores and stats'!QU55</f>
        <v>0</v>
      </c>
      <c r="E55" s="188" t="str">
        <v>Peter Donovan</v>
      </c>
      <c r="F55" s="189">
        <v>0</v>
      </c>
    </row>
    <row r="56" spans="2:6" x14ac:dyDescent="0.15">
      <c r="B56" s="57" t="str">
        <f>'Name List'!B56</f>
        <v>Sonny Thompson</v>
      </c>
      <c r="C56" s="60">
        <f>'Scores and stats'!QU56</f>
        <v>0</v>
      </c>
      <c r="E56" s="188" t="str">
        <v>Gordon Fielding</v>
      </c>
      <c r="F56" s="189">
        <v>0</v>
      </c>
    </row>
    <row r="57" spans="2:6" x14ac:dyDescent="0.15">
      <c r="B57" s="57" t="str">
        <f>'Name List'!B57</f>
        <v>Kevin Tribley</v>
      </c>
      <c r="C57" s="60">
        <f>'Scores and stats'!QU57</f>
        <v>10</v>
      </c>
      <c r="E57" s="188" t="str">
        <v>Mike Forrest</v>
      </c>
      <c r="F57" s="189">
        <v>0</v>
      </c>
    </row>
    <row r="58" spans="2:6" x14ac:dyDescent="0.15">
      <c r="B58" s="57" t="str">
        <f>'Name List'!B58</f>
        <v>Russell Turner</v>
      </c>
      <c r="C58" s="60">
        <f>'Scores and stats'!QU58</f>
        <v>1</v>
      </c>
      <c r="E58" s="188" t="str">
        <v>Stuart Gay</v>
      </c>
      <c r="F58" s="189">
        <v>0</v>
      </c>
    </row>
    <row r="59" spans="2:6" x14ac:dyDescent="0.15">
      <c r="B59" s="57" t="str">
        <f>'Name List'!B59</f>
        <v>Peter Vallely</v>
      </c>
      <c r="C59" s="60">
        <f>'Scores and stats'!QU59</f>
        <v>18</v>
      </c>
      <c r="E59" s="188" t="str">
        <v>Gary Hall</v>
      </c>
      <c r="F59" s="189">
        <v>0</v>
      </c>
    </row>
    <row r="60" spans="2:6" x14ac:dyDescent="0.15">
      <c r="B60" s="57" t="str">
        <f>'Name List'!B60</f>
        <v>Ryan Vaughan</v>
      </c>
      <c r="C60" s="60">
        <f>'Scores and stats'!QU60</f>
        <v>2</v>
      </c>
      <c r="E60" s="188" t="str">
        <v>Tony Hearson</v>
      </c>
      <c r="F60" s="189">
        <v>0</v>
      </c>
    </row>
    <row r="61" spans="2:6" x14ac:dyDescent="0.15">
      <c r="B61" s="57" t="str">
        <f>'Name List'!B61</f>
        <v>Jason Wale</v>
      </c>
      <c r="C61" s="60">
        <f>'Scores and stats'!QU61</f>
        <v>14</v>
      </c>
      <c r="E61" s="188" t="str">
        <v>Martin Holder</v>
      </c>
      <c r="F61" s="189">
        <v>0</v>
      </c>
    </row>
    <row r="62" spans="2:6" x14ac:dyDescent="0.15">
      <c r="B62" s="57" t="str">
        <f>'Name List'!B62</f>
        <v>Terry Walker</v>
      </c>
      <c r="C62" s="60">
        <f>'Scores and stats'!QU62</f>
        <v>2</v>
      </c>
      <c r="E62" s="188" t="str">
        <v>Mark Hutchinson</v>
      </c>
      <c r="F62" s="189">
        <v>0</v>
      </c>
    </row>
    <row r="63" spans="2:6" x14ac:dyDescent="0.15">
      <c r="B63" s="57" t="str">
        <f>'Name List'!B63</f>
        <v>Finn Wheeler</v>
      </c>
      <c r="C63" s="60">
        <f>'Scores and stats'!QU63</f>
        <v>2</v>
      </c>
      <c r="E63" s="188" t="str">
        <v>Andy Lucey</v>
      </c>
      <c r="F63" s="189">
        <v>0</v>
      </c>
    </row>
    <row r="64" spans="2:6" x14ac:dyDescent="0.15">
      <c r="B64" s="57" t="str">
        <f>'Name List'!B64</f>
        <v>Steve Wheeler</v>
      </c>
      <c r="C64" s="60">
        <f>'Scores and stats'!QU64</f>
        <v>2</v>
      </c>
      <c r="E64" s="188" t="str">
        <v>Arron Rutherford</v>
      </c>
      <c r="F64" s="189">
        <v>0</v>
      </c>
    </row>
    <row r="65" spans="2:6" x14ac:dyDescent="0.15">
      <c r="B65" s="57" t="str">
        <f>'Name List'!B65</f>
        <v>Brad Whitehead</v>
      </c>
      <c r="C65" s="60">
        <f>'Scores and stats'!QU65</f>
        <v>37</v>
      </c>
      <c r="E65" s="188" t="str">
        <v>Terry Shoker</v>
      </c>
      <c r="F65" s="189">
        <v>0</v>
      </c>
    </row>
    <row r="66" spans="2:6" x14ac:dyDescent="0.15">
      <c r="B66" s="57" t="str">
        <f>'Name List'!B66</f>
        <v>Dave Woodget</v>
      </c>
      <c r="C66" s="60">
        <f>'Scores and stats'!QU66</f>
        <v>1</v>
      </c>
      <c r="E66" s="188" t="str">
        <v>Justin Spencer</v>
      </c>
      <c r="F66" s="189">
        <v>0</v>
      </c>
    </row>
    <row r="67" spans="2:6" x14ac:dyDescent="0.15">
      <c r="B67" s="57" t="str">
        <f>'Name List'!B67</f>
        <v>Jonathan Kanareck</v>
      </c>
      <c r="C67" s="60">
        <f>'Scores and stats'!QU67</f>
        <v>1</v>
      </c>
      <c r="E67" s="188" t="str">
        <v>Jake Sprosen</v>
      </c>
      <c r="F67" s="189">
        <v>0</v>
      </c>
    </row>
    <row r="68" spans="2:6" x14ac:dyDescent="0.15">
      <c r="B68" s="57" t="str">
        <f>'Name List'!B68</f>
        <v>Oliver Proud</v>
      </c>
      <c r="C68" s="60">
        <f>'Scores and stats'!QU68</f>
        <v>0</v>
      </c>
      <c r="E68" s="188" t="str">
        <v>Tosh Sprosen</v>
      </c>
      <c r="F68" s="189">
        <v>0</v>
      </c>
    </row>
    <row r="69" spans="2:6" x14ac:dyDescent="0.15">
      <c r="B69" s="57" t="str">
        <f>'Name List'!B69</f>
        <v>Joe Hooper</v>
      </c>
      <c r="C69" s="60">
        <f>'Scores and stats'!QU69</f>
        <v>17</v>
      </c>
      <c r="E69" s="188" t="str">
        <v>Bill Sutton</v>
      </c>
      <c r="F69" s="189">
        <v>0</v>
      </c>
    </row>
    <row r="70" spans="2:6" x14ac:dyDescent="0.15">
      <c r="B70" s="57" t="str">
        <f>'Name List'!B70</f>
        <v>Danny Jones</v>
      </c>
      <c r="C70" s="60">
        <f>'Scores and stats'!QU70</f>
        <v>6</v>
      </c>
      <c r="E70" s="188" t="str">
        <v>Andy Thompson</v>
      </c>
      <c r="F70" s="189">
        <v>0</v>
      </c>
    </row>
    <row r="71" spans="2:6" x14ac:dyDescent="0.15">
      <c r="B71" s="57" t="str">
        <f>'Name List'!B71</f>
        <v>Liam Anderson</v>
      </c>
      <c r="C71" s="60">
        <f>'Scores and stats'!QU71</f>
        <v>0</v>
      </c>
      <c r="E71" s="188" t="str">
        <v>Rory Thompson</v>
      </c>
      <c r="F71" s="189">
        <v>0</v>
      </c>
    </row>
    <row r="72" spans="2:6" x14ac:dyDescent="0.15">
      <c r="B72" s="57" t="str">
        <f>'Name List'!B72</f>
        <v>Sam Cochrane</v>
      </c>
      <c r="C72" s="60">
        <f>'Scores and stats'!QU72</f>
        <v>3</v>
      </c>
      <c r="E72" s="188" t="str">
        <v>Sonny Thompson</v>
      </c>
      <c r="F72" s="189">
        <v>0</v>
      </c>
    </row>
    <row r="73" spans="2:6" x14ac:dyDescent="0.15">
      <c r="B73" s="57" t="str">
        <f>'Name List'!B73</f>
        <v>Shaun Alexander</v>
      </c>
      <c r="C73" s="60">
        <f>'Scores and stats'!QU73</f>
        <v>7</v>
      </c>
      <c r="E73" s="188" t="str">
        <v>Oliver Proud</v>
      </c>
      <c r="F73" s="189">
        <v>0</v>
      </c>
    </row>
    <row r="74" spans="2:6" x14ac:dyDescent="0.15">
      <c r="B74" s="57" t="str">
        <f>'Name List'!B74</f>
        <v>Kyle Deane</v>
      </c>
      <c r="C74" s="60">
        <f>'Scores and stats'!QU74</f>
        <v>1</v>
      </c>
      <c r="E74" s="188" t="str">
        <v>Liam Anderson</v>
      </c>
      <c r="F74" s="189">
        <v>0</v>
      </c>
    </row>
    <row r="75" spans="2:6" x14ac:dyDescent="0.15">
      <c r="B75" s="57">
        <f>'Name List'!B75</f>
        <v>1</v>
      </c>
      <c r="C75" s="60">
        <f>'Scores and stats'!QU75</f>
        <v>0</v>
      </c>
      <c r="E75" s="188">
        <v>1</v>
      </c>
      <c r="F75" s="189">
        <v>0</v>
      </c>
    </row>
    <row r="76" spans="2:6" x14ac:dyDescent="0.15">
      <c r="B76" s="57">
        <f>'Name List'!B76</f>
        <v>2</v>
      </c>
      <c r="C76" s="60">
        <f>'Scores and stats'!QU76</f>
        <v>0</v>
      </c>
      <c r="E76" s="188">
        <v>2</v>
      </c>
      <c r="F76" s="189">
        <v>0</v>
      </c>
    </row>
    <row r="77" spans="2:6" x14ac:dyDescent="0.15">
      <c r="B77" s="57">
        <f>'Name List'!B77</f>
        <v>3</v>
      </c>
      <c r="C77" s="60">
        <f>'Scores and stats'!QU77</f>
        <v>0</v>
      </c>
      <c r="E77" s="188">
        <v>3</v>
      </c>
      <c r="F77" s="189">
        <v>0</v>
      </c>
    </row>
    <row r="78" spans="2:6" x14ac:dyDescent="0.15">
      <c r="B78" s="57">
        <f>'Name List'!B78</f>
        <v>4</v>
      </c>
      <c r="C78" s="60">
        <f>'Scores and stats'!QU78</f>
        <v>0</v>
      </c>
      <c r="E78" s="188">
        <v>4</v>
      </c>
      <c r="F78" s="189">
        <v>0</v>
      </c>
    </row>
    <row r="79" spans="2:6" x14ac:dyDescent="0.15">
      <c r="B79" s="57">
        <f>'Name List'!B79</f>
        <v>5</v>
      </c>
      <c r="C79" s="60">
        <f>'Scores and stats'!QU79</f>
        <v>0</v>
      </c>
      <c r="E79" s="188">
        <v>5</v>
      </c>
      <c r="F79" s="189">
        <v>0</v>
      </c>
    </row>
    <row r="80" spans="2:6" x14ac:dyDescent="0.15">
      <c r="B80" s="57">
        <f>'Name List'!B80</f>
        <v>6</v>
      </c>
      <c r="C80" s="60">
        <f>'Scores and stats'!QU80</f>
        <v>0</v>
      </c>
      <c r="E80" s="188">
        <v>6</v>
      </c>
      <c r="F80" s="189">
        <v>0</v>
      </c>
    </row>
    <row r="81" spans="2:6" x14ac:dyDescent="0.15">
      <c r="B81" s="57">
        <f>'Name List'!B81</f>
        <v>7</v>
      </c>
      <c r="C81" s="60">
        <f>'Scores and stats'!QU81</f>
        <v>0</v>
      </c>
      <c r="E81" s="188">
        <v>7</v>
      </c>
      <c r="F81" s="189">
        <v>0</v>
      </c>
    </row>
    <row r="82" spans="2:6" x14ac:dyDescent="0.15">
      <c r="B82" s="57">
        <f>'Name List'!B82</f>
        <v>8</v>
      </c>
      <c r="C82" s="60">
        <f>'Scores and stats'!QU82</f>
        <v>0</v>
      </c>
      <c r="E82" s="188">
        <v>8</v>
      </c>
      <c r="F82" s="189">
        <v>0</v>
      </c>
    </row>
    <row r="83" spans="2:6" x14ac:dyDescent="0.15">
      <c r="B83" s="57">
        <f>'Name List'!B83</f>
        <v>9</v>
      </c>
      <c r="C83" s="60">
        <f>'Scores and stats'!QU83</f>
        <v>0</v>
      </c>
      <c r="E83" s="188">
        <v>9</v>
      </c>
      <c r="F83" s="189">
        <v>0</v>
      </c>
    </row>
    <row r="84" spans="2:6" x14ac:dyDescent="0.15">
      <c r="B84" s="57">
        <f>'Name List'!B84</f>
        <v>10</v>
      </c>
      <c r="C84" s="60">
        <f>'Scores and stats'!QU84</f>
        <v>0</v>
      </c>
      <c r="E84" s="188">
        <v>10</v>
      </c>
      <c r="F84" s="189">
        <v>0</v>
      </c>
    </row>
    <row r="85" spans="2:6" x14ac:dyDescent="0.15">
      <c r="B85" s="57">
        <f>'Name List'!B85</f>
        <v>11</v>
      </c>
      <c r="C85" s="60">
        <f>'Scores and stats'!QU85</f>
        <v>0</v>
      </c>
      <c r="E85" s="188">
        <v>11</v>
      </c>
      <c r="F85" s="189">
        <v>0</v>
      </c>
    </row>
    <row r="86" spans="2:6" x14ac:dyDescent="0.15">
      <c r="B86" s="57">
        <f>'Name List'!B86</f>
        <v>12</v>
      </c>
      <c r="C86" s="60">
        <f>'Scores and stats'!QU86</f>
        <v>0</v>
      </c>
      <c r="E86" s="188">
        <v>12</v>
      </c>
      <c r="F86" s="189">
        <v>0</v>
      </c>
    </row>
    <row r="87" spans="2:6" x14ac:dyDescent="0.15">
      <c r="B87" s="57">
        <f>'Name List'!B87</f>
        <v>13</v>
      </c>
      <c r="C87" s="60">
        <f>'Scores and stats'!QU87</f>
        <v>0</v>
      </c>
      <c r="E87" s="188">
        <v>13</v>
      </c>
      <c r="F87" s="189">
        <v>0</v>
      </c>
    </row>
    <row r="88" spans="2:6" x14ac:dyDescent="0.15">
      <c r="B88" s="57">
        <f>'Name List'!B88</f>
        <v>14</v>
      </c>
      <c r="C88" s="60">
        <f>'Scores and stats'!QU88</f>
        <v>0</v>
      </c>
      <c r="E88" s="188">
        <v>14</v>
      </c>
      <c r="F88" s="189">
        <v>0</v>
      </c>
    </row>
    <row r="89" spans="2:6" x14ac:dyDescent="0.15">
      <c r="B89" s="57">
        <f>'Name List'!B89</f>
        <v>15</v>
      </c>
      <c r="C89" s="60">
        <f>'Scores and stats'!QU89</f>
        <v>0</v>
      </c>
      <c r="E89" s="188">
        <v>15</v>
      </c>
      <c r="F89" s="189">
        <v>0</v>
      </c>
    </row>
    <row r="90" spans="2:6" x14ac:dyDescent="0.15">
      <c r="B90" s="57">
        <f>'Name List'!B90</f>
        <v>16</v>
      </c>
      <c r="C90" s="60">
        <f>'Scores and stats'!QU90</f>
        <v>0</v>
      </c>
      <c r="E90" s="188">
        <v>16</v>
      </c>
      <c r="F90" s="189">
        <v>0</v>
      </c>
    </row>
    <row r="91" spans="2:6" x14ac:dyDescent="0.15">
      <c r="B91" s="57">
        <f>'Name List'!B91</f>
        <v>17</v>
      </c>
      <c r="C91" s="60">
        <f>'Scores and stats'!QU91</f>
        <v>0</v>
      </c>
      <c r="E91" s="188">
        <v>17</v>
      </c>
      <c r="F91" s="189">
        <v>0</v>
      </c>
    </row>
    <row r="92" spans="2:6" x14ac:dyDescent="0.15">
      <c r="B92" s="57">
        <f>'Name List'!B92</f>
        <v>18</v>
      </c>
      <c r="C92" s="60">
        <f>'Scores and stats'!QU92</f>
        <v>0</v>
      </c>
      <c r="E92" s="188">
        <v>18</v>
      </c>
      <c r="F92" s="189">
        <v>0</v>
      </c>
    </row>
    <row r="93" spans="2:6" x14ac:dyDescent="0.15">
      <c r="B93" s="57">
        <f>'Name List'!B93</f>
        <v>19</v>
      </c>
      <c r="C93" s="60">
        <f>'Scores and stats'!QU93</f>
        <v>0</v>
      </c>
      <c r="E93" s="188">
        <v>19</v>
      </c>
      <c r="F93" s="189">
        <v>0</v>
      </c>
    </row>
    <row r="94" spans="2:6" x14ac:dyDescent="0.15">
      <c r="B94" s="57">
        <f>'Name List'!B94</f>
        <v>20</v>
      </c>
      <c r="C94" s="60">
        <f>'Scores and stats'!QU94</f>
        <v>0</v>
      </c>
      <c r="E94" s="188">
        <v>20</v>
      </c>
      <c r="F94" s="189">
        <v>0</v>
      </c>
    </row>
    <row r="95" spans="2:6" x14ac:dyDescent="0.15">
      <c r="B95" s="57">
        <f>'Name List'!B95</f>
        <v>21</v>
      </c>
      <c r="C95" s="60">
        <f>'Scores and stats'!QU95</f>
        <v>0</v>
      </c>
      <c r="E95" s="188">
        <v>21</v>
      </c>
      <c r="F95" s="189">
        <v>0</v>
      </c>
    </row>
    <row r="96" spans="2:6" x14ac:dyDescent="0.15">
      <c r="B96" s="57">
        <f>'Name List'!B96</f>
        <v>22</v>
      </c>
      <c r="C96" s="60">
        <f>'Scores and stats'!QU96</f>
        <v>0</v>
      </c>
      <c r="E96" s="188">
        <v>22</v>
      </c>
      <c r="F96" s="189">
        <v>0</v>
      </c>
    </row>
    <row r="97" spans="2:6" x14ac:dyDescent="0.15">
      <c r="B97" s="57">
        <f>'Name List'!B97</f>
        <v>23</v>
      </c>
      <c r="C97" s="60">
        <f>'Scores and stats'!QU97</f>
        <v>0</v>
      </c>
      <c r="E97" s="188">
        <v>23</v>
      </c>
      <c r="F97" s="189">
        <v>0</v>
      </c>
    </row>
    <row r="98" spans="2:6" x14ac:dyDescent="0.15">
      <c r="B98" s="57">
        <f>'Name List'!B98</f>
        <v>24</v>
      </c>
      <c r="C98" s="60">
        <f>'Scores and stats'!QU98</f>
        <v>0</v>
      </c>
      <c r="E98" s="188">
        <v>24</v>
      </c>
      <c r="F98" s="189">
        <v>0</v>
      </c>
    </row>
    <row r="99" spans="2:6" x14ac:dyDescent="0.15">
      <c r="B99" s="57">
        <f>'Name List'!B99</f>
        <v>25</v>
      </c>
      <c r="C99" s="60">
        <f>'Scores and stats'!QU99</f>
        <v>0</v>
      </c>
      <c r="E99" s="188">
        <v>25</v>
      </c>
      <c r="F99" s="189">
        <v>0</v>
      </c>
    </row>
    <row r="100" spans="2:6" x14ac:dyDescent="0.15">
      <c r="B100" s="57">
        <f>'Name List'!B100</f>
        <v>26</v>
      </c>
      <c r="C100" s="60">
        <f>'Scores and stats'!QU100</f>
        <v>0</v>
      </c>
      <c r="E100" s="188">
        <v>26</v>
      </c>
      <c r="F100" s="189">
        <v>0</v>
      </c>
    </row>
    <row r="101" spans="2:6" x14ac:dyDescent="0.15">
      <c r="B101" s="57">
        <f>'Name List'!B101</f>
        <v>27</v>
      </c>
      <c r="C101" s="60">
        <f>'Scores and stats'!QU101</f>
        <v>0</v>
      </c>
      <c r="E101" s="188">
        <v>27</v>
      </c>
      <c r="F101" s="189">
        <v>0</v>
      </c>
    </row>
    <row r="102" spans="2:6" x14ac:dyDescent="0.15">
      <c r="B102" s="57">
        <f>'Name List'!B102</f>
        <v>28</v>
      </c>
      <c r="C102" s="60">
        <f>'Scores and stats'!QU102</f>
        <v>0</v>
      </c>
      <c r="E102" s="188">
        <v>28</v>
      </c>
      <c r="F102" s="189">
        <v>0</v>
      </c>
    </row>
    <row r="103" spans="2:6" x14ac:dyDescent="0.15">
      <c r="B103" s="57">
        <f>'Name List'!B103</f>
        <v>29</v>
      </c>
      <c r="C103" s="60">
        <f>'Scores and stats'!QU103</f>
        <v>0</v>
      </c>
      <c r="E103" s="188">
        <v>29</v>
      </c>
      <c r="F103" s="189">
        <v>0</v>
      </c>
    </row>
    <row r="104" spans="2:6" x14ac:dyDescent="0.15">
      <c r="B104" s="57">
        <f>'Name List'!B104</f>
        <v>30</v>
      </c>
      <c r="C104" s="60">
        <f>'Scores and stats'!QU104</f>
        <v>0</v>
      </c>
      <c r="E104" s="188">
        <v>30</v>
      </c>
      <c r="F104" s="189">
        <v>0</v>
      </c>
    </row>
    <row r="105" spans="2:6" x14ac:dyDescent="0.15">
      <c r="B105" s="57">
        <f>'Name List'!B105</f>
        <v>31</v>
      </c>
      <c r="C105" s="60">
        <f>'Scores and stats'!QU105</f>
        <v>0</v>
      </c>
      <c r="E105" s="190">
        <v>31</v>
      </c>
      <c r="F105" s="191">
        <v>0</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7C8A-8A4D-4A8E-9D84-30E9811E05F8}">
  <sheetPr>
    <tabColor rgb="FFB7EDB4"/>
  </sheetPr>
  <dimension ref="B3:F105"/>
  <sheetViews>
    <sheetView workbookViewId="0">
      <selection activeCell="C6" sqref="C6"/>
    </sheetView>
  </sheetViews>
  <sheetFormatPr defaultColWidth="9.33203125" defaultRowHeight="11.25" x14ac:dyDescent="0.15"/>
  <cols>
    <col min="1" max="1" width="9.33203125" style="57"/>
    <col min="2" max="2" width="23.1640625" style="57" customWidth="1"/>
    <col min="3" max="3" width="17.6640625" style="58" customWidth="1"/>
    <col min="4" max="4" width="3.5" style="57" customWidth="1"/>
    <col min="5" max="5" width="25" style="59" customWidth="1"/>
    <col min="6" max="6" width="9.33203125" style="59"/>
    <col min="7" max="16384" width="9.33203125" style="57"/>
  </cols>
  <sheetData>
    <row r="3" spans="2:6" x14ac:dyDescent="0.15">
      <c r="C3" s="58" t="s">
        <v>124</v>
      </c>
      <c r="D3" s="58"/>
      <c r="E3" s="724" t="s">
        <v>129</v>
      </c>
      <c r="F3" s="725"/>
    </row>
    <row r="4" spans="2:6" x14ac:dyDescent="0.15">
      <c r="E4" s="192"/>
      <c r="F4" s="193"/>
    </row>
    <row r="5" spans="2:6" x14ac:dyDescent="0.15">
      <c r="E5" s="192"/>
      <c r="F5" s="193"/>
    </row>
    <row r="6" spans="2:6" x14ac:dyDescent="0.15">
      <c r="B6" s="57" t="str">
        <f>'Name List'!B6</f>
        <v>Stuart Anderson</v>
      </c>
      <c r="C6" s="60">
        <f>'Scores and stats'!QV6</f>
        <v>0</v>
      </c>
      <c r="D6" s="61"/>
      <c r="E6" s="192" t="str" cm="1">
        <f t="array" ref="E6:F105">_xlfn._xlws.SORT(B6:C105,2,-1)</f>
        <v>Dave Randall</v>
      </c>
      <c r="F6" s="193">
        <v>122</v>
      </c>
    </row>
    <row r="7" spans="2:6" x14ac:dyDescent="0.15">
      <c r="B7" s="57" t="str">
        <f>'Name List'!B7</f>
        <v>Max Ball</v>
      </c>
      <c r="C7" s="60">
        <f>'Scores and stats'!QV7</f>
        <v>85</v>
      </c>
      <c r="E7" s="192" t="str">
        <v>Chris Smith</v>
      </c>
      <c r="F7" s="193">
        <v>114</v>
      </c>
    </row>
    <row r="8" spans="2:6" x14ac:dyDescent="0.15">
      <c r="B8" s="57" t="str">
        <f>'Name List'!B8</f>
        <v>Harley Bishop</v>
      </c>
      <c r="C8" s="60">
        <f>'Scores and stats'!QV8</f>
        <v>30</v>
      </c>
      <c r="E8" s="192" t="str">
        <v>Brad Whitehead</v>
      </c>
      <c r="F8" s="193">
        <v>109</v>
      </c>
    </row>
    <row r="9" spans="2:6" x14ac:dyDescent="0.15">
      <c r="B9" s="57" t="str">
        <f>'Name List'!B9</f>
        <v>Chris Burroughs</v>
      </c>
      <c r="C9" s="60">
        <f>'Scores and stats'!QV9</f>
        <v>17</v>
      </c>
      <c r="E9" s="192" t="str">
        <v>Peter Vallely</v>
      </c>
      <c r="F9" s="193">
        <v>104</v>
      </c>
    </row>
    <row r="10" spans="2:6" x14ac:dyDescent="0.15">
      <c r="B10" s="57" t="str">
        <f>'Name List'!B10</f>
        <v>George Burton</v>
      </c>
      <c r="C10" s="60">
        <f>'Scores and stats'!QV10</f>
        <v>14</v>
      </c>
      <c r="E10" s="192" t="str">
        <v>Martin Coomber</v>
      </c>
      <c r="F10" s="193">
        <v>102</v>
      </c>
    </row>
    <row r="11" spans="2:6" x14ac:dyDescent="0.15">
      <c r="B11" s="57" t="str">
        <f>'Name List'!B11</f>
        <v>Tom Burton</v>
      </c>
      <c r="C11" s="60">
        <f>'Scores and stats'!QV11</f>
        <v>50</v>
      </c>
      <c r="E11" s="192" t="str">
        <v>Andy Johnson</v>
      </c>
      <c r="F11" s="193">
        <v>100</v>
      </c>
    </row>
    <row r="12" spans="2:6" x14ac:dyDescent="0.15">
      <c r="B12" s="57" t="str">
        <f>'Name List'!B12</f>
        <v>Mike Chubb</v>
      </c>
      <c r="C12" s="60">
        <f>'Scores and stats'!QV12</f>
        <v>3</v>
      </c>
      <c r="E12" s="192" t="str">
        <v>Kevin Tribley</v>
      </c>
      <c r="F12" s="193">
        <v>87</v>
      </c>
    </row>
    <row r="13" spans="2:6" x14ac:dyDescent="0.15">
      <c r="B13" s="57" t="str">
        <f>'Name List'!B13</f>
        <v>George Clarke</v>
      </c>
      <c r="C13" s="60">
        <f>'Scores and stats'!QV13</f>
        <v>7</v>
      </c>
      <c r="E13" s="192" t="str">
        <v>Max Ball</v>
      </c>
      <c r="F13" s="193">
        <v>85</v>
      </c>
    </row>
    <row r="14" spans="2:6" x14ac:dyDescent="0.15">
      <c r="B14" s="57" t="str">
        <f>'Name List'!B14</f>
        <v>Paul Clarke</v>
      </c>
      <c r="C14" s="60">
        <f>'Scores and stats'!QV14</f>
        <v>36</v>
      </c>
      <c r="E14" s="192" t="str">
        <v>Tony Forsyth-James</v>
      </c>
      <c r="F14" s="193">
        <v>82</v>
      </c>
    </row>
    <row r="15" spans="2:6" x14ac:dyDescent="0.15">
      <c r="B15" s="57" t="str">
        <f>'Name List'!B15</f>
        <v>Martin Coomber</v>
      </c>
      <c r="C15" s="60">
        <f>'Scores and stats'!QV15</f>
        <v>102</v>
      </c>
      <c r="E15" s="192" t="str">
        <v>Justin Hunt</v>
      </c>
      <c r="F15" s="193">
        <v>80</v>
      </c>
    </row>
    <row r="16" spans="2:6" x14ac:dyDescent="0.15">
      <c r="B16" s="57" t="str">
        <f>'Name List'!B16</f>
        <v>Dominic Coughlin</v>
      </c>
      <c r="C16" s="60">
        <f>'Scores and stats'!QV16</f>
        <v>2</v>
      </c>
      <c r="E16" s="192" t="str">
        <v>Jason Wale</v>
      </c>
      <c r="F16" s="193">
        <v>78</v>
      </c>
    </row>
    <row r="17" spans="2:6" x14ac:dyDescent="0.15">
      <c r="B17" s="57" t="str">
        <f>'Name List'!B17</f>
        <v>Gareth Davies</v>
      </c>
      <c r="C17" s="60">
        <f>'Scores and stats'!QV17</f>
        <v>31</v>
      </c>
      <c r="E17" s="192" t="str">
        <v>Ben Fleet</v>
      </c>
      <c r="F17" s="193">
        <v>77</v>
      </c>
    </row>
    <row r="18" spans="2:6" x14ac:dyDescent="0.15">
      <c r="B18" s="57" t="str">
        <f>'Name List'!B18</f>
        <v>Peter Donovan</v>
      </c>
      <c r="C18" s="60">
        <f>'Scores and stats'!QV18</f>
        <v>0</v>
      </c>
      <c r="E18" s="192" t="str">
        <v>Anthony Harris</v>
      </c>
      <c r="F18" s="193">
        <v>55</v>
      </c>
    </row>
    <row r="19" spans="2:6" x14ac:dyDescent="0.15">
      <c r="B19" s="57" t="str">
        <f>'Name List'!B19</f>
        <v>James Dunn</v>
      </c>
      <c r="C19" s="60">
        <f>'Scores and stats'!QV19</f>
        <v>15</v>
      </c>
      <c r="E19" s="192" t="str">
        <v>Neil Hart</v>
      </c>
      <c r="F19" s="193">
        <v>53</v>
      </c>
    </row>
    <row r="20" spans="2:6" x14ac:dyDescent="0.15">
      <c r="B20" s="57" t="str">
        <f>'Name List'!B20</f>
        <v>Gordon Fielding</v>
      </c>
      <c r="C20" s="60">
        <f>'Scores and stats'!QV20</f>
        <v>0</v>
      </c>
      <c r="E20" s="192" t="str">
        <v>Tom Burton</v>
      </c>
      <c r="F20" s="193">
        <v>50</v>
      </c>
    </row>
    <row r="21" spans="2:6" x14ac:dyDescent="0.15">
      <c r="B21" s="57" t="str">
        <f>'Name List'!B21</f>
        <v>Paul Fitzgerald</v>
      </c>
      <c r="C21" s="60">
        <f>'Scores and stats'!QV21</f>
        <v>21</v>
      </c>
      <c r="E21" s="192" t="str">
        <v>Shaun Alexander</v>
      </c>
      <c r="F21" s="193">
        <v>43</v>
      </c>
    </row>
    <row r="22" spans="2:6" x14ac:dyDescent="0.15">
      <c r="B22" s="57" t="str">
        <f>'Name List'!B22</f>
        <v>Ben Fleet</v>
      </c>
      <c r="C22" s="60">
        <f>'Scores and stats'!QV22</f>
        <v>77</v>
      </c>
      <c r="D22" s="61"/>
      <c r="E22" s="192" t="str">
        <v>Dickie Moxham</v>
      </c>
      <c r="F22" s="193">
        <v>40</v>
      </c>
    </row>
    <row r="23" spans="2:6" x14ac:dyDescent="0.15">
      <c r="B23" s="57" t="str">
        <f>'Name List'!B23</f>
        <v>Mike Forrest</v>
      </c>
      <c r="C23" s="60">
        <f>'Scores and stats'!QV23</f>
        <v>26</v>
      </c>
      <c r="E23" s="192" t="str">
        <v>Joe Hooper</v>
      </c>
      <c r="F23" s="193">
        <v>39</v>
      </c>
    </row>
    <row r="24" spans="2:6" x14ac:dyDescent="0.15">
      <c r="B24" s="57" t="str">
        <f>'Name List'!B24</f>
        <v>Tony Forsyth-James</v>
      </c>
      <c r="C24" s="60">
        <f>'Scores and stats'!QV24</f>
        <v>82</v>
      </c>
      <c r="E24" s="192" t="str">
        <v>Paul Clarke</v>
      </c>
      <c r="F24" s="193">
        <v>36</v>
      </c>
    </row>
    <row r="25" spans="2:6" x14ac:dyDescent="0.15">
      <c r="B25" s="57" t="str">
        <f>'Name List'!B25</f>
        <v>Archie Fraser</v>
      </c>
      <c r="C25" s="60">
        <f>'Scores and stats'!QV25</f>
        <v>13</v>
      </c>
      <c r="E25" s="192" t="str">
        <v>Gareth Davies</v>
      </c>
      <c r="F25" s="193">
        <v>31</v>
      </c>
    </row>
    <row r="26" spans="2:6" x14ac:dyDescent="0.15">
      <c r="B26" s="57" t="str">
        <f>'Name List'!B26</f>
        <v>Ross Fraser</v>
      </c>
      <c r="C26" s="60">
        <f>'Scores and stats'!QV26</f>
        <v>15</v>
      </c>
      <c r="E26" s="192" t="str">
        <v>Nick Garner</v>
      </c>
      <c r="F26" s="193">
        <v>31</v>
      </c>
    </row>
    <row r="27" spans="2:6" x14ac:dyDescent="0.15">
      <c r="B27" s="57" t="str">
        <f>'Name List'!B27</f>
        <v>Nick Garner</v>
      </c>
      <c r="C27" s="60">
        <f>'Scores and stats'!QV27</f>
        <v>31</v>
      </c>
      <c r="D27" s="61"/>
      <c r="E27" s="192" t="str">
        <v>Terry Walker</v>
      </c>
      <c r="F27" s="193">
        <v>31</v>
      </c>
    </row>
    <row r="28" spans="2:6" x14ac:dyDescent="0.15">
      <c r="B28" s="57" t="str">
        <f>'Name List'!B28</f>
        <v>Stuart Gay</v>
      </c>
      <c r="C28" s="60">
        <f>'Scores and stats'!QV28</f>
        <v>5</v>
      </c>
      <c r="E28" s="192" t="str">
        <v>Harley Bishop</v>
      </c>
      <c r="F28" s="193">
        <v>30</v>
      </c>
    </row>
    <row r="29" spans="2:6" x14ac:dyDescent="0.15">
      <c r="B29" s="57" t="str">
        <f>'Name List'!B29</f>
        <v>Jordan Hall</v>
      </c>
      <c r="C29" s="60">
        <f>'Scores and stats'!QV29</f>
        <v>13</v>
      </c>
      <c r="D29" s="61"/>
      <c r="E29" s="192" t="str">
        <v>Paul Martin</v>
      </c>
      <c r="F29" s="193">
        <v>29</v>
      </c>
    </row>
    <row r="30" spans="2:6" x14ac:dyDescent="0.15">
      <c r="B30" s="57" t="str">
        <f>'Name List'!B30</f>
        <v>Gary Hall</v>
      </c>
      <c r="C30" s="60">
        <f>'Scores and stats'!QV30</f>
        <v>4</v>
      </c>
      <c r="E30" s="192" t="str">
        <v>Mike Forrest</v>
      </c>
      <c r="F30" s="193">
        <v>26</v>
      </c>
    </row>
    <row r="31" spans="2:6" x14ac:dyDescent="0.15">
      <c r="B31" s="57" t="str">
        <f>'Name List'!B31</f>
        <v>Anthony Harris</v>
      </c>
      <c r="C31" s="60">
        <f>'Scores and stats'!QV31</f>
        <v>55</v>
      </c>
      <c r="E31" s="192" t="str">
        <v>Russell Turner</v>
      </c>
      <c r="F31" s="193">
        <v>22</v>
      </c>
    </row>
    <row r="32" spans="2:6" x14ac:dyDescent="0.15">
      <c r="B32" s="57" t="str">
        <f>'Name List'!B32</f>
        <v>Neil Hart</v>
      </c>
      <c r="C32" s="60">
        <f>'Scores and stats'!QV32</f>
        <v>53</v>
      </c>
      <c r="E32" s="192" t="str">
        <v>Finn Wheeler</v>
      </c>
      <c r="F32" s="193">
        <v>22</v>
      </c>
    </row>
    <row r="33" spans="2:6" x14ac:dyDescent="0.15">
      <c r="B33" s="57" t="str">
        <f>'Name List'!B33</f>
        <v>Tony Hearson</v>
      </c>
      <c r="C33" s="60">
        <f>'Scores and stats'!QV33</f>
        <v>0</v>
      </c>
      <c r="E33" s="192" t="str">
        <v>Paul Fitzgerald</v>
      </c>
      <c r="F33" s="193">
        <v>21</v>
      </c>
    </row>
    <row r="34" spans="2:6" x14ac:dyDescent="0.15">
      <c r="B34" s="57" t="str">
        <f>'Name List'!B34</f>
        <v>David Hilton</v>
      </c>
      <c r="C34" s="60">
        <f>'Scores and stats'!QV34</f>
        <v>7</v>
      </c>
      <c r="E34" s="192" t="str">
        <v>Edward Money</v>
      </c>
      <c r="F34" s="193">
        <v>21</v>
      </c>
    </row>
    <row r="35" spans="2:6" x14ac:dyDescent="0.15">
      <c r="B35" s="57" t="str">
        <f>'Name List'!B35</f>
        <v>Eoghan Hilton</v>
      </c>
      <c r="C35" s="60">
        <f>'Scores and stats'!QV35</f>
        <v>12</v>
      </c>
      <c r="E35" s="192" t="str">
        <v>Danny Jones</v>
      </c>
      <c r="F35" s="193">
        <v>21</v>
      </c>
    </row>
    <row r="36" spans="2:6" x14ac:dyDescent="0.15">
      <c r="B36" s="57" t="str">
        <f>'Name List'!B36</f>
        <v>Martin Holder</v>
      </c>
      <c r="C36" s="60">
        <f>'Scores and stats'!QV36</f>
        <v>0</v>
      </c>
      <c r="E36" s="192" t="str">
        <v>Dan Thomas</v>
      </c>
      <c r="F36" s="193">
        <v>20</v>
      </c>
    </row>
    <row r="37" spans="2:6" x14ac:dyDescent="0.15">
      <c r="B37" s="57" t="str">
        <f>'Name List'!B37</f>
        <v>Justin Hunt</v>
      </c>
      <c r="C37" s="60">
        <f>'Scores and stats'!QV37</f>
        <v>80</v>
      </c>
      <c r="E37" s="192" t="str">
        <v>Ryan Vaughan</v>
      </c>
      <c r="F37" s="193">
        <v>19</v>
      </c>
    </row>
    <row r="38" spans="2:6" x14ac:dyDescent="0.15">
      <c r="B38" s="57" t="str">
        <f>'Name List'!B38</f>
        <v>Mark Hutchinson</v>
      </c>
      <c r="C38" s="60">
        <f>'Scores and stats'!QV38</f>
        <v>0</v>
      </c>
      <c r="E38" s="192" t="str">
        <v>Steve Wheeler</v>
      </c>
      <c r="F38" s="193">
        <v>18</v>
      </c>
    </row>
    <row r="39" spans="2:6" x14ac:dyDescent="0.15">
      <c r="B39" s="57" t="str">
        <f>'Name List'!B39</f>
        <v>Andy Johnson</v>
      </c>
      <c r="C39" s="60">
        <f>'Scores and stats'!QV39</f>
        <v>100</v>
      </c>
      <c r="E39" s="192" t="str">
        <v>Chris Burroughs</v>
      </c>
      <c r="F39" s="193">
        <v>17</v>
      </c>
    </row>
    <row r="40" spans="2:6" x14ac:dyDescent="0.15">
      <c r="B40" s="57" t="str">
        <f>'Name List'!B40</f>
        <v>Oli Lloyd</v>
      </c>
      <c r="C40" s="60">
        <f>'Scores and stats'!QV40</f>
        <v>17</v>
      </c>
      <c r="E40" s="192" t="str">
        <v>Oli Lloyd</v>
      </c>
      <c r="F40" s="193">
        <v>17</v>
      </c>
    </row>
    <row r="41" spans="2:6" x14ac:dyDescent="0.15">
      <c r="B41" s="57" t="str">
        <f>'Name List'!B41</f>
        <v>Andy Lucey</v>
      </c>
      <c r="C41" s="60">
        <f>'Scores and stats'!QV41</f>
        <v>0</v>
      </c>
      <c r="E41" s="192" t="str">
        <v>Sam Cochrane</v>
      </c>
      <c r="F41" s="193">
        <v>16</v>
      </c>
    </row>
    <row r="42" spans="2:6" x14ac:dyDescent="0.15">
      <c r="B42" s="57" t="str">
        <f>'Name List'!B42</f>
        <v>Paul Martin</v>
      </c>
      <c r="C42" s="60">
        <f>'Scores and stats'!QV42</f>
        <v>29</v>
      </c>
      <c r="D42" s="61"/>
      <c r="E42" s="192" t="str">
        <v>James Dunn</v>
      </c>
      <c r="F42" s="193">
        <v>15</v>
      </c>
    </row>
    <row r="43" spans="2:6" x14ac:dyDescent="0.15">
      <c r="B43" s="57" t="str">
        <f>'Name List'!B43</f>
        <v>Edward Money</v>
      </c>
      <c r="C43" s="60">
        <f>'Scores and stats'!QV43</f>
        <v>21</v>
      </c>
      <c r="D43" s="61"/>
      <c r="E43" s="192" t="str">
        <v>Ross Fraser</v>
      </c>
      <c r="F43" s="193">
        <v>15</v>
      </c>
    </row>
    <row r="44" spans="2:6" x14ac:dyDescent="0.15">
      <c r="B44" s="57" t="str">
        <f>'Name List'!B44</f>
        <v>Dickie Moxham</v>
      </c>
      <c r="C44" s="60">
        <f>'Scores and stats'!QV44</f>
        <v>40</v>
      </c>
      <c r="E44" s="192" t="str">
        <v>George Burton</v>
      </c>
      <c r="F44" s="193">
        <v>14</v>
      </c>
    </row>
    <row r="45" spans="2:6" x14ac:dyDescent="0.15">
      <c r="B45" s="57" t="str">
        <f>'Name List'!B45</f>
        <v>Dave Randall</v>
      </c>
      <c r="C45" s="60">
        <f>'Scores and stats'!QV45</f>
        <v>122</v>
      </c>
      <c r="E45" s="192" t="str">
        <v>Archie Fraser</v>
      </c>
      <c r="F45" s="193">
        <v>13</v>
      </c>
    </row>
    <row r="46" spans="2:6" x14ac:dyDescent="0.15">
      <c r="B46" s="57" t="str">
        <f>'Name List'!B46</f>
        <v>Arron Rutherford</v>
      </c>
      <c r="C46" s="60">
        <f>'Scores and stats'!QV46</f>
        <v>9</v>
      </c>
      <c r="E46" s="192" t="str">
        <v>Jordan Hall</v>
      </c>
      <c r="F46" s="193">
        <v>13</v>
      </c>
    </row>
    <row r="47" spans="2:6" x14ac:dyDescent="0.15">
      <c r="B47" s="57" t="str">
        <f>'Name List'!B47</f>
        <v>Terry Shoker</v>
      </c>
      <c r="C47" s="60">
        <f>'Scores and stats'!QV47</f>
        <v>0</v>
      </c>
      <c r="E47" s="192" t="str">
        <v>Eoghan Hilton</v>
      </c>
      <c r="F47" s="193">
        <v>12</v>
      </c>
    </row>
    <row r="48" spans="2:6" x14ac:dyDescent="0.15">
      <c r="B48" s="57" t="str">
        <f>'Name List'!B48</f>
        <v>Chris Smith</v>
      </c>
      <c r="C48" s="60">
        <f>'Scores and stats'!QV48</f>
        <v>114</v>
      </c>
      <c r="D48" s="61"/>
      <c r="E48" s="192" t="str">
        <v>Arron Rutherford</v>
      </c>
      <c r="F48" s="193">
        <v>9</v>
      </c>
    </row>
    <row r="49" spans="2:6" x14ac:dyDescent="0.15">
      <c r="B49" s="57" t="str">
        <f>'Name List'!B49</f>
        <v>Justin Spencer</v>
      </c>
      <c r="C49" s="60">
        <f>'Scores and stats'!QV49</f>
        <v>8</v>
      </c>
      <c r="E49" s="192" t="str">
        <v>Justin Spencer</v>
      </c>
      <c r="F49" s="193">
        <v>8</v>
      </c>
    </row>
    <row r="50" spans="2:6" x14ac:dyDescent="0.15">
      <c r="B50" s="57" t="str">
        <f>'Name List'!B50</f>
        <v>Jake Sprosen</v>
      </c>
      <c r="C50" s="60">
        <f>'Scores and stats'!QV50</f>
        <v>0</v>
      </c>
      <c r="E50" s="192" t="str">
        <v>George Clarke</v>
      </c>
      <c r="F50" s="193">
        <v>7</v>
      </c>
    </row>
    <row r="51" spans="2:6" x14ac:dyDescent="0.15">
      <c r="B51" s="57" t="str">
        <f>'Name List'!B51</f>
        <v>Tosh Sprosen</v>
      </c>
      <c r="C51" s="60">
        <f>'Scores and stats'!QV51</f>
        <v>0</v>
      </c>
      <c r="E51" s="192" t="str">
        <v>David Hilton</v>
      </c>
      <c r="F51" s="193">
        <v>7</v>
      </c>
    </row>
    <row r="52" spans="2:6" x14ac:dyDescent="0.15">
      <c r="B52" s="57" t="str">
        <f>'Name List'!B52</f>
        <v>Bill Sutton</v>
      </c>
      <c r="C52" s="60">
        <f>'Scores and stats'!QV52</f>
        <v>0</v>
      </c>
      <c r="E52" s="192" t="str">
        <v>Jonathan Kanareck</v>
      </c>
      <c r="F52" s="193">
        <v>6</v>
      </c>
    </row>
    <row r="53" spans="2:6" x14ac:dyDescent="0.15">
      <c r="B53" s="57" t="str">
        <f>'Name List'!B53</f>
        <v>Dan Thomas</v>
      </c>
      <c r="C53" s="60">
        <f>'Scores and stats'!QV53</f>
        <v>20</v>
      </c>
      <c r="E53" s="192" t="str">
        <v>Stuart Gay</v>
      </c>
      <c r="F53" s="193">
        <v>5</v>
      </c>
    </row>
    <row r="54" spans="2:6" x14ac:dyDescent="0.15">
      <c r="B54" s="57" t="str">
        <f>'Name List'!B54</f>
        <v>Andy Thompson</v>
      </c>
      <c r="C54" s="60">
        <f>'Scores and stats'!QV54</f>
        <v>0</v>
      </c>
      <c r="E54" s="192" t="str">
        <v>Dave Woodget</v>
      </c>
      <c r="F54" s="193">
        <v>5</v>
      </c>
    </row>
    <row r="55" spans="2:6" x14ac:dyDescent="0.15">
      <c r="B55" s="57" t="str">
        <f>'Name List'!B55</f>
        <v>Rory Thompson</v>
      </c>
      <c r="C55" s="60">
        <f>'Scores and stats'!QV55</f>
        <v>0</v>
      </c>
      <c r="E55" s="192" t="str">
        <v>Kyle Deane</v>
      </c>
      <c r="F55" s="193">
        <v>5</v>
      </c>
    </row>
    <row r="56" spans="2:6" x14ac:dyDescent="0.15">
      <c r="B56" s="57" t="str">
        <f>'Name List'!B56</f>
        <v>Sonny Thompson</v>
      </c>
      <c r="C56" s="60">
        <f>'Scores and stats'!QV56</f>
        <v>0</v>
      </c>
      <c r="E56" s="192" t="str">
        <v>Gary Hall</v>
      </c>
      <c r="F56" s="193">
        <v>4</v>
      </c>
    </row>
    <row r="57" spans="2:6" x14ac:dyDescent="0.15">
      <c r="B57" s="57" t="str">
        <f>'Name List'!B57</f>
        <v>Kevin Tribley</v>
      </c>
      <c r="C57" s="60">
        <f>'Scores and stats'!QV57</f>
        <v>87</v>
      </c>
      <c r="E57" s="192" t="str">
        <v>Mike Chubb</v>
      </c>
      <c r="F57" s="193">
        <v>3</v>
      </c>
    </row>
    <row r="58" spans="2:6" x14ac:dyDescent="0.15">
      <c r="B58" s="57" t="str">
        <f>'Name List'!B58</f>
        <v>Russell Turner</v>
      </c>
      <c r="C58" s="60">
        <f>'Scores and stats'!QV58</f>
        <v>22</v>
      </c>
      <c r="E58" s="192" t="str">
        <v>Oliver Proud</v>
      </c>
      <c r="F58" s="193">
        <v>3</v>
      </c>
    </row>
    <row r="59" spans="2:6" x14ac:dyDescent="0.15">
      <c r="B59" s="57" t="str">
        <f>'Name List'!B59</f>
        <v>Peter Vallely</v>
      </c>
      <c r="C59" s="60">
        <f>'Scores and stats'!QV59</f>
        <v>104</v>
      </c>
      <c r="E59" s="192" t="str">
        <v>Dominic Coughlin</v>
      </c>
      <c r="F59" s="193">
        <v>2</v>
      </c>
    </row>
    <row r="60" spans="2:6" x14ac:dyDescent="0.15">
      <c r="B60" s="57" t="str">
        <f>'Name List'!B60</f>
        <v>Ryan Vaughan</v>
      </c>
      <c r="C60" s="60">
        <f>'Scores and stats'!QV60</f>
        <v>19</v>
      </c>
      <c r="E60" s="192" t="str">
        <v>Stuart Anderson</v>
      </c>
      <c r="F60" s="193">
        <v>0</v>
      </c>
    </row>
    <row r="61" spans="2:6" x14ac:dyDescent="0.15">
      <c r="B61" s="57" t="str">
        <f>'Name List'!B61</f>
        <v>Jason Wale</v>
      </c>
      <c r="C61" s="60">
        <f>'Scores and stats'!QV61</f>
        <v>78</v>
      </c>
      <c r="E61" s="192" t="str">
        <v>Peter Donovan</v>
      </c>
      <c r="F61" s="193">
        <v>0</v>
      </c>
    </row>
    <row r="62" spans="2:6" x14ac:dyDescent="0.15">
      <c r="B62" s="57" t="str">
        <f>'Name List'!B62</f>
        <v>Terry Walker</v>
      </c>
      <c r="C62" s="60">
        <f>'Scores and stats'!QV62</f>
        <v>31</v>
      </c>
      <c r="E62" s="192" t="str">
        <v>Gordon Fielding</v>
      </c>
      <c r="F62" s="193">
        <v>0</v>
      </c>
    </row>
    <row r="63" spans="2:6" x14ac:dyDescent="0.15">
      <c r="B63" s="57" t="str">
        <f>'Name List'!B63</f>
        <v>Finn Wheeler</v>
      </c>
      <c r="C63" s="60">
        <f>'Scores and stats'!QV63</f>
        <v>22</v>
      </c>
      <c r="E63" s="192" t="str">
        <v>Tony Hearson</v>
      </c>
      <c r="F63" s="193">
        <v>0</v>
      </c>
    </row>
    <row r="64" spans="2:6" x14ac:dyDescent="0.15">
      <c r="B64" s="57" t="str">
        <f>'Name List'!B64</f>
        <v>Steve Wheeler</v>
      </c>
      <c r="C64" s="60">
        <f>'Scores and stats'!QV64</f>
        <v>18</v>
      </c>
      <c r="E64" s="192" t="str">
        <v>Martin Holder</v>
      </c>
      <c r="F64" s="193">
        <v>0</v>
      </c>
    </row>
    <row r="65" spans="2:6" x14ac:dyDescent="0.15">
      <c r="B65" s="57" t="str">
        <f>'Name List'!B65</f>
        <v>Brad Whitehead</v>
      </c>
      <c r="C65" s="60">
        <f>'Scores and stats'!QV65</f>
        <v>109</v>
      </c>
      <c r="E65" s="192" t="str">
        <v>Mark Hutchinson</v>
      </c>
      <c r="F65" s="193">
        <v>0</v>
      </c>
    </row>
    <row r="66" spans="2:6" x14ac:dyDescent="0.15">
      <c r="B66" s="57" t="str">
        <f>'Name List'!B66</f>
        <v>Dave Woodget</v>
      </c>
      <c r="C66" s="60">
        <f>'Scores and stats'!QV66</f>
        <v>5</v>
      </c>
      <c r="E66" s="192" t="str">
        <v>Andy Lucey</v>
      </c>
      <c r="F66" s="193">
        <v>0</v>
      </c>
    </row>
    <row r="67" spans="2:6" x14ac:dyDescent="0.15">
      <c r="B67" s="57" t="str">
        <f>'Name List'!B67</f>
        <v>Jonathan Kanareck</v>
      </c>
      <c r="C67" s="60">
        <f>'Scores and stats'!QV67</f>
        <v>6</v>
      </c>
      <c r="E67" s="192" t="str">
        <v>Terry Shoker</v>
      </c>
      <c r="F67" s="193">
        <v>0</v>
      </c>
    </row>
    <row r="68" spans="2:6" x14ac:dyDescent="0.15">
      <c r="B68" s="57" t="str">
        <f>'Name List'!B68</f>
        <v>Oliver Proud</v>
      </c>
      <c r="C68" s="60">
        <f>'Scores and stats'!QV68</f>
        <v>3</v>
      </c>
      <c r="E68" s="192" t="str">
        <v>Jake Sprosen</v>
      </c>
      <c r="F68" s="193">
        <v>0</v>
      </c>
    </row>
    <row r="69" spans="2:6" x14ac:dyDescent="0.15">
      <c r="B69" s="57" t="str">
        <f>'Name List'!B69</f>
        <v>Joe Hooper</v>
      </c>
      <c r="C69" s="60">
        <f>'Scores and stats'!QV69</f>
        <v>39</v>
      </c>
      <c r="E69" s="192" t="str">
        <v>Tosh Sprosen</v>
      </c>
      <c r="F69" s="193">
        <v>0</v>
      </c>
    </row>
    <row r="70" spans="2:6" x14ac:dyDescent="0.15">
      <c r="B70" s="57" t="str">
        <f>'Name List'!B70</f>
        <v>Danny Jones</v>
      </c>
      <c r="C70" s="60">
        <f>'Scores and stats'!QV70</f>
        <v>21</v>
      </c>
      <c r="E70" s="192" t="str">
        <v>Bill Sutton</v>
      </c>
      <c r="F70" s="193">
        <v>0</v>
      </c>
    </row>
    <row r="71" spans="2:6" x14ac:dyDescent="0.15">
      <c r="B71" s="57" t="str">
        <f>'Name List'!B71</f>
        <v>Liam Anderson</v>
      </c>
      <c r="C71" s="60">
        <f>'Scores and stats'!QV71</f>
        <v>0</v>
      </c>
      <c r="E71" s="192" t="str">
        <v>Andy Thompson</v>
      </c>
      <c r="F71" s="193">
        <v>0</v>
      </c>
    </row>
    <row r="72" spans="2:6" x14ac:dyDescent="0.15">
      <c r="B72" s="57" t="str">
        <f>'Name List'!B72</f>
        <v>Sam Cochrane</v>
      </c>
      <c r="C72" s="60">
        <f>'Scores and stats'!QV72</f>
        <v>16</v>
      </c>
      <c r="E72" s="192" t="str">
        <v>Rory Thompson</v>
      </c>
      <c r="F72" s="193">
        <v>0</v>
      </c>
    </row>
    <row r="73" spans="2:6" x14ac:dyDescent="0.15">
      <c r="B73" s="57" t="str">
        <f>'Name List'!B73</f>
        <v>Shaun Alexander</v>
      </c>
      <c r="C73" s="60">
        <f>'Scores and stats'!QV73</f>
        <v>43</v>
      </c>
      <c r="E73" s="192" t="str">
        <v>Sonny Thompson</v>
      </c>
      <c r="F73" s="193">
        <v>0</v>
      </c>
    </row>
    <row r="74" spans="2:6" x14ac:dyDescent="0.15">
      <c r="B74" s="57" t="str">
        <f>'Name List'!B74</f>
        <v>Kyle Deane</v>
      </c>
      <c r="C74" s="60">
        <f>'Scores and stats'!QV74</f>
        <v>5</v>
      </c>
      <c r="E74" s="192" t="str">
        <v>Liam Anderson</v>
      </c>
      <c r="F74" s="193">
        <v>0</v>
      </c>
    </row>
    <row r="75" spans="2:6" x14ac:dyDescent="0.15">
      <c r="B75" s="57">
        <f>'Name List'!B75</f>
        <v>1</v>
      </c>
      <c r="C75" s="60">
        <f>'Scores and stats'!QV75</f>
        <v>0</v>
      </c>
      <c r="E75" s="192">
        <v>1</v>
      </c>
      <c r="F75" s="193">
        <v>0</v>
      </c>
    </row>
    <row r="76" spans="2:6" x14ac:dyDescent="0.15">
      <c r="B76" s="57">
        <f>'Name List'!B76</f>
        <v>2</v>
      </c>
      <c r="C76" s="60">
        <f>'Scores and stats'!QV76</f>
        <v>0</v>
      </c>
      <c r="E76" s="192">
        <v>2</v>
      </c>
      <c r="F76" s="193">
        <v>0</v>
      </c>
    </row>
    <row r="77" spans="2:6" x14ac:dyDescent="0.15">
      <c r="B77" s="57">
        <f>'Name List'!B77</f>
        <v>3</v>
      </c>
      <c r="C77" s="60">
        <f>'Scores and stats'!QV77</f>
        <v>0</v>
      </c>
      <c r="E77" s="192">
        <v>3</v>
      </c>
      <c r="F77" s="193">
        <v>0</v>
      </c>
    </row>
    <row r="78" spans="2:6" x14ac:dyDescent="0.15">
      <c r="B78" s="57">
        <f>'Name List'!B78</f>
        <v>4</v>
      </c>
      <c r="C78" s="60">
        <f>'Scores and stats'!QV78</f>
        <v>0</v>
      </c>
      <c r="E78" s="192">
        <v>4</v>
      </c>
      <c r="F78" s="193">
        <v>0</v>
      </c>
    </row>
    <row r="79" spans="2:6" x14ac:dyDescent="0.15">
      <c r="B79" s="57">
        <f>'Name List'!B79</f>
        <v>5</v>
      </c>
      <c r="C79" s="60">
        <f>'Scores and stats'!QV79</f>
        <v>0</v>
      </c>
      <c r="E79" s="192">
        <v>5</v>
      </c>
      <c r="F79" s="193">
        <v>0</v>
      </c>
    </row>
    <row r="80" spans="2:6" x14ac:dyDescent="0.15">
      <c r="B80" s="57">
        <f>'Name List'!B80</f>
        <v>6</v>
      </c>
      <c r="C80" s="60">
        <f>'Scores and stats'!QV80</f>
        <v>0</v>
      </c>
      <c r="E80" s="192">
        <v>6</v>
      </c>
      <c r="F80" s="193">
        <v>0</v>
      </c>
    </row>
    <row r="81" spans="2:6" x14ac:dyDescent="0.15">
      <c r="B81" s="57">
        <f>'Name List'!B81</f>
        <v>7</v>
      </c>
      <c r="C81" s="60">
        <f>'Scores and stats'!QV81</f>
        <v>0</v>
      </c>
      <c r="E81" s="192">
        <v>7</v>
      </c>
      <c r="F81" s="193">
        <v>0</v>
      </c>
    </row>
    <row r="82" spans="2:6" x14ac:dyDescent="0.15">
      <c r="B82" s="57">
        <f>'Name List'!B82</f>
        <v>8</v>
      </c>
      <c r="C82" s="60">
        <f>'Scores and stats'!QV82</f>
        <v>0</v>
      </c>
      <c r="E82" s="192">
        <v>8</v>
      </c>
      <c r="F82" s="193">
        <v>0</v>
      </c>
    </row>
    <row r="83" spans="2:6" x14ac:dyDescent="0.15">
      <c r="B83" s="57">
        <f>'Name List'!B83</f>
        <v>9</v>
      </c>
      <c r="C83" s="60">
        <f>'Scores and stats'!QV83</f>
        <v>0</v>
      </c>
      <c r="E83" s="192">
        <v>9</v>
      </c>
      <c r="F83" s="193">
        <v>0</v>
      </c>
    </row>
    <row r="84" spans="2:6" x14ac:dyDescent="0.15">
      <c r="B84" s="57">
        <f>'Name List'!B84</f>
        <v>10</v>
      </c>
      <c r="C84" s="60">
        <f>'Scores and stats'!QV84</f>
        <v>0</v>
      </c>
      <c r="E84" s="192">
        <v>10</v>
      </c>
      <c r="F84" s="193">
        <v>0</v>
      </c>
    </row>
    <row r="85" spans="2:6" x14ac:dyDescent="0.15">
      <c r="B85" s="57">
        <f>'Name List'!B85</f>
        <v>11</v>
      </c>
      <c r="C85" s="60">
        <f>'Scores and stats'!QV85</f>
        <v>0</v>
      </c>
      <c r="E85" s="192">
        <v>11</v>
      </c>
      <c r="F85" s="193">
        <v>0</v>
      </c>
    </row>
    <row r="86" spans="2:6" x14ac:dyDescent="0.15">
      <c r="B86" s="57">
        <f>'Name List'!B86</f>
        <v>12</v>
      </c>
      <c r="C86" s="60">
        <f>'Scores and stats'!QV86</f>
        <v>0</v>
      </c>
      <c r="E86" s="192">
        <v>12</v>
      </c>
      <c r="F86" s="193">
        <v>0</v>
      </c>
    </row>
    <row r="87" spans="2:6" x14ac:dyDescent="0.15">
      <c r="B87" s="57">
        <f>'Name List'!B87</f>
        <v>13</v>
      </c>
      <c r="C87" s="60">
        <f>'Scores and stats'!QV87</f>
        <v>0</v>
      </c>
      <c r="E87" s="192">
        <v>13</v>
      </c>
      <c r="F87" s="193">
        <v>0</v>
      </c>
    </row>
    <row r="88" spans="2:6" x14ac:dyDescent="0.15">
      <c r="B88" s="57">
        <f>'Name List'!B88</f>
        <v>14</v>
      </c>
      <c r="C88" s="60">
        <f>'Scores and stats'!QV88</f>
        <v>0</v>
      </c>
      <c r="E88" s="192">
        <v>14</v>
      </c>
      <c r="F88" s="193">
        <v>0</v>
      </c>
    </row>
    <row r="89" spans="2:6" x14ac:dyDescent="0.15">
      <c r="B89" s="57">
        <f>'Name List'!B89</f>
        <v>15</v>
      </c>
      <c r="C89" s="60">
        <f>'Scores and stats'!QV89</f>
        <v>0</v>
      </c>
      <c r="E89" s="192">
        <v>15</v>
      </c>
      <c r="F89" s="193">
        <v>0</v>
      </c>
    </row>
    <row r="90" spans="2:6" x14ac:dyDescent="0.15">
      <c r="B90" s="57">
        <f>'Name List'!B90</f>
        <v>16</v>
      </c>
      <c r="C90" s="60">
        <f>'Scores and stats'!QV90</f>
        <v>0</v>
      </c>
      <c r="E90" s="192">
        <v>16</v>
      </c>
      <c r="F90" s="193">
        <v>0</v>
      </c>
    </row>
    <row r="91" spans="2:6" x14ac:dyDescent="0.15">
      <c r="B91" s="57">
        <f>'Name List'!B91</f>
        <v>17</v>
      </c>
      <c r="C91" s="60">
        <f>'Scores and stats'!QV91</f>
        <v>0</v>
      </c>
      <c r="E91" s="192">
        <v>17</v>
      </c>
      <c r="F91" s="193">
        <v>0</v>
      </c>
    </row>
    <row r="92" spans="2:6" x14ac:dyDescent="0.15">
      <c r="B92" s="57">
        <f>'Name List'!B92</f>
        <v>18</v>
      </c>
      <c r="C92" s="60">
        <f>'Scores and stats'!QV92</f>
        <v>0</v>
      </c>
      <c r="E92" s="192">
        <v>18</v>
      </c>
      <c r="F92" s="193">
        <v>0</v>
      </c>
    </row>
    <row r="93" spans="2:6" x14ac:dyDescent="0.15">
      <c r="B93" s="57">
        <f>'Name List'!B93</f>
        <v>19</v>
      </c>
      <c r="C93" s="60">
        <f>'Scores and stats'!QV93</f>
        <v>0</v>
      </c>
      <c r="E93" s="192">
        <v>19</v>
      </c>
      <c r="F93" s="193">
        <v>0</v>
      </c>
    </row>
    <row r="94" spans="2:6" x14ac:dyDescent="0.15">
      <c r="B94" s="57">
        <f>'Name List'!B94</f>
        <v>20</v>
      </c>
      <c r="C94" s="60">
        <f>'Scores and stats'!QV94</f>
        <v>0</v>
      </c>
      <c r="E94" s="192">
        <v>20</v>
      </c>
      <c r="F94" s="193">
        <v>0</v>
      </c>
    </row>
    <row r="95" spans="2:6" x14ac:dyDescent="0.15">
      <c r="B95" s="57">
        <f>'Name List'!B95</f>
        <v>21</v>
      </c>
      <c r="C95" s="60">
        <f>'Scores and stats'!QV95</f>
        <v>0</v>
      </c>
      <c r="E95" s="192">
        <v>21</v>
      </c>
      <c r="F95" s="193">
        <v>0</v>
      </c>
    </row>
    <row r="96" spans="2:6" x14ac:dyDescent="0.15">
      <c r="B96" s="57">
        <f>'Name List'!B96</f>
        <v>22</v>
      </c>
      <c r="C96" s="60">
        <f>'Scores and stats'!QV96</f>
        <v>0</v>
      </c>
      <c r="E96" s="192">
        <v>22</v>
      </c>
      <c r="F96" s="193">
        <v>0</v>
      </c>
    </row>
    <row r="97" spans="2:6" x14ac:dyDescent="0.15">
      <c r="B97" s="57">
        <f>'Name List'!B97</f>
        <v>23</v>
      </c>
      <c r="C97" s="60">
        <f>'Scores and stats'!QV97</f>
        <v>0</v>
      </c>
      <c r="E97" s="192">
        <v>23</v>
      </c>
      <c r="F97" s="193">
        <v>0</v>
      </c>
    </row>
    <row r="98" spans="2:6" x14ac:dyDescent="0.15">
      <c r="B98" s="57">
        <f>'Name List'!B98</f>
        <v>24</v>
      </c>
      <c r="C98" s="60">
        <f>'Scores and stats'!QV98</f>
        <v>0</v>
      </c>
      <c r="E98" s="192">
        <v>24</v>
      </c>
      <c r="F98" s="193">
        <v>0</v>
      </c>
    </row>
    <row r="99" spans="2:6" x14ac:dyDescent="0.15">
      <c r="B99" s="57">
        <f>'Name List'!B99</f>
        <v>25</v>
      </c>
      <c r="C99" s="60">
        <f>'Scores and stats'!QV99</f>
        <v>0</v>
      </c>
      <c r="E99" s="192">
        <v>25</v>
      </c>
      <c r="F99" s="193">
        <v>0</v>
      </c>
    </row>
    <row r="100" spans="2:6" x14ac:dyDescent="0.15">
      <c r="B100" s="57">
        <f>'Name List'!B100</f>
        <v>26</v>
      </c>
      <c r="C100" s="60">
        <f>'Scores and stats'!QV100</f>
        <v>0</v>
      </c>
      <c r="E100" s="192">
        <v>26</v>
      </c>
      <c r="F100" s="193">
        <v>0</v>
      </c>
    </row>
    <row r="101" spans="2:6" x14ac:dyDescent="0.15">
      <c r="B101" s="57">
        <f>'Name List'!B101</f>
        <v>27</v>
      </c>
      <c r="C101" s="60">
        <f>'Scores and stats'!QV101</f>
        <v>0</v>
      </c>
      <c r="E101" s="192">
        <v>27</v>
      </c>
      <c r="F101" s="193">
        <v>0</v>
      </c>
    </row>
    <row r="102" spans="2:6" x14ac:dyDescent="0.15">
      <c r="B102" s="57">
        <f>'Name List'!B102</f>
        <v>28</v>
      </c>
      <c r="C102" s="60">
        <f>'Scores and stats'!QV102</f>
        <v>0</v>
      </c>
      <c r="E102" s="192">
        <v>28</v>
      </c>
      <c r="F102" s="193">
        <v>0</v>
      </c>
    </row>
    <row r="103" spans="2:6" x14ac:dyDescent="0.15">
      <c r="B103" s="57">
        <f>'Name List'!B103</f>
        <v>29</v>
      </c>
      <c r="C103" s="60">
        <f>'Scores and stats'!QV103</f>
        <v>0</v>
      </c>
      <c r="E103" s="192">
        <v>29</v>
      </c>
      <c r="F103" s="193">
        <v>0</v>
      </c>
    </row>
    <row r="104" spans="2:6" x14ac:dyDescent="0.15">
      <c r="B104" s="57">
        <f>'Name List'!B104</f>
        <v>30</v>
      </c>
      <c r="C104" s="60">
        <f>'Scores and stats'!QV104</f>
        <v>0</v>
      </c>
      <c r="E104" s="192">
        <v>30</v>
      </c>
      <c r="F104" s="193">
        <v>0</v>
      </c>
    </row>
    <row r="105" spans="2:6" x14ac:dyDescent="0.15">
      <c r="B105" s="57">
        <f>'Name List'!B105</f>
        <v>31</v>
      </c>
      <c r="C105" s="60">
        <f>'Scores and stats'!QV105</f>
        <v>0</v>
      </c>
      <c r="E105" s="194">
        <v>31</v>
      </c>
      <c r="F105" s="195">
        <v>0</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54AC-5DC9-428D-B494-EA55E5ABC321}">
  <sheetPr>
    <tabColor rgb="FFFF66CC"/>
  </sheetPr>
  <dimension ref="B2:U105"/>
  <sheetViews>
    <sheetView workbookViewId="0">
      <selection activeCell="I26" sqref="I26"/>
    </sheetView>
  </sheetViews>
  <sheetFormatPr defaultColWidth="9.33203125" defaultRowHeight="11.25" x14ac:dyDescent="0.15"/>
  <cols>
    <col min="1" max="1" width="9.33203125" style="57"/>
    <col min="2" max="2" width="23.1640625" style="57" customWidth="1"/>
    <col min="3" max="3" width="17.6640625" style="58" customWidth="1"/>
    <col min="4" max="4" width="3.5" style="57" customWidth="1"/>
    <col min="5" max="5" width="25" style="59" customWidth="1"/>
    <col min="6" max="6" width="9.33203125" style="59"/>
    <col min="7" max="7" width="9.33203125" style="57"/>
    <col min="8" max="8" width="20" style="57" bestFit="1" customWidth="1"/>
    <col min="9" max="9" width="17.1640625" style="57" customWidth="1"/>
    <col min="10" max="10" width="10.6640625" style="57" customWidth="1"/>
    <col min="11" max="12" width="9.33203125" style="57"/>
    <col min="13" max="13" width="20" style="57" bestFit="1" customWidth="1"/>
    <col min="14" max="15" width="9.33203125" style="57"/>
    <col min="16" max="16" width="14" style="57" customWidth="1"/>
    <col min="17" max="16384" width="9.33203125" style="57"/>
  </cols>
  <sheetData>
    <row r="2" spans="2:21" ht="12" thickBot="1" x14ac:dyDescent="0.2"/>
    <row r="3" spans="2:21" x14ac:dyDescent="0.15">
      <c r="C3" s="58" t="s">
        <v>127</v>
      </c>
      <c r="D3" s="58"/>
      <c r="E3" s="726" t="s">
        <v>128</v>
      </c>
      <c r="F3" s="727"/>
      <c r="M3" s="728" t="s">
        <v>128</v>
      </c>
      <c r="N3" s="729"/>
      <c r="O3" s="729"/>
      <c r="P3" s="730"/>
    </row>
    <row r="4" spans="2:21" x14ac:dyDescent="0.15">
      <c r="E4" s="316"/>
      <c r="F4" s="317"/>
      <c r="M4" s="476"/>
      <c r="N4" s="477"/>
      <c r="O4" s="477"/>
      <c r="P4" s="478"/>
    </row>
    <row r="5" spans="2:21" x14ac:dyDescent="0.15">
      <c r="E5" s="316"/>
      <c r="F5" s="317"/>
      <c r="H5" s="57" t="s">
        <v>49</v>
      </c>
      <c r="I5" s="57" t="s">
        <v>280</v>
      </c>
      <c r="J5" s="57" t="s">
        <v>35</v>
      </c>
      <c r="K5" s="57" t="s">
        <v>87</v>
      </c>
      <c r="M5" s="476"/>
      <c r="N5" s="483" t="s">
        <v>312</v>
      </c>
      <c r="O5" s="483" t="s">
        <v>35</v>
      </c>
      <c r="P5" s="484" t="s">
        <v>281</v>
      </c>
    </row>
    <row r="6" spans="2:21" x14ac:dyDescent="0.15">
      <c r="B6" s="57" t="str">
        <f>'Name List'!B6</f>
        <v>Stuart Anderson</v>
      </c>
      <c r="C6" s="60">
        <f>'Scores and stats'!QW6</f>
        <v>0</v>
      </c>
      <c r="D6" s="61"/>
      <c r="E6" s="316" t="str" cm="1">
        <f t="array" ref="E6:F105">_xlfn._xlws.SORT(B6:C105,2,-1)</f>
        <v>Tony Forsyth-James</v>
      </c>
      <c r="F6" s="317">
        <v>38</v>
      </c>
      <c r="H6" s="57" t="str">
        <f>'Name List'!B6</f>
        <v>Stuart Anderson</v>
      </c>
      <c r="I6" s="433">
        <f>'Scores and stats'!QY6</f>
        <v>0</v>
      </c>
      <c r="J6" s="61">
        <f>'Scores and stats'!QW6</f>
        <v>0</v>
      </c>
      <c r="K6" s="434">
        <f>IF(I6&lt;10,0,J6/I6)</f>
        <v>0</v>
      </c>
      <c r="M6" s="476" t="str" cm="1">
        <f t="array" ref="M6:P105">_xlfn._xlws.SORT(H6:K105,4,-1)</f>
        <v>Mike Forrest</v>
      </c>
      <c r="N6" s="477">
        <v>10</v>
      </c>
      <c r="O6" s="477">
        <v>27</v>
      </c>
      <c r="P6" s="479">
        <v>2.7</v>
      </c>
    </row>
    <row r="7" spans="2:21" x14ac:dyDescent="0.15">
      <c r="B7" s="57" t="str">
        <f>'Name List'!B7</f>
        <v>Max Ball</v>
      </c>
      <c r="C7" s="60">
        <f>'Scores and stats'!QW7</f>
        <v>7</v>
      </c>
      <c r="E7" s="316" t="str">
        <v>Dave Randall</v>
      </c>
      <c r="F7" s="317">
        <v>34</v>
      </c>
      <c r="H7" s="57" t="str">
        <f>'Name List'!B7</f>
        <v>Max Ball</v>
      </c>
      <c r="I7" s="433">
        <f>'Scores and stats'!QY7</f>
        <v>9</v>
      </c>
      <c r="J7" s="61">
        <f>'Scores and stats'!QW7</f>
        <v>7</v>
      </c>
      <c r="K7" s="434">
        <f t="shared" ref="K7:K70" si="0">IF(I7&lt;10,0,J7/I7)</f>
        <v>0</v>
      </c>
      <c r="M7" s="476" t="str">
        <v>Tony Forsyth-James</v>
      </c>
      <c r="N7" s="477">
        <v>16</v>
      </c>
      <c r="O7" s="477">
        <v>38</v>
      </c>
      <c r="P7" s="479">
        <v>2.375</v>
      </c>
    </row>
    <row r="8" spans="2:21" x14ac:dyDescent="0.15">
      <c r="B8" s="57" t="str">
        <f>'Name List'!B8</f>
        <v>Harley Bishop</v>
      </c>
      <c r="C8" s="60">
        <f>'Scores and stats'!QW8</f>
        <v>19</v>
      </c>
      <c r="E8" s="316" t="str">
        <v>Ben Fleet</v>
      </c>
      <c r="F8" s="317">
        <v>27</v>
      </c>
      <c r="H8" s="57" t="str">
        <f>'Name List'!B8</f>
        <v>Harley Bishop</v>
      </c>
      <c r="I8" s="433">
        <f>'Scores and stats'!QY8</f>
        <v>7</v>
      </c>
      <c r="J8" s="61">
        <f>'Scores and stats'!QW8</f>
        <v>19</v>
      </c>
      <c r="K8" s="434">
        <f t="shared" si="0"/>
        <v>0</v>
      </c>
      <c r="M8" s="476" t="str">
        <v>Dave Randall</v>
      </c>
      <c r="N8" s="477">
        <v>16</v>
      </c>
      <c r="O8" s="477">
        <v>34</v>
      </c>
      <c r="P8" s="479">
        <v>2.125</v>
      </c>
    </row>
    <row r="9" spans="2:21" x14ac:dyDescent="0.15">
      <c r="B9" s="57" t="str">
        <f>'Name List'!B9</f>
        <v>Chris Burroughs</v>
      </c>
      <c r="C9" s="60">
        <f>'Scores and stats'!QW9</f>
        <v>2</v>
      </c>
      <c r="E9" s="316" t="str">
        <v>Mike Forrest</v>
      </c>
      <c r="F9" s="317">
        <v>27</v>
      </c>
      <c r="H9" s="57" t="str">
        <f>'Name List'!B9</f>
        <v>Chris Burroughs</v>
      </c>
      <c r="I9" s="433">
        <f>'Scores and stats'!QY9</f>
        <v>2</v>
      </c>
      <c r="J9" s="61">
        <f>'Scores and stats'!QW9</f>
        <v>2</v>
      </c>
      <c r="K9" s="434">
        <f t="shared" si="0"/>
        <v>0</v>
      </c>
      <c r="M9" s="476" t="str">
        <v>Jason Wale</v>
      </c>
      <c r="N9" s="477">
        <v>10</v>
      </c>
      <c r="O9" s="477">
        <v>21</v>
      </c>
      <c r="P9" s="479">
        <v>2.1</v>
      </c>
    </row>
    <row r="10" spans="2:21" x14ac:dyDescent="0.15">
      <c r="B10" s="57" t="str">
        <f>'Name List'!B10</f>
        <v>George Burton</v>
      </c>
      <c r="C10" s="60">
        <f>'Scores and stats'!QW10</f>
        <v>2</v>
      </c>
      <c r="E10" s="316" t="str">
        <v>Sam Cochrane</v>
      </c>
      <c r="F10" s="317">
        <v>27</v>
      </c>
      <c r="H10" s="57" t="str">
        <f>'Name List'!B10</f>
        <v>George Burton</v>
      </c>
      <c r="I10" s="433">
        <f>'Scores and stats'!QY10</f>
        <v>2</v>
      </c>
      <c r="J10" s="61">
        <f>'Scores and stats'!QW10</f>
        <v>2</v>
      </c>
      <c r="K10" s="434">
        <f t="shared" si="0"/>
        <v>0</v>
      </c>
      <c r="M10" s="476" t="str">
        <v>Ben Fleet</v>
      </c>
      <c r="N10" s="477">
        <v>13</v>
      </c>
      <c r="O10" s="477">
        <v>27</v>
      </c>
      <c r="P10" s="479">
        <v>2.0769230769230771</v>
      </c>
    </row>
    <row r="11" spans="2:21" x14ac:dyDescent="0.15">
      <c r="B11" s="57" t="str">
        <f>'Name List'!B11</f>
        <v>Tom Burton</v>
      </c>
      <c r="C11" s="60">
        <f>'Scores and stats'!QW11</f>
        <v>9</v>
      </c>
      <c r="E11" s="316" t="str">
        <v>Jason Wale</v>
      </c>
      <c r="F11" s="317">
        <v>21</v>
      </c>
      <c r="H11" s="57" t="str">
        <f>'Name List'!B11</f>
        <v>Tom Burton</v>
      </c>
      <c r="I11" s="433">
        <f>'Scores and stats'!QY11</f>
        <v>5</v>
      </c>
      <c r="J11" s="61">
        <f>'Scores and stats'!QW11</f>
        <v>9</v>
      </c>
      <c r="K11" s="434">
        <f t="shared" si="0"/>
        <v>0</v>
      </c>
      <c r="M11" s="476" t="str">
        <v>Kevin Tribley</v>
      </c>
      <c r="N11" s="477">
        <v>12</v>
      </c>
      <c r="O11" s="477">
        <v>20</v>
      </c>
      <c r="P11" s="479">
        <v>1.6666666666666667</v>
      </c>
    </row>
    <row r="12" spans="2:21" x14ac:dyDescent="0.15">
      <c r="B12" s="57" t="str">
        <f>'Name List'!B12</f>
        <v>Mike Chubb</v>
      </c>
      <c r="C12" s="60">
        <f>'Scores and stats'!QW12</f>
        <v>2</v>
      </c>
      <c r="E12" s="316" t="str">
        <v>Martin Coomber</v>
      </c>
      <c r="F12" s="317">
        <v>20</v>
      </c>
      <c r="H12" s="57" t="str">
        <f>'Name List'!B12</f>
        <v>Mike Chubb</v>
      </c>
      <c r="I12" s="433">
        <f>'Scores and stats'!QY12</f>
        <v>1</v>
      </c>
      <c r="J12" s="61">
        <f>'Scores and stats'!QW12</f>
        <v>2</v>
      </c>
      <c r="K12" s="434">
        <f t="shared" si="0"/>
        <v>0</v>
      </c>
      <c r="M12" s="476" t="str">
        <v>Martin Coomber</v>
      </c>
      <c r="N12" s="477">
        <v>13</v>
      </c>
      <c r="O12" s="477">
        <v>20</v>
      </c>
      <c r="P12" s="479">
        <v>1.5384615384615385</v>
      </c>
    </row>
    <row r="13" spans="2:21" x14ac:dyDescent="0.15">
      <c r="B13" s="57" t="str">
        <f>'Name List'!B13</f>
        <v>George Clarke</v>
      </c>
      <c r="C13" s="60">
        <f>'Scores and stats'!QW13</f>
        <v>1</v>
      </c>
      <c r="E13" s="316" t="str">
        <v>Kevin Tribley</v>
      </c>
      <c r="F13" s="317">
        <v>20</v>
      </c>
      <c r="H13" s="57" t="str">
        <f>'Name List'!B13</f>
        <v>George Clarke</v>
      </c>
      <c r="I13" s="433">
        <f>'Scores and stats'!QY13</f>
        <v>1</v>
      </c>
      <c r="J13" s="61">
        <f>'Scores and stats'!QW13</f>
        <v>1</v>
      </c>
      <c r="K13" s="434">
        <f t="shared" si="0"/>
        <v>0</v>
      </c>
      <c r="M13" s="476" t="str">
        <v>Peter Vallely</v>
      </c>
      <c r="N13" s="477">
        <v>11</v>
      </c>
      <c r="O13" s="477">
        <v>14</v>
      </c>
      <c r="P13" s="479">
        <v>1.2727272727272727</v>
      </c>
      <c r="U13" s="57">
        <f>18/8</f>
        <v>2.25</v>
      </c>
    </row>
    <row r="14" spans="2:21" x14ac:dyDescent="0.15">
      <c r="B14" s="57" t="str">
        <f>'Name List'!B14</f>
        <v>Paul Clarke</v>
      </c>
      <c r="C14" s="60">
        <f>'Scores and stats'!QW14</f>
        <v>18</v>
      </c>
      <c r="E14" s="316" t="str">
        <v>Harley Bishop</v>
      </c>
      <c r="F14" s="317">
        <v>19</v>
      </c>
      <c r="H14" s="57" t="str">
        <f>'Name List'!B14</f>
        <v>Paul Clarke</v>
      </c>
      <c r="I14" s="433">
        <f>'Scores and stats'!QY14</f>
        <v>8</v>
      </c>
      <c r="J14" s="61">
        <f>'Scores and stats'!QW14</f>
        <v>18</v>
      </c>
      <c r="K14" s="434">
        <f t="shared" si="0"/>
        <v>0</v>
      </c>
      <c r="M14" s="476" t="str">
        <v>Andy Johnson</v>
      </c>
      <c r="N14" s="477">
        <v>12</v>
      </c>
      <c r="O14" s="477">
        <v>14</v>
      </c>
      <c r="P14" s="479">
        <v>1.1666666666666667</v>
      </c>
    </row>
    <row r="15" spans="2:21" x14ac:dyDescent="0.15">
      <c r="B15" s="57" t="str">
        <f>'Name List'!B15</f>
        <v>Martin Coomber</v>
      </c>
      <c r="C15" s="60">
        <f>'Scores and stats'!QW15</f>
        <v>20</v>
      </c>
      <c r="E15" s="316" t="str">
        <v>Paul Clarke</v>
      </c>
      <c r="F15" s="317">
        <v>18</v>
      </c>
      <c r="H15" s="57" t="str">
        <f>'Name List'!B15</f>
        <v>Martin Coomber</v>
      </c>
      <c r="I15" s="433">
        <f>'Scores and stats'!QY15</f>
        <v>13</v>
      </c>
      <c r="J15" s="61">
        <f>'Scores and stats'!QW15</f>
        <v>20</v>
      </c>
      <c r="K15" s="434">
        <f t="shared" si="0"/>
        <v>1.5384615384615385</v>
      </c>
      <c r="M15" s="476" t="str">
        <v>Brad Whitehead</v>
      </c>
      <c r="N15" s="477">
        <v>14</v>
      </c>
      <c r="O15" s="477">
        <v>14</v>
      </c>
      <c r="P15" s="479">
        <v>1</v>
      </c>
    </row>
    <row r="16" spans="2:21" x14ac:dyDescent="0.15">
      <c r="B16" s="57" t="str">
        <f>'Name List'!B16</f>
        <v>Dominic Coughlin</v>
      </c>
      <c r="C16" s="60">
        <f>'Scores and stats'!QW16</f>
        <v>8</v>
      </c>
      <c r="E16" s="316" t="str">
        <v>Nick Garner</v>
      </c>
      <c r="F16" s="317">
        <v>17</v>
      </c>
      <c r="H16" s="57" t="str">
        <f>'Name List'!B16</f>
        <v>Dominic Coughlin</v>
      </c>
      <c r="I16" s="433">
        <f>'Scores and stats'!QY16</f>
        <v>1</v>
      </c>
      <c r="J16" s="61">
        <f>'Scores and stats'!QW16</f>
        <v>8</v>
      </c>
      <c r="K16" s="434">
        <f t="shared" si="0"/>
        <v>0</v>
      </c>
      <c r="M16" s="476" t="str">
        <v>Chris Smith</v>
      </c>
      <c r="N16" s="477">
        <v>10</v>
      </c>
      <c r="O16" s="477">
        <v>7</v>
      </c>
      <c r="P16" s="479">
        <v>0.7</v>
      </c>
    </row>
    <row r="17" spans="2:16" x14ac:dyDescent="0.15">
      <c r="B17" s="57" t="str">
        <f>'Name List'!B17</f>
        <v>Gareth Davies</v>
      </c>
      <c r="C17" s="60">
        <f>'Scores and stats'!QW17</f>
        <v>12</v>
      </c>
      <c r="E17" s="316" t="str">
        <v>Terry Walker</v>
      </c>
      <c r="F17" s="317">
        <v>16</v>
      </c>
      <c r="H17" s="57" t="str">
        <f>'Name List'!B17</f>
        <v>Gareth Davies</v>
      </c>
      <c r="I17" s="433">
        <f>'Scores and stats'!QY17</f>
        <v>4</v>
      </c>
      <c r="J17" s="61">
        <f>'Scores and stats'!QW17</f>
        <v>12</v>
      </c>
      <c r="K17" s="434">
        <f t="shared" si="0"/>
        <v>0</v>
      </c>
      <c r="M17" s="476" t="str">
        <v>Stuart Anderson</v>
      </c>
      <c r="N17" s="477">
        <v>0</v>
      </c>
      <c r="O17" s="477">
        <v>0</v>
      </c>
      <c r="P17" s="479">
        <v>0</v>
      </c>
    </row>
    <row r="18" spans="2:16" x14ac:dyDescent="0.15">
      <c r="B18" s="57" t="str">
        <f>'Name List'!B18</f>
        <v>Peter Donovan</v>
      </c>
      <c r="C18" s="60">
        <f>'Scores and stats'!QW18</f>
        <v>0</v>
      </c>
      <c r="E18" s="316" t="str">
        <v>Andy Johnson</v>
      </c>
      <c r="F18" s="317">
        <v>14</v>
      </c>
      <c r="H18" s="57" t="str">
        <f>'Name List'!B18</f>
        <v>Peter Donovan</v>
      </c>
      <c r="I18" s="433">
        <f>'Scores and stats'!QY18</f>
        <v>0</v>
      </c>
      <c r="J18" s="61">
        <f>'Scores and stats'!QW18</f>
        <v>0</v>
      </c>
      <c r="K18" s="434">
        <f t="shared" si="0"/>
        <v>0</v>
      </c>
      <c r="M18" s="476" t="str">
        <v>Max Ball</v>
      </c>
      <c r="N18" s="477">
        <v>9</v>
      </c>
      <c r="O18" s="477">
        <v>7</v>
      </c>
      <c r="P18" s="479">
        <v>0</v>
      </c>
    </row>
    <row r="19" spans="2:16" x14ac:dyDescent="0.15">
      <c r="B19" s="57" t="str">
        <f>'Name List'!B19</f>
        <v>James Dunn</v>
      </c>
      <c r="C19" s="60">
        <f>'Scores and stats'!QW19</f>
        <v>0</v>
      </c>
      <c r="E19" s="316" t="str">
        <v>Peter Vallely</v>
      </c>
      <c r="F19" s="317">
        <v>14</v>
      </c>
      <c r="H19" s="57" t="str">
        <f>'Name List'!B19</f>
        <v>James Dunn</v>
      </c>
      <c r="I19" s="433">
        <f>'Scores and stats'!QY19</f>
        <v>1</v>
      </c>
      <c r="J19" s="61">
        <f>'Scores and stats'!QW19</f>
        <v>0</v>
      </c>
      <c r="K19" s="434">
        <f t="shared" si="0"/>
        <v>0</v>
      </c>
      <c r="M19" s="476" t="str">
        <v>Harley Bishop</v>
      </c>
      <c r="N19" s="477">
        <v>7</v>
      </c>
      <c r="O19" s="477">
        <v>19</v>
      </c>
      <c r="P19" s="479">
        <v>0</v>
      </c>
    </row>
    <row r="20" spans="2:16" x14ac:dyDescent="0.15">
      <c r="B20" s="57" t="str">
        <f>'Name List'!B20</f>
        <v>Gordon Fielding</v>
      </c>
      <c r="C20" s="60">
        <f>'Scores and stats'!QW20</f>
        <v>0</v>
      </c>
      <c r="E20" s="316" t="str">
        <v>Brad Whitehead</v>
      </c>
      <c r="F20" s="317">
        <v>14</v>
      </c>
      <c r="H20" s="57" t="str">
        <f>'Name List'!B20</f>
        <v>Gordon Fielding</v>
      </c>
      <c r="I20" s="433">
        <f>'Scores and stats'!QY20</f>
        <v>0</v>
      </c>
      <c r="J20" s="61">
        <f>'Scores and stats'!QW20</f>
        <v>0</v>
      </c>
      <c r="K20" s="434">
        <f t="shared" si="0"/>
        <v>0</v>
      </c>
      <c r="M20" s="476" t="str">
        <v>Chris Burroughs</v>
      </c>
      <c r="N20" s="477">
        <v>2</v>
      </c>
      <c r="O20" s="477">
        <v>2</v>
      </c>
      <c r="P20" s="479">
        <v>0</v>
      </c>
    </row>
    <row r="21" spans="2:16" x14ac:dyDescent="0.15">
      <c r="B21" s="57" t="str">
        <f>'Name List'!B21</f>
        <v>Paul Fitzgerald</v>
      </c>
      <c r="C21" s="60">
        <f>'Scores and stats'!QW21</f>
        <v>7</v>
      </c>
      <c r="E21" s="316" t="str">
        <v>Gary Hall</v>
      </c>
      <c r="F21" s="317">
        <v>13</v>
      </c>
      <c r="H21" s="57" t="str">
        <f>'Name List'!B21</f>
        <v>Paul Fitzgerald</v>
      </c>
      <c r="I21" s="433">
        <f>'Scores and stats'!QY21</f>
        <v>4</v>
      </c>
      <c r="J21" s="61">
        <f>'Scores and stats'!QW21</f>
        <v>7</v>
      </c>
      <c r="K21" s="434">
        <f t="shared" si="0"/>
        <v>0</v>
      </c>
      <c r="M21" s="476" t="str">
        <v>George Burton</v>
      </c>
      <c r="N21" s="477">
        <v>2</v>
      </c>
      <c r="O21" s="477">
        <v>2</v>
      </c>
      <c r="P21" s="479">
        <v>0</v>
      </c>
    </row>
    <row r="22" spans="2:16" x14ac:dyDescent="0.15">
      <c r="B22" s="57" t="str">
        <f>'Name List'!B22</f>
        <v>Ben Fleet</v>
      </c>
      <c r="C22" s="60">
        <f>'Scores and stats'!QW22</f>
        <v>27</v>
      </c>
      <c r="D22" s="61"/>
      <c r="E22" s="316" t="str">
        <v>Steve Wheeler</v>
      </c>
      <c r="F22" s="317">
        <v>13</v>
      </c>
      <c r="H22" s="57" t="str">
        <f>'Name List'!B22</f>
        <v>Ben Fleet</v>
      </c>
      <c r="I22" s="433">
        <f>'Scores and stats'!QY22</f>
        <v>13</v>
      </c>
      <c r="J22" s="61">
        <f>'Scores and stats'!QW22</f>
        <v>27</v>
      </c>
      <c r="K22" s="434">
        <f t="shared" si="0"/>
        <v>2.0769230769230771</v>
      </c>
      <c r="M22" s="476" t="str">
        <v>Tom Burton</v>
      </c>
      <c r="N22" s="477">
        <v>5</v>
      </c>
      <c r="O22" s="477">
        <v>9</v>
      </c>
      <c r="P22" s="479">
        <v>0</v>
      </c>
    </row>
    <row r="23" spans="2:16" x14ac:dyDescent="0.15">
      <c r="B23" s="57" t="str">
        <f>'Name List'!B23</f>
        <v>Mike Forrest</v>
      </c>
      <c r="C23" s="60">
        <f>'Scores and stats'!QW23</f>
        <v>27</v>
      </c>
      <c r="E23" s="316" t="str">
        <v>Gareth Davies</v>
      </c>
      <c r="F23" s="317">
        <v>12</v>
      </c>
      <c r="H23" s="57" t="str">
        <f>'Name List'!B23</f>
        <v>Mike Forrest</v>
      </c>
      <c r="I23" s="433">
        <f>'Scores and stats'!QY23</f>
        <v>10</v>
      </c>
      <c r="J23" s="61">
        <f>'Scores and stats'!QW23</f>
        <v>27</v>
      </c>
      <c r="K23" s="434">
        <f t="shared" si="0"/>
        <v>2.7</v>
      </c>
      <c r="M23" s="476" t="str">
        <v>Mike Chubb</v>
      </c>
      <c r="N23" s="477">
        <v>1</v>
      </c>
      <c r="O23" s="477">
        <v>2</v>
      </c>
      <c r="P23" s="479">
        <v>0</v>
      </c>
    </row>
    <row r="24" spans="2:16" x14ac:dyDescent="0.15">
      <c r="B24" s="57" t="str">
        <f>'Name List'!B24</f>
        <v>Tony Forsyth-James</v>
      </c>
      <c r="C24" s="60">
        <f>'Scores and stats'!QW24</f>
        <v>38</v>
      </c>
      <c r="E24" s="316" t="str">
        <v>Anthony Harris</v>
      </c>
      <c r="F24" s="317">
        <v>11</v>
      </c>
      <c r="H24" s="57" t="str">
        <f>'Name List'!B24</f>
        <v>Tony Forsyth-James</v>
      </c>
      <c r="I24" s="433">
        <f>'Scores and stats'!QY24</f>
        <v>16</v>
      </c>
      <c r="J24" s="61">
        <f>'Scores and stats'!QW24</f>
        <v>38</v>
      </c>
      <c r="K24" s="434">
        <f t="shared" si="0"/>
        <v>2.375</v>
      </c>
      <c r="M24" s="476" t="str">
        <v>George Clarke</v>
      </c>
      <c r="N24" s="477">
        <v>1</v>
      </c>
      <c r="O24" s="477">
        <v>1</v>
      </c>
      <c r="P24" s="479">
        <v>0</v>
      </c>
    </row>
    <row r="25" spans="2:16" x14ac:dyDescent="0.15">
      <c r="B25" s="57" t="str">
        <f>'Name List'!B25</f>
        <v>Archie Fraser</v>
      </c>
      <c r="C25" s="60">
        <f>'Scores and stats'!QW25</f>
        <v>3</v>
      </c>
      <c r="E25" s="316" t="str">
        <v>Tom Burton</v>
      </c>
      <c r="F25" s="317">
        <v>9</v>
      </c>
      <c r="H25" s="57" t="str">
        <f>'Name List'!B25</f>
        <v>Archie Fraser</v>
      </c>
      <c r="I25" s="433">
        <f>'Scores and stats'!QY25</f>
        <v>2</v>
      </c>
      <c r="J25" s="61">
        <f>'Scores and stats'!QW25</f>
        <v>3</v>
      </c>
      <c r="K25" s="434">
        <f t="shared" si="0"/>
        <v>0</v>
      </c>
      <c r="M25" s="476" t="str">
        <v>Paul Clarke</v>
      </c>
      <c r="N25" s="477">
        <v>8</v>
      </c>
      <c r="O25" s="477">
        <v>18</v>
      </c>
      <c r="P25" s="479">
        <v>0</v>
      </c>
    </row>
    <row r="26" spans="2:16" x14ac:dyDescent="0.15">
      <c r="B26" s="57" t="str">
        <f>'Name List'!B26</f>
        <v>Ross Fraser</v>
      </c>
      <c r="C26" s="60">
        <f>'Scores and stats'!QW26</f>
        <v>6</v>
      </c>
      <c r="E26" s="316" t="str">
        <v>Ryan Vaughan</v>
      </c>
      <c r="F26" s="317">
        <v>9</v>
      </c>
      <c r="H26" s="57" t="str">
        <f>'Name List'!B26</f>
        <v>Ross Fraser</v>
      </c>
      <c r="I26" s="433">
        <f>'Scores and stats'!QY26</f>
        <v>3</v>
      </c>
      <c r="J26" s="61">
        <f>'Scores and stats'!QW26</f>
        <v>6</v>
      </c>
      <c r="K26" s="434">
        <f t="shared" si="0"/>
        <v>0</v>
      </c>
      <c r="M26" s="476" t="str">
        <v>Dominic Coughlin</v>
      </c>
      <c r="N26" s="477">
        <v>1</v>
      </c>
      <c r="O26" s="477">
        <v>8</v>
      </c>
      <c r="P26" s="479">
        <v>0</v>
      </c>
    </row>
    <row r="27" spans="2:16" x14ac:dyDescent="0.15">
      <c r="B27" s="57" t="str">
        <f>'Name List'!B27</f>
        <v>Nick Garner</v>
      </c>
      <c r="C27" s="60">
        <f>'Scores and stats'!QW27</f>
        <v>17</v>
      </c>
      <c r="D27" s="61"/>
      <c r="E27" s="316" t="str">
        <v>Dominic Coughlin</v>
      </c>
      <c r="F27" s="317">
        <v>8</v>
      </c>
      <c r="H27" s="57" t="str">
        <f>'Name List'!B27</f>
        <v>Nick Garner</v>
      </c>
      <c r="I27" s="433">
        <f>'Scores and stats'!QY27</f>
        <v>7</v>
      </c>
      <c r="J27" s="61">
        <f>'Scores and stats'!QW27</f>
        <v>17</v>
      </c>
      <c r="K27" s="434">
        <f t="shared" si="0"/>
        <v>0</v>
      </c>
      <c r="M27" s="476" t="str">
        <v>Gareth Davies</v>
      </c>
      <c r="N27" s="477">
        <v>4</v>
      </c>
      <c r="O27" s="477">
        <v>12</v>
      </c>
      <c r="P27" s="479">
        <v>0</v>
      </c>
    </row>
    <row r="28" spans="2:16" x14ac:dyDescent="0.15">
      <c r="B28" s="57" t="str">
        <f>'Name List'!B28</f>
        <v>Stuart Gay</v>
      </c>
      <c r="C28" s="60">
        <f>'Scores and stats'!QW28</f>
        <v>1</v>
      </c>
      <c r="E28" s="316" t="str">
        <v>Justin Hunt</v>
      </c>
      <c r="F28" s="317">
        <v>8</v>
      </c>
      <c r="H28" s="57" t="str">
        <f>'Name List'!B28</f>
        <v>Stuart Gay</v>
      </c>
      <c r="I28" s="433">
        <f>'Scores and stats'!QY28</f>
        <v>1</v>
      </c>
      <c r="J28" s="61">
        <f>'Scores and stats'!QW28</f>
        <v>1</v>
      </c>
      <c r="K28" s="434">
        <f t="shared" si="0"/>
        <v>0</v>
      </c>
      <c r="M28" s="476" t="str">
        <v>Peter Donovan</v>
      </c>
      <c r="N28" s="477">
        <v>0</v>
      </c>
      <c r="O28" s="477">
        <v>0</v>
      </c>
      <c r="P28" s="479">
        <v>0</v>
      </c>
    </row>
    <row r="29" spans="2:16" x14ac:dyDescent="0.15">
      <c r="B29" s="57" t="str">
        <f>'Name List'!B29</f>
        <v>Jordan Hall</v>
      </c>
      <c r="C29" s="60">
        <f>'Scores and stats'!QW29</f>
        <v>0</v>
      </c>
      <c r="D29" s="61"/>
      <c r="E29" s="316" t="str">
        <v>Finn Wheeler</v>
      </c>
      <c r="F29" s="317">
        <v>8</v>
      </c>
      <c r="H29" s="57" t="str">
        <f>'Name List'!B29</f>
        <v>Jordan Hall</v>
      </c>
      <c r="I29" s="433">
        <f>'Scores and stats'!QY29</f>
        <v>1</v>
      </c>
      <c r="J29" s="61">
        <f>'Scores and stats'!QW29</f>
        <v>0</v>
      </c>
      <c r="K29" s="434">
        <f t="shared" si="0"/>
        <v>0</v>
      </c>
      <c r="M29" s="476" t="str">
        <v>James Dunn</v>
      </c>
      <c r="N29" s="477">
        <v>1</v>
      </c>
      <c r="O29" s="477">
        <v>0</v>
      </c>
      <c r="P29" s="479">
        <v>0</v>
      </c>
    </row>
    <row r="30" spans="2:16" x14ac:dyDescent="0.15">
      <c r="B30" s="57" t="str">
        <f>'Name List'!B30</f>
        <v>Gary Hall</v>
      </c>
      <c r="C30" s="60">
        <f>'Scores and stats'!QW30</f>
        <v>13</v>
      </c>
      <c r="E30" s="316" t="str">
        <v>Max Ball</v>
      </c>
      <c r="F30" s="317">
        <v>7</v>
      </c>
      <c r="H30" s="57" t="str">
        <f>'Name List'!B30</f>
        <v>Gary Hall</v>
      </c>
      <c r="I30" s="433">
        <f>'Scores and stats'!QY30</f>
        <v>1</v>
      </c>
      <c r="J30" s="61">
        <f>'Scores and stats'!QW30</f>
        <v>13</v>
      </c>
      <c r="K30" s="434">
        <f t="shared" si="0"/>
        <v>0</v>
      </c>
      <c r="M30" s="476" t="str">
        <v>Gordon Fielding</v>
      </c>
      <c r="N30" s="477">
        <v>0</v>
      </c>
      <c r="O30" s="477">
        <v>0</v>
      </c>
      <c r="P30" s="479">
        <v>0</v>
      </c>
    </row>
    <row r="31" spans="2:16" x14ac:dyDescent="0.15">
      <c r="B31" s="57" t="str">
        <f>'Name List'!B31</f>
        <v>Anthony Harris</v>
      </c>
      <c r="C31" s="60">
        <f>'Scores and stats'!QW31</f>
        <v>11</v>
      </c>
      <c r="E31" s="316" t="str">
        <v>Paul Fitzgerald</v>
      </c>
      <c r="F31" s="317">
        <v>7</v>
      </c>
      <c r="H31" s="57" t="str">
        <f>'Name List'!B31</f>
        <v>Anthony Harris</v>
      </c>
      <c r="I31" s="433">
        <f>'Scores and stats'!QY31</f>
        <v>7</v>
      </c>
      <c r="J31" s="61">
        <f>'Scores and stats'!QW31</f>
        <v>11</v>
      </c>
      <c r="K31" s="434">
        <f t="shared" si="0"/>
        <v>0</v>
      </c>
      <c r="M31" s="476" t="str">
        <v>Paul Fitzgerald</v>
      </c>
      <c r="N31" s="477">
        <v>4</v>
      </c>
      <c r="O31" s="477">
        <v>7</v>
      </c>
      <c r="P31" s="479">
        <v>0</v>
      </c>
    </row>
    <row r="32" spans="2:16" x14ac:dyDescent="0.15">
      <c r="B32" s="57" t="str">
        <f>'Name List'!B32</f>
        <v>Neil Hart</v>
      </c>
      <c r="C32" s="60">
        <f>'Scores and stats'!QW32</f>
        <v>5</v>
      </c>
      <c r="E32" s="316" t="str">
        <v>Chris Smith</v>
      </c>
      <c r="F32" s="317">
        <v>7</v>
      </c>
      <c r="H32" s="57" t="str">
        <f>'Name List'!B32</f>
        <v>Neil Hart</v>
      </c>
      <c r="I32" s="433">
        <f>'Scores and stats'!QY32</f>
        <v>6</v>
      </c>
      <c r="J32" s="61">
        <f>'Scores and stats'!QW32</f>
        <v>5</v>
      </c>
      <c r="K32" s="434">
        <f t="shared" si="0"/>
        <v>0</v>
      </c>
      <c r="M32" s="476" t="str">
        <v>Archie Fraser</v>
      </c>
      <c r="N32" s="477">
        <v>2</v>
      </c>
      <c r="O32" s="477">
        <v>3</v>
      </c>
      <c r="P32" s="479">
        <v>0</v>
      </c>
    </row>
    <row r="33" spans="2:16" x14ac:dyDescent="0.15">
      <c r="B33" s="57" t="str">
        <f>'Name List'!B33</f>
        <v>Tony Hearson</v>
      </c>
      <c r="C33" s="60">
        <f>'Scores and stats'!QW33</f>
        <v>0</v>
      </c>
      <c r="E33" s="316" t="str">
        <v>Oliver Proud</v>
      </c>
      <c r="F33" s="317">
        <v>7</v>
      </c>
      <c r="H33" s="57" t="str">
        <f>'Name List'!B33</f>
        <v>Tony Hearson</v>
      </c>
      <c r="I33" s="433">
        <f>'Scores and stats'!QY33</f>
        <v>0</v>
      </c>
      <c r="J33" s="61">
        <f>'Scores and stats'!QW33</f>
        <v>0</v>
      </c>
      <c r="K33" s="434">
        <f t="shared" si="0"/>
        <v>0</v>
      </c>
      <c r="M33" s="476" t="str">
        <v>Ross Fraser</v>
      </c>
      <c r="N33" s="477">
        <v>3</v>
      </c>
      <c r="O33" s="477">
        <v>6</v>
      </c>
      <c r="P33" s="479">
        <v>0</v>
      </c>
    </row>
    <row r="34" spans="2:16" x14ac:dyDescent="0.15">
      <c r="B34" s="57" t="str">
        <f>'Name List'!B34</f>
        <v>David Hilton</v>
      </c>
      <c r="C34" s="60">
        <f>'Scores and stats'!QW34</f>
        <v>2</v>
      </c>
      <c r="E34" s="316" t="str">
        <v>Shaun Alexander</v>
      </c>
      <c r="F34" s="317">
        <v>7</v>
      </c>
      <c r="H34" s="57" t="str">
        <f>'Name List'!B34</f>
        <v>David Hilton</v>
      </c>
      <c r="I34" s="433">
        <f>'Scores and stats'!QY34</f>
        <v>1</v>
      </c>
      <c r="J34" s="61">
        <f>'Scores and stats'!QW34</f>
        <v>2</v>
      </c>
      <c r="K34" s="434">
        <f t="shared" si="0"/>
        <v>0</v>
      </c>
      <c r="M34" s="476" t="str">
        <v>Nick Garner</v>
      </c>
      <c r="N34" s="477">
        <v>7</v>
      </c>
      <c r="O34" s="477">
        <v>17</v>
      </c>
      <c r="P34" s="479">
        <v>0</v>
      </c>
    </row>
    <row r="35" spans="2:16" x14ac:dyDescent="0.15">
      <c r="B35" s="57" t="str">
        <f>'Name List'!B35</f>
        <v>Eoghan Hilton</v>
      </c>
      <c r="C35" s="60">
        <f>'Scores and stats'!QW35</f>
        <v>4</v>
      </c>
      <c r="E35" s="316" t="str">
        <v>Ross Fraser</v>
      </c>
      <c r="F35" s="317">
        <v>6</v>
      </c>
      <c r="H35" s="57" t="str">
        <f>'Name List'!B35</f>
        <v>Eoghan Hilton</v>
      </c>
      <c r="I35" s="433">
        <f>'Scores and stats'!QY35</f>
        <v>2</v>
      </c>
      <c r="J35" s="61">
        <f>'Scores and stats'!QW35</f>
        <v>4</v>
      </c>
      <c r="K35" s="434">
        <f t="shared" si="0"/>
        <v>0</v>
      </c>
      <c r="M35" s="476" t="str">
        <v>Stuart Gay</v>
      </c>
      <c r="N35" s="477">
        <v>1</v>
      </c>
      <c r="O35" s="477">
        <v>1</v>
      </c>
      <c r="P35" s="479">
        <v>0</v>
      </c>
    </row>
    <row r="36" spans="2:16" x14ac:dyDescent="0.15">
      <c r="B36" s="57" t="str">
        <f>'Name List'!B36</f>
        <v>Martin Holder</v>
      </c>
      <c r="C36" s="60">
        <f>'Scores and stats'!QW36</f>
        <v>0</v>
      </c>
      <c r="E36" s="316" t="str">
        <v>Jonathan Kanareck</v>
      </c>
      <c r="F36" s="317">
        <v>6</v>
      </c>
      <c r="H36" s="57" t="str">
        <f>'Name List'!B36</f>
        <v>Martin Holder</v>
      </c>
      <c r="I36" s="433">
        <f>'Scores and stats'!QY36</f>
        <v>0</v>
      </c>
      <c r="J36" s="61">
        <f>'Scores and stats'!QW36</f>
        <v>0</v>
      </c>
      <c r="K36" s="434">
        <f t="shared" si="0"/>
        <v>0</v>
      </c>
      <c r="M36" s="476" t="str">
        <v>Jordan Hall</v>
      </c>
      <c r="N36" s="477">
        <v>1</v>
      </c>
      <c r="O36" s="477">
        <v>0</v>
      </c>
      <c r="P36" s="479">
        <v>0</v>
      </c>
    </row>
    <row r="37" spans="2:16" x14ac:dyDescent="0.15">
      <c r="B37" s="57" t="str">
        <f>'Name List'!B37</f>
        <v>Justin Hunt</v>
      </c>
      <c r="C37" s="60">
        <f>'Scores and stats'!QW37</f>
        <v>8</v>
      </c>
      <c r="E37" s="316" t="str">
        <v>Neil Hart</v>
      </c>
      <c r="F37" s="317">
        <v>5</v>
      </c>
      <c r="H37" s="57" t="str">
        <f>'Name List'!B37</f>
        <v>Justin Hunt</v>
      </c>
      <c r="I37" s="433">
        <f>'Scores and stats'!QY37</f>
        <v>9</v>
      </c>
      <c r="J37" s="61">
        <f>'Scores and stats'!QW37</f>
        <v>8</v>
      </c>
      <c r="K37" s="434">
        <f t="shared" si="0"/>
        <v>0</v>
      </c>
      <c r="M37" s="476" t="str">
        <v>Gary Hall</v>
      </c>
      <c r="N37" s="477">
        <v>1</v>
      </c>
      <c r="O37" s="477">
        <v>13</v>
      </c>
      <c r="P37" s="479">
        <v>0</v>
      </c>
    </row>
    <row r="38" spans="2:16" x14ac:dyDescent="0.15">
      <c r="B38" s="57" t="str">
        <f>'Name List'!B38</f>
        <v>Mark Hutchinson</v>
      </c>
      <c r="C38" s="60">
        <f>'Scores and stats'!QW38</f>
        <v>0</v>
      </c>
      <c r="E38" s="316" t="str">
        <v>Arron Rutherford</v>
      </c>
      <c r="F38" s="317">
        <v>5</v>
      </c>
      <c r="H38" s="57" t="str">
        <f>'Name List'!B38</f>
        <v>Mark Hutchinson</v>
      </c>
      <c r="I38" s="433">
        <f>'Scores and stats'!QY38</f>
        <v>0</v>
      </c>
      <c r="J38" s="61">
        <f>'Scores and stats'!QW38</f>
        <v>0</v>
      </c>
      <c r="K38" s="434">
        <f t="shared" si="0"/>
        <v>0</v>
      </c>
      <c r="M38" s="476" t="str">
        <v>Anthony Harris</v>
      </c>
      <c r="N38" s="477">
        <v>7</v>
      </c>
      <c r="O38" s="477">
        <v>11</v>
      </c>
      <c r="P38" s="479">
        <v>0</v>
      </c>
    </row>
    <row r="39" spans="2:16" x14ac:dyDescent="0.15">
      <c r="B39" s="57" t="str">
        <f>'Name List'!B39</f>
        <v>Andy Johnson</v>
      </c>
      <c r="C39" s="60">
        <f>'Scores and stats'!QW39</f>
        <v>14</v>
      </c>
      <c r="E39" s="316" t="str">
        <v>Eoghan Hilton</v>
      </c>
      <c r="F39" s="317">
        <v>4</v>
      </c>
      <c r="H39" s="57" t="str">
        <f>'Name List'!B39</f>
        <v>Andy Johnson</v>
      </c>
      <c r="I39" s="433">
        <f>'Scores and stats'!QY39</f>
        <v>12</v>
      </c>
      <c r="J39" s="61">
        <f>'Scores and stats'!QW39</f>
        <v>14</v>
      </c>
      <c r="K39" s="434">
        <f t="shared" si="0"/>
        <v>1.1666666666666667</v>
      </c>
      <c r="M39" s="476" t="str">
        <v>Neil Hart</v>
      </c>
      <c r="N39" s="477">
        <v>6</v>
      </c>
      <c r="O39" s="477">
        <v>5</v>
      </c>
      <c r="P39" s="479">
        <v>0</v>
      </c>
    </row>
    <row r="40" spans="2:16" x14ac:dyDescent="0.15">
      <c r="B40" s="57" t="str">
        <f>'Name List'!B40</f>
        <v>Oli Lloyd</v>
      </c>
      <c r="C40" s="60">
        <f>'Scores and stats'!QW40</f>
        <v>4</v>
      </c>
      <c r="E40" s="316" t="str">
        <v>Oli Lloyd</v>
      </c>
      <c r="F40" s="317">
        <v>4</v>
      </c>
      <c r="H40" s="57" t="str">
        <f>'Name List'!B40</f>
        <v>Oli Lloyd</v>
      </c>
      <c r="I40" s="433">
        <f>'Scores and stats'!QY40</f>
        <v>2</v>
      </c>
      <c r="J40" s="61">
        <f>'Scores and stats'!QW40</f>
        <v>4</v>
      </c>
      <c r="K40" s="434">
        <f t="shared" si="0"/>
        <v>0</v>
      </c>
      <c r="M40" s="476" t="str">
        <v>Tony Hearson</v>
      </c>
      <c r="N40" s="477">
        <v>0</v>
      </c>
      <c r="O40" s="477">
        <v>0</v>
      </c>
      <c r="P40" s="479">
        <v>0</v>
      </c>
    </row>
    <row r="41" spans="2:16" x14ac:dyDescent="0.15">
      <c r="B41" s="57" t="str">
        <f>'Name List'!B41</f>
        <v>Andy Lucey</v>
      </c>
      <c r="C41" s="60">
        <f>'Scores and stats'!QW41</f>
        <v>0</v>
      </c>
      <c r="E41" s="316" t="str">
        <v>Edward Money</v>
      </c>
      <c r="F41" s="317">
        <v>4</v>
      </c>
      <c r="H41" s="57" t="str">
        <f>'Name List'!B41</f>
        <v>Andy Lucey</v>
      </c>
      <c r="I41" s="433">
        <f>'Scores and stats'!QY41</f>
        <v>0</v>
      </c>
      <c r="J41" s="61">
        <f>'Scores and stats'!QW41</f>
        <v>0</v>
      </c>
      <c r="K41" s="434">
        <f t="shared" si="0"/>
        <v>0</v>
      </c>
      <c r="M41" s="476" t="str">
        <v>David Hilton</v>
      </c>
      <c r="N41" s="477">
        <v>1</v>
      </c>
      <c r="O41" s="477">
        <v>2</v>
      </c>
      <c r="P41" s="479">
        <v>0</v>
      </c>
    </row>
    <row r="42" spans="2:16" x14ac:dyDescent="0.15">
      <c r="B42" s="57" t="str">
        <f>'Name List'!B42</f>
        <v>Paul Martin</v>
      </c>
      <c r="C42" s="60">
        <f>'Scores and stats'!QW42</f>
        <v>2</v>
      </c>
      <c r="D42" s="61"/>
      <c r="E42" s="316" t="str">
        <v>Dickie Moxham</v>
      </c>
      <c r="F42" s="317">
        <v>4</v>
      </c>
      <c r="H42" s="57" t="str">
        <f>'Name List'!B42</f>
        <v>Paul Martin</v>
      </c>
      <c r="I42" s="433">
        <f>'Scores and stats'!QY42</f>
        <v>2</v>
      </c>
      <c r="J42" s="61">
        <f>'Scores and stats'!QW42</f>
        <v>2</v>
      </c>
      <c r="K42" s="434">
        <f t="shared" si="0"/>
        <v>0</v>
      </c>
      <c r="M42" s="476" t="str">
        <v>Eoghan Hilton</v>
      </c>
      <c r="N42" s="477">
        <v>2</v>
      </c>
      <c r="O42" s="477">
        <v>4</v>
      </c>
      <c r="P42" s="479">
        <v>0</v>
      </c>
    </row>
    <row r="43" spans="2:16" x14ac:dyDescent="0.15">
      <c r="B43" s="57" t="str">
        <f>'Name List'!B43</f>
        <v>Edward Money</v>
      </c>
      <c r="C43" s="60">
        <f>'Scores and stats'!QW43</f>
        <v>4</v>
      </c>
      <c r="D43" s="61"/>
      <c r="E43" s="316" t="str">
        <v>Russell Turner</v>
      </c>
      <c r="F43" s="317">
        <v>4</v>
      </c>
      <c r="H43" s="57" t="str">
        <f>'Name List'!B43</f>
        <v>Edward Money</v>
      </c>
      <c r="I43" s="433">
        <f>'Scores and stats'!QY43</f>
        <v>3</v>
      </c>
      <c r="J43" s="61">
        <f>'Scores and stats'!QW43</f>
        <v>4</v>
      </c>
      <c r="K43" s="434">
        <f t="shared" si="0"/>
        <v>0</v>
      </c>
      <c r="M43" s="476" t="str">
        <v>Martin Holder</v>
      </c>
      <c r="N43" s="477">
        <v>0</v>
      </c>
      <c r="O43" s="477">
        <v>0</v>
      </c>
      <c r="P43" s="479">
        <v>0</v>
      </c>
    </row>
    <row r="44" spans="2:16" x14ac:dyDescent="0.15">
      <c r="B44" s="57" t="str">
        <f>'Name List'!B44</f>
        <v>Dickie Moxham</v>
      </c>
      <c r="C44" s="60">
        <f>'Scores and stats'!QW44</f>
        <v>4</v>
      </c>
      <c r="E44" s="316" t="str">
        <v>Archie Fraser</v>
      </c>
      <c r="F44" s="317">
        <v>3</v>
      </c>
      <c r="H44" s="57" t="str">
        <f>'Name List'!B44</f>
        <v>Dickie Moxham</v>
      </c>
      <c r="I44" s="433">
        <f>'Scores and stats'!QY44</f>
        <v>4</v>
      </c>
      <c r="J44" s="61">
        <f>'Scores and stats'!QW44</f>
        <v>4</v>
      </c>
      <c r="K44" s="434">
        <f t="shared" si="0"/>
        <v>0</v>
      </c>
      <c r="M44" s="476" t="str">
        <v>Justin Hunt</v>
      </c>
      <c r="N44" s="477">
        <v>9</v>
      </c>
      <c r="O44" s="477">
        <v>8</v>
      </c>
      <c r="P44" s="479">
        <v>0</v>
      </c>
    </row>
    <row r="45" spans="2:16" x14ac:dyDescent="0.15">
      <c r="B45" s="57" t="str">
        <f>'Name List'!B45</f>
        <v>Dave Randall</v>
      </c>
      <c r="C45" s="60">
        <f>'Scores and stats'!QW45</f>
        <v>34</v>
      </c>
      <c r="E45" s="316" t="str">
        <v>Kyle Deane</v>
      </c>
      <c r="F45" s="317">
        <v>3</v>
      </c>
      <c r="H45" s="57" t="str">
        <f>'Name List'!B45</f>
        <v>Dave Randall</v>
      </c>
      <c r="I45" s="433">
        <f>'Scores and stats'!QY45</f>
        <v>16</v>
      </c>
      <c r="J45" s="61">
        <f>'Scores and stats'!QW45</f>
        <v>34</v>
      </c>
      <c r="K45" s="434">
        <f t="shared" si="0"/>
        <v>2.125</v>
      </c>
      <c r="M45" s="476" t="str">
        <v>Mark Hutchinson</v>
      </c>
      <c r="N45" s="477">
        <v>0</v>
      </c>
      <c r="O45" s="477">
        <v>0</v>
      </c>
      <c r="P45" s="479">
        <v>0</v>
      </c>
    </row>
    <row r="46" spans="2:16" x14ac:dyDescent="0.15">
      <c r="B46" s="57" t="str">
        <f>'Name List'!B46</f>
        <v>Arron Rutherford</v>
      </c>
      <c r="C46" s="60">
        <f>'Scores and stats'!QW46</f>
        <v>5</v>
      </c>
      <c r="E46" s="316" t="str">
        <v>Chris Burroughs</v>
      </c>
      <c r="F46" s="317">
        <v>2</v>
      </c>
      <c r="H46" s="57" t="str">
        <f>'Name List'!B46</f>
        <v>Arron Rutherford</v>
      </c>
      <c r="I46" s="433">
        <f>'Scores and stats'!QY46</f>
        <v>2</v>
      </c>
      <c r="J46" s="61">
        <f>'Scores and stats'!QW46</f>
        <v>5</v>
      </c>
      <c r="K46" s="434">
        <f t="shared" si="0"/>
        <v>0</v>
      </c>
      <c r="M46" s="476" t="str">
        <v>Oli Lloyd</v>
      </c>
      <c r="N46" s="477">
        <v>2</v>
      </c>
      <c r="O46" s="477">
        <v>4</v>
      </c>
      <c r="P46" s="479">
        <v>0</v>
      </c>
    </row>
    <row r="47" spans="2:16" x14ac:dyDescent="0.15">
      <c r="B47" s="57" t="str">
        <f>'Name List'!B47</f>
        <v>Terry Shoker</v>
      </c>
      <c r="C47" s="60">
        <f>'Scores and stats'!QW47</f>
        <v>0</v>
      </c>
      <c r="E47" s="316" t="str">
        <v>George Burton</v>
      </c>
      <c r="F47" s="317">
        <v>2</v>
      </c>
      <c r="H47" s="57" t="str">
        <f>'Name List'!B47</f>
        <v>Terry Shoker</v>
      </c>
      <c r="I47" s="433">
        <f>'Scores and stats'!QY47</f>
        <v>0</v>
      </c>
      <c r="J47" s="61">
        <f>'Scores and stats'!QW47</f>
        <v>0</v>
      </c>
      <c r="K47" s="434">
        <f t="shared" si="0"/>
        <v>0</v>
      </c>
      <c r="M47" s="476" t="str">
        <v>Andy Lucey</v>
      </c>
      <c r="N47" s="477">
        <v>0</v>
      </c>
      <c r="O47" s="477">
        <v>0</v>
      </c>
      <c r="P47" s="479">
        <v>0</v>
      </c>
    </row>
    <row r="48" spans="2:16" x14ac:dyDescent="0.15">
      <c r="B48" s="57" t="str">
        <f>'Name List'!B48</f>
        <v>Chris Smith</v>
      </c>
      <c r="C48" s="60">
        <f>'Scores and stats'!QW48</f>
        <v>7</v>
      </c>
      <c r="D48" s="61"/>
      <c r="E48" s="316" t="str">
        <v>Mike Chubb</v>
      </c>
      <c r="F48" s="317">
        <v>2</v>
      </c>
      <c r="H48" s="57" t="str">
        <f>'Name List'!B48</f>
        <v>Chris Smith</v>
      </c>
      <c r="I48" s="433">
        <f>'Scores and stats'!QY48</f>
        <v>10</v>
      </c>
      <c r="J48" s="61">
        <f>'Scores and stats'!QW48</f>
        <v>7</v>
      </c>
      <c r="K48" s="434">
        <f t="shared" si="0"/>
        <v>0.7</v>
      </c>
      <c r="M48" s="476" t="str">
        <v>Paul Martin</v>
      </c>
      <c r="N48" s="477">
        <v>2</v>
      </c>
      <c r="O48" s="477">
        <v>2</v>
      </c>
      <c r="P48" s="479">
        <v>0</v>
      </c>
    </row>
    <row r="49" spans="2:16" x14ac:dyDescent="0.15">
      <c r="B49" s="57" t="str">
        <f>'Name List'!B49</f>
        <v>Justin Spencer</v>
      </c>
      <c r="C49" s="60">
        <f>'Scores and stats'!QW49</f>
        <v>1</v>
      </c>
      <c r="E49" s="316" t="str">
        <v>David Hilton</v>
      </c>
      <c r="F49" s="317">
        <v>2</v>
      </c>
      <c r="H49" s="57" t="str">
        <f>'Name List'!B49</f>
        <v>Justin Spencer</v>
      </c>
      <c r="I49" s="433">
        <f>'Scores and stats'!QY49</f>
        <v>1</v>
      </c>
      <c r="J49" s="61">
        <f>'Scores and stats'!QW49</f>
        <v>1</v>
      </c>
      <c r="K49" s="434">
        <f t="shared" si="0"/>
        <v>0</v>
      </c>
      <c r="M49" s="476" t="str">
        <v>Edward Money</v>
      </c>
      <c r="N49" s="477">
        <v>3</v>
      </c>
      <c r="O49" s="477">
        <v>4</v>
      </c>
      <c r="P49" s="479">
        <v>0</v>
      </c>
    </row>
    <row r="50" spans="2:16" x14ac:dyDescent="0.15">
      <c r="B50" s="57" t="str">
        <f>'Name List'!B50</f>
        <v>Jake Sprosen</v>
      </c>
      <c r="C50" s="60">
        <f>'Scores and stats'!QW50</f>
        <v>0</v>
      </c>
      <c r="E50" s="316" t="str">
        <v>Paul Martin</v>
      </c>
      <c r="F50" s="317">
        <v>2</v>
      </c>
      <c r="H50" s="57" t="str">
        <f>'Name List'!B50</f>
        <v>Jake Sprosen</v>
      </c>
      <c r="I50" s="433">
        <f>'Scores and stats'!QY50</f>
        <v>0</v>
      </c>
      <c r="J50" s="61">
        <f>'Scores and stats'!QW50</f>
        <v>0</v>
      </c>
      <c r="K50" s="434">
        <f t="shared" si="0"/>
        <v>0</v>
      </c>
      <c r="M50" s="476" t="str">
        <v>Dickie Moxham</v>
      </c>
      <c r="N50" s="477">
        <v>4</v>
      </c>
      <c r="O50" s="477">
        <v>4</v>
      </c>
      <c r="P50" s="479">
        <v>0</v>
      </c>
    </row>
    <row r="51" spans="2:16" x14ac:dyDescent="0.15">
      <c r="B51" s="57" t="str">
        <f>'Name List'!B51</f>
        <v>Tosh Sprosen</v>
      </c>
      <c r="C51" s="60">
        <f>'Scores and stats'!QW51</f>
        <v>0</v>
      </c>
      <c r="E51" s="316" t="str">
        <v>Dan Thomas</v>
      </c>
      <c r="F51" s="317">
        <v>2</v>
      </c>
      <c r="H51" s="57" t="str">
        <f>'Name List'!B51</f>
        <v>Tosh Sprosen</v>
      </c>
      <c r="I51" s="433">
        <f>'Scores and stats'!QY51</f>
        <v>0</v>
      </c>
      <c r="J51" s="61">
        <f>'Scores and stats'!QW51</f>
        <v>0</v>
      </c>
      <c r="K51" s="434">
        <f t="shared" si="0"/>
        <v>0</v>
      </c>
      <c r="M51" s="476" t="str">
        <v>Arron Rutherford</v>
      </c>
      <c r="N51" s="477">
        <v>2</v>
      </c>
      <c r="O51" s="477">
        <v>5</v>
      </c>
      <c r="P51" s="479">
        <v>0</v>
      </c>
    </row>
    <row r="52" spans="2:16" x14ac:dyDescent="0.15">
      <c r="B52" s="57" t="str">
        <f>'Name List'!B52</f>
        <v>Bill Sutton</v>
      </c>
      <c r="C52" s="60">
        <f>'Scores and stats'!QW52</f>
        <v>0</v>
      </c>
      <c r="E52" s="316" t="str">
        <v>Dave Woodget</v>
      </c>
      <c r="F52" s="317">
        <v>2</v>
      </c>
      <c r="H52" s="57" t="str">
        <f>'Name List'!B52</f>
        <v>Bill Sutton</v>
      </c>
      <c r="I52" s="433">
        <f>'Scores and stats'!QY52</f>
        <v>0</v>
      </c>
      <c r="J52" s="61">
        <f>'Scores and stats'!QW52</f>
        <v>0</v>
      </c>
      <c r="K52" s="434">
        <f t="shared" si="0"/>
        <v>0</v>
      </c>
      <c r="M52" s="476" t="str">
        <v>Terry Shoker</v>
      </c>
      <c r="N52" s="477">
        <v>0</v>
      </c>
      <c r="O52" s="477">
        <v>0</v>
      </c>
      <c r="P52" s="479">
        <v>0</v>
      </c>
    </row>
    <row r="53" spans="2:16" x14ac:dyDescent="0.15">
      <c r="B53" s="57" t="str">
        <f>'Name List'!B53</f>
        <v>Dan Thomas</v>
      </c>
      <c r="C53" s="60">
        <f>'Scores and stats'!QW53</f>
        <v>2</v>
      </c>
      <c r="E53" s="316" t="str">
        <v>Joe Hooper</v>
      </c>
      <c r="F53" s="317">
        <v>2</v>
      </c>
      <c r="H53" s="57" t="str">
        <f>'Name List'!B53</f>
        <v>Dan Thomas</v>
      </c>
      <c r="I53" s="433">
        <f>'Scores and stats'!QY53</f>
        <v>1</v>
      </c>
      <c r="J53" s="61">
        <f>'Scores and stats'!QW53</f>
        <v>2</v>
      </c>
      <c r="K53" s="434">
        <f t="shared" si="0"/>
        <v>0</v>
      </c>
      <c r="M53" s="476" t="str">
        <v>Justin Spencer</v>
      </c>
      <c r="N53" s="477">
        <v>1</v>
      </c>
      <c r="O53" s="477">
        <v>1</v>
      </c>
      <c r="P53" s="479">
        <v>0</v>
      </c>
    </row>
    <row r="54" spans="2:16" x14ac:dyDescent="0.15">
      <c r="B54" s="57" t="str">
        <f>'Name List'!B54</f>
        <v>Andy Thompson</v>
      </c>
      <c r="C54" s="60">
        <f>'Scores and stats'!QW54</f>
        <v>0</v>
      </c>
      <c r="E54" s="316" t="str">
        <v>George Clarke</v>
      </c>
      <c r="F54" s="317">
        <v>1</v>
      </c>
      <c r="H54" s="57" t="str">
        <f>'Name List'!B54</f>
        <v>Andy Thompson</v>
      </c>
      <c r="I54" s="433">
        <f>'Scores and stats'!QY54</f>
        <v>0</v>
      </c>
      <c r="J54" s="61">
        <f>'Scores and stats'!QW54</f>
        <v>0</v>
      </c>
      <c r="K54" s="434">
        <f t="shared" si="0"/>
        <v>0</v>
      </c>
      <c r="M54" s="476" t="str">
        <v>Jake Sprosen</v>
      </c>
      <c r="N54" s="477">
        <v>0</v>
      </c>
      <c r="O54" s="477">
        <v>0</v>
      </c>
      <c r="P54" s="479">
        <v>0</v>
      </c>
    </row>
    <row r="55" spans="2:16" x14ac:dyDescent="0.15">
      <c r="B55" s="57" t="str">
        <f>'Name List'!B55</f>
        <v>Rory Thompson</v>
      </c>
      <c r="C55" s="60">
        <f>'Scores and stats'!QW55</f>
        <v>0</v>
      </c>
      <c r="E55" s="316" t="str">
        <v>Stuart Gay</v>
      </c>
      <c r="F55" s="317">
        <v>1</v>
      </c>
      <c r="H55" s="57" t="str">
        <f>'Name List'!B55</f>
        <v>Rory Thompson</v>
      </c>
      <c r="I55" s="433">
        <f>'Scores and stats'!QY55</f>
        <v>0</v>
      </c>
      <c r="J55" s="61">
        <f>'Scores and stats'!QW55</f>
        <v>0</v>
      </c>
      <c r="K55" s="434">
        <f t="shared" si="0"/>
        <v>0</v>
      </c>
      <c r="M55" s="476" t="str">
        <v>Tosh Sprosen</v>
      </c>
      <c r="N55" s="477">
        <v>0</v>
      </c>
      <c r="O55" s="477">
        <v>0</v>
      </c>
      <c r="P55" s="479">
        <v>0</v>
      </c>
    </row>
    <row r="56" spans="2:16" x14ac:dyDescent="0.15">
      <c r="B56" s="57" t="str">
        <f>'Name List'!B56</f>
        <v>Sonny Thompson</v>
      </c>
      <c r="C56" s="60">
        <f>'Scores and stats'!QW56</f>
        <v>0</v>
      </c>
      <c r="E56" s="316" t="str">
        <v>Justin Spencer</v>
      </c>
      <c r="F56" s="317">
        <v>1</v>
      </c>
      <c r="H56" s="57" t="str">
        <f>'Name List'!B56</f>
        <v>Sonny Thompson</v>
      </c>
      <c r="I56" s="433">
        <f>'Scores and stats'!QY56</f>
        <v>0</v>
      </c>
      <c r="J56" s="61">
        <f>'Scores and stats'!QW56</f>
        <v>0</v>
      </c>
      <c r="K56" s="434">
        <f t="shared" si="0"/>
        <v>0</v>
      </c>
      <c r="M56" s="476" t="str">
        <v>Bill Sutton</v>
      </c>
      <c r="N56" s="477">
        <v>0</v>
      </c>
      <c r="O56" s="477">
        <v>0</v>
      </c>
      <c r="P56" s="479">
        <v>0</v>
      </c>
    </row>
    <row r="57" spans="2:16" x14ac:dyDescent="0.15">
      <c r="B57" s="57" t="str">
        <f>'Name List'!B57</f>
        <v>Kevin Tribley</v>
      </c>
      <c r="C57" s="60">
        <f>'Scores and stats'!QW57</f>
        <v>20</v>
      </c>
      <c r="E57" s="316" t="str">
        <v>Stuart Anderson</v>
      </c>
      <c r="F57" s="317">
        <v>0</v>
      </c>
      <c r="H57" s="57" t="str">
        <f>'Name List'!B57</f>
        <v>Kevin Tribley</v>
      </c>
      <c r="I57" s="433">
        <f>'Scores and stats'!QY57</f>
        <v>12</v>
      </c>
      <c r="J57" s="61">
        <f>'Scores and stats'!QW57</f>
        <v>20</v>
      </c>
      <c r="K57" s="434">
        <f t="shared" si="0"/>
        <v>1.6666666666666667</v>
      </c>
      <c r="M57" s="476" t="str">
        <v>Dan Thomas</v>
      </c>
      <c r="N57" s="477">
        <v>1</v>
      </c>
      <c r="O57" s="477">
        <v>2</v>
      </c>
      <c r="P57" s="479">
        <v>0</v>
      </c>
    </row>
    <row r="58" spans="2:16" x14ac:dyDescent="0.15">
      <c r="B58" s="57" t="str">
        <f>'Name List'!B58</f>
        <v>Russell Turner</v>
      </c>
      <c r="C58" s="60">
        <f>'Scores and stats'!QW58</f>
        <v>4</v>
      </c>
      <c r="E58" s="316" t="str">
        <v>Peter Donovan</v>
      </c>
      <c r="F58" s="317">
        <v>0</v>
      </c>
      <c r="H58" s="57" t="str">
        <f>'Name List'!B58</f>
        <v>Russell Turner</v>
      </c>
      <c r="I58" s="433">
        <f>'Scores and stats'!QY58</f>
        <v>2</v>
      </c>
      <c r="J58" s="61">
        <f>'Scores and stats'!QW58</f>
        <v>4</v>
      </c>
      <c r="K58" s="434">
        <f t="shared" si="0"/>
        <v>0</v>
      </c>
      <c r="M58" s="476" t="str">
        <v>Andy Thompson</v>
      </c>
      <c r="N58" s="477">
        <v>0</v>
      </c>
      <c r="O58" s="477">
        <v>0</v>
      </c>
      <c r="P58" s="479">
        <v>0</v>
      </c>
    </row>
    <row r="59" spans="2:16" x14ac:dyDescent="0.15">
      <c r="B59" s="57" t="str">
        <f>'Name List'!B59</f>
        <v>Peter Vallely</v>
      </c>
      <c r="C59" s="60">
        <f>'Scores and stats'!QW59</f>
        <v>14</v>
      </c>
      <c r="E59" s="316" t="str">
        <v>James Dunn</v>
      </c>
      <c r="F59" s="317">
        <v>0</v>
      </c>
      <c r="H59" s="57" t="str">
        <f>'Name List'!B59</f>
        <v>Peter Vallely</v>
      </c>
      <c r="I59" s="433">
        <f>'Scores and stats'!QY59</f>
        <v>11</v>
      </c>
      <c r="J59" s="61">
        <f>'Scores and stats'!QW59</f>
        <v>14</v>
      </c>
      <c r="K59" s="434">
        <f t="shared" si="0"/>
        <v>1.2727272727272727</v>
      </c>
      <c r="M59" s="476" t="str">
        <v>Rory Thompson</v>
      </c>
      <c r="N59" s="477">
        <v>0</v>
      </c>
      <c r="O59" s="477">
        <v>0</v>
      </c>
      <c r="P59" s="479">
        <v>0</v>
      </c>
    </row>
    <row r="60" spans="2:16" x14ac:dyDescent="0.15">
      <c r="B60" s="57" t="str">
        <f>'Name List'!B60</f>
        <v>Ryan Vaughan</v>
      </c>
      <c r="C60" s="60">
        <f>'Scores and stats'!QW60</f>
        <v>9</v>
      </c>
      <c r="E60" s="316" t="str">
        <v>Gordon Fielding</v>
      </c>
      <c r="F60" s="317">
        <v>0</v>
      </c>
      <c r="H60" s="57" t="str">
        <f>'Name List'!B60</f>
        <v>Ryan Vaughan</v>
      </c>
      <c r="I60" s="433">
        <f>'Scores and stats'!QY60</f>
        <v>3</v>
      </c>
      <c r="J60" s="61">
        <f>'Scores and stats'!QW60</f>
        <v>9</v>
      </c>
      <c r="K60" s="434">
        <f t="shared" si="0"/>
        <v>0</v>
      </c>
      <c r="M60" s="476" t="str">
        <v>Sonny Thompson</v>
      </c>
      <c r="N60" s="477">
        <v>0</v>
      </c>
      <c r="O60" s="477">
        <v>0</v>
      </c>
      <c r="P60" s="479">
        <v>0</v>
      </c>
    </row>
    <row r="61" spans="2:16" x14ac:dyDescent="0.15">
      <c r="B61" s="57" t="str">
        <f>'Name List'!B61</f>
        <v>Jason Wale</v>
      </c>
      <c r="C61" s="60">
        <f>'Scores and stats'!QW61</f>
        <v>21</v>
      </c>
      <c r="E61" s="316" t="str">
        <v>Jordan Hall</v>
      </c>
      <c r="F61" s="317">
        <v>0</v>
      </c>
      <c r="H61" s="57" t="str">
        <f>'Name List'!B61</f>
        <v>Jason Wale</v>
      </c>
      <c r="I61" s="433">
        <f>'Scores and stats'!QY61</f>
        <v>10</v>
      </c>
      <c r="J61" s="61">
        <f>'Scores and stats'!QW61</f>
        <v>21</v>
      </c>
      <c r="K61" s="434">
        <f t="shared" si="0"/>
        <v>2.1</v>
      </c>
      <c r="M61" s="476" t="str">
        <v>Russell Turner</v>
      </c>
      <c r="N61" s="477">
        <v>2</v>
      </c>
      <c r="O61" s="477">
        <v>4</v>
      </c>
      <c r="P61" s="479">
        <v>0</v>
      </c>
    </row>
    <row r="62" spans="2:16" x14ac:dyDescent="0.15">
      <c r="B62" s="57" t="str">
        <f>'Name List'!B62</f>
        <v>Terry Walker</v>
      </c>
      <c r="C62" s="60">
        <f>'Scores and stats'!QW62</f>
        <v>16</v>
      </c>
      <c r="E62" s="316" t="str">
        <v>Tony Hearson</v>
      </c>
      <c r="F62" s="317">
        <v>0</v>
      </c>
      <c r="H62" s="57" t="str">
        <f>'Name List'!B62</f>
        <v>Terry Walker</v>
      </c>
      <c r="I62" s="433">
        <f>'Scores and stats'!QY62</f>
        <v>5</v>
      </c>
      <c r="J62" s="61">
        <f>'Scores and stats'!QW62</f>
        <v>16</v>
      </c>
      <c r="K62" s="434">
        <f t="shared" si="0"/>
        <v>0</v>
      </c>
      <c r="M62" s="476" t="str">
        <v>Ryan Vaughan</v>
      </c>
      <c r="N62" s="477">
        <v>3</v>
      </c>
      <c r="O62" s="477">
        <v>9</v>
      </c>
      <c r="P62" s="479">
        <v>0</v>
      </c>
    </row>
    <row r="63" spans="2:16" x14ac:dyDescent="0.15">
      <c r="B63" s="57" t="str">
        <f>'Name List'!B63</f>
        <v>Finn Wheeler</v>
      </c>
      <c r="C63" s="60">
        <f>'Scores and stats'!QW63</f>
        <v>8</v>
      </c>
      <c r="E63" s="316" t="str">
        <v>Martin Holder</v>
      </c>
      <c r="F63" s="317">
        <v>0</v>
      </c>
      <c r="H63" s="57" t="str">
        <f>'Name List'!B63</f>
        <v>Finn Wheeler</v>
      </c>
      <c r="I63" s="433">
        <f>'Scores and stats'!QY63</f>
        <v>3</v>
      </c>
      <c r="J63" s="61">
        <f>'Scores and stats'!QW63</f>
        <v>8</v>
      </c>
      <c r="K63" s="434">
        <f t="shared" si="0"/>
        <v>0</v>
      </c>
      <c r="M63" s="476" t="str">
        <v>Terry Walker</v>
      </c>
      <c r="N63" s="477">
        <v>5</v>
      </c>
      <c r="O63" s="477">
        <v>16</v>
      </c>
      <c r="P63" s="479">
        <v>0</v>
      </c>
    </row>
    <row r="64" spans="2:16" x14ac:dyDescent="0.15">
      <c r="B64" s="57" t="str">
        <f>'Name List'!B64</f>
        <v>Steve Wheeler</v>
      </c>
      <c r="C64" s="60">
        <f>'Scores and stats'!QW64</f>
        <v>13</v>
      </c>
      <c r="E64" s="316" t="str">
        <v>Mark Hutchinson</v>
      </c>
      <c r="F64" s="317">
        <v>0</v>
      </c>
      <c r="H64" s="57" t="str">
        <f>'Name List'!B64</f>
        <v>Steve Wheeler</v>
      </c>
      <c r="I64" s="433">
        <f>'Scores and stats'!QY64</f>
        <v>3</v>
      </c>
      <c r="J64" s="61">
        <f>'Scores and stats'!QW64</f>
        <v>13</v>
      </c>
      <c r="K64" s="434">
        <f t="shared" si="0"/>
        <v>0</v>
      </c>
      <c r="M64" s="476" t="str">
        <v>Finn Wheeler</v>
      </c>
      <c r="N64" s="477">
        <v>3</v>
      </c>
      <c r="O64" s="477">
        <v>8</v>
      </c>
      <c r="P64" s="479">
        <v>0</v>
      </c>
    </row>
    <row r="65" spans="2:16" x14ac:dyDescent="0.15">
      <c r="B65" s="57" t="str">
        <f>'Name List'!B65</f>
        <v>Brad Whitehead</v>
      </c>
      <c r="C65" s="60">
        <f>'Scores and stats'!QW65</f>
        <v>14</v>
      </c>
      <c r="E65" s="316" t="str">
        <v>Andy Lucey</v>
      </c>
      <c r="F65" s="317">
        <v>0</v>
      </c>
      <c r="H65" s="57" t="str">
        <f>'Name List'!B65</f>
        <v>Brad Whitehead</v>
      </c>
      <c r="I65" s="433">
        <f>'Scores and stats'!QY65</f>
        <v>14</v>
      </c>
      <c r="J65" s="61">
        <f>'Scores and stats'!QW65</f>
        <v>14</v>
      </c>
      <c r="K65" s="434">
        <f t="shared" si="0"/>
        <v>1</v>
      </c>
      <c r="M65" s="476" t="str">
        <v>Steve Wheeler</v>
      </c>
      <c r="N65" s="477">
        <v>3</v>
      </c>
      <c r="O65" s="477">
        <v>13</v>
      </c>
      <c r="P65" s="479">
        <v>0</v>
      </c>
    </row>
    <row r="66" spans="2:16" x14ac:dyDescent="0.15">
      <c r="B66" s="57" t="str">
        <f>'Name List'!B66</f>
        <v>Dave Woodget</v>
      </c>
      <c r="C66" s="60">
        <f>'Scores and stats'!QW66</f>
        <v>2</v>
      </c>
      <c r="E66" s="316" t="str">
        <v>Terry Shoker</v>
      </c>
      <c r="F66" s="317">
        <v>0</v>
      </c>
      <c r="H66" s="57" t="str">
        <f>'Name List'!B66</f>
        <v>Dave Woodget</v>
      </c>
      <c r="I66" s="433">
        <f>'Scores and stats'!QY66</f>
        <v>1</v>
      </c>
      <c r="J66" s="61">
        <f>'Scores and stats'!QW66</f>
        <v>2</v>
      </c>
      <c r="K66" s="434">
        <f t="shared" si="0"/>
        <v>0</v>
      </c>
      <c r="M66" s="476" t="str">
        <v>Dave Woodget</v>
      </c>
      <c r="N66" s="477">
        <v>1</v>
      </c>
      <c r="O66" s="477">
        <v>2</v>
      </c>
      <c r="P66" s="479">
        <v>0</v>
      </c>
    </row>
    <row r="67" spans="2:16" x14ac:dyDescent="0.15">
      <c r="B67" s="57" t="str">
        <f>'Name List'!B67</f>
        <v>Jonathan Kanareck</v>
      </c>
      <c r="C67" s="60">
        <f>'Scores and stats'!QW67</f>
        <v>6</v>
      </c>
      <c r="E67" s="316" t="str">
        <v>Jake Sprosen</v>
      </c>
      <c r="F67" s="317">
        <v>0</v>
      </c>
      <c r="H67" s="57" t="str">
        <f>'Name List'!B67</f>
        <v>Jonathan Kanareck</v>
      </c>
      <c r="I67" s="433">
        <f>'Scores and stats'!QY67</f>
        <v>2</v>
      </c>
      <c r="J67" s="61">
        <f>'Scores and stats'!QW67</f>
        <v>6</v>
      </c>
      <c r="K67" s="434">
        <f t="shared" si="0"/>
        <v>0</v>
      </c>
      <c r="M67" s="476" t="str">
        <v>Jonathan Kanareck</v>
      </c>
      <c r="N67" s="477">
        <v>2</v>
      </c>
      <c r="O67" s="477">
        <v>6</v>
      </c>
      <c r="P67" s="479">
        <v>0</v>
      </c>
    </row>
    <row r="68" spans="2:16" x14ac:dyDescent="0.15">
      <c r="B68" s="57" t="str">
        <f>'Name List'!B68</f>
        <v>Oliver Proud</v>
      </c>
      <c r="C68" s="60">
        <f>'Scores and stats'!QW68</f>
        <v>7</v>
      </c>
      <c r="E68" s="316" t="str">
        <v>Tosh Sprosen</v>
      </c>
      <c r="F68" s="317">
        <v>0</v>
      </c>
      <c r="H68" s="57" t="str">
        <f>'Name List'!B68</f>
        <v>Oliver Proud</v>
      </c>
      <c r="I68" s="433">
        <f>'Scores and stats'!QY68</f>
        <v>1</v>
      </c>
      <c r="J68" s="61">
        <f>'Scores and stats'!QW68</f>
        <v>7</v>
      </c>
      <c r="K68" s="434">
        <f t="shared" si="0"/>
        <v>0</v>
      </c>
      <c r="M68" s="476" t="str">
        <v>Oliver Proud</v>
      </c>
      <c r="N68" s="477">
        <v>1</v>
      </c>
      <c r="O68" s="477">
        <v>7</v>
      </c>
      <c r="P68" s="479">
        <v>0</v>
      </c>
    </row>
    <row r="69" spans="2:16" x14ac:dyDescent="0.15">
      <c r="B69" s="57" t="str">
        <f>'Name List'!B69</f>
        <v>Joe Hooper</v>
      </c>
      <c r="C69" s="60">
        <f>'Scores and stats'!QW69</f>
        <v>2</v>
      </c>
      <c r="E69" s="316" t="str">
        <v>Bill Sutton</v>
      </c>
      <c r="F69" s="317">
        <v>0</v>
      </c>
      <c r="H69" s="57" t="str">
        <f>'Name List'!B69</f>
        <v>Joe Hooper</v>
      </c>
      <c r="I69" s="433">
        <f>'Scores and stats'!QY69</f>
        <v>4</v>
      </c>
      <c r="J69" s="61">
        <f>'Scores and stats'!QW69</f>
        <v>2</v>
      </c>
      <c r="K69" s="434">
        <f t="shared" si="0"/>
        <v>0</v>
      </c>
      <c r="M69" s="476" t="str">
        <v>Joe Hooper</v>
      </c>
      <c r="N69" s="477">
        <v>4</v>
      </c>
      <c r="O69" s="477">
        <v>2</v>
      </c>
      <c r="P69" s="479">
        <v>0</v>
      </c>
    </row>
    <row r="70" spans="2:16" x14ac:dyDescent="0.15">
      <c r="B70" s="57" t="str">
        <f>'Name List'!B70</f>
        <v>Danny Jones</v>
      </c>
      <c r="C70" s="60">
        <f>'Scores and stats'!QW70</f>
        <v>0</v>
      </c>
      <c r="E70" s="316" t="str">
        <v>Andy Thompson</v>
      </c>
      <c r="F70" s="317">
        <v>0</v>
      </c>
      <c r="H70" s="57" t="str">
        <f>'Name List'!B70</f>
        <v>Danny Jones</v>
      </c>
      <c r="I70" s="433">
        <f>'Scores and stats'!QY70</f>
        <v>1</v>
      </c>
      <c r="J70" s="61">
        <f>'Scores and stats'!QW70</f>
        <v>0</v>
      </c>
      <c r="K70" s="434">
        <f t="shared" si="0"/>
        <v>0</v>
      </c>
      <c r="M70" s="476" t="str">
        <v>Danny Jones</v>
      </c>
      <c r="N70" s="477">
        <v>1</v>
      </c>
      <c r="O70" s="477">
        <v>0</v>
      </c>
      <c r="P70" s="479">
        <v>0</v>
      </c>
    </row>
    <row r="71" spans="2:16" x14ac:dyDescent="0.15">
      <c r="B71" s="57" t="str">
        <f>'Name List'!B71</f>
        <v>Liam Anderson</v>
      </c>
      <c r="C71" s="60">
        <f>'Scores and stats'!QW71</f>
        <v>0</v>
      </c>
      <c r="E71" s="316" t="str">
        <v>Rory Thompson</v>
      </c>
      <c r="F71" s="317">
        <v>0</v>
      </c>
      <c r="H71" s="57" t="str">
        <f>'Name List'!B71</f>
        <v>Liam Anderson</v>
      </c>
      <c r="I71" s="433">
        <f>'Scores and stats'!QY71</f>
        <v>0</v>
      </c>
      <c r="J71" s="61">
        <f>'Scores and stats'!QW71</f>
        <v>0</v>
      </c>
      <c r="K71" s="434">
        <f t="shared" ref="K71:K105" si="1">IF(I71&lt;10,0,J71/I71)</f>
        <v>0</v>
      </c>
      <c r="M71" s="476" t="str">
        <v>Liam Anderson</v>
      </c>
      <c r="N71" s="477">
        <v>0</v>
      </c>
      <c r="O71" s="477">
        <v>0</v>
      </c>
      <c r="P71" s="479">
        <v>0</v>
      </c>
    </row>
    <row r="72" spans="2:16" x14ac:dyDescent="0.15">
      <c r="B72" s="57" t="str">
        <f>'Name List'!B72</f>
        <v>Sam Cochrane</v>
      </c>
      <c r="C72" s="60">
        <f>'Scores and stats'!QW72</f>
        <v>27</v>
      </c>
      <c r="E72" s="316" t="str">
        <v>Sonny Thompson</v>
      </c>
      <c r="F72" s="317">
        <v>0</v>
      </c>
      <c r="H72" s="57" t="str">
        <f>'Name List'!B72</f>
        <v>Sam Cochrane</v>
      </c>
      <c r="I72" s="433">
        <f>'Scores and stats'!QY72</f>
        <v>7</v>
      </c>
      <c r="J72" s="61">
        <f>'Scores and stats'!QW72</f>
        <v>27</v>
      </c>
      <c r="K72" s="434">
        <f t="shared" si="1"/>
        <v>0</v>
      </c>
      <c r="M72" s="476" t="str">
        <v>Sam Cochrane</v>
      </c>
      <c r="N72" s="477">
        <v>7</v>
      </c>
      <c r="O72" s="477">
        <v>27</v>
      </c>
      <c r="P72" s="479">
        <v>0</v>
      </c>
    </row>
    <row r="73" spans="2:16" x14ac:dyDescent="0.15">
      <c r="B73" s="57" t="str">
        <f>'Name List'!B73</f>
        <v>Shaun Alexander</v>
      </c>
      <c r="C73" s="60">
        <f>'Scores and stats'!QW73</f>
        <v>7</v>
      </c>
      <c r="E73" s="316" t="str">
        <v>Danny Jones</v>
      </c>
      <c r="F73" s="317">
        <v>0</v>
      </c>
      <c r="H73" s="57" t="str">
        <f>'Name List'!B73</f>
        <v>Shaun Alexander</v>
      </c>
      <c r="I73" s="433">
        <f>'Scores and stats'!QY73</f>
        <v>5</v>
      </c>
      <c r="J73" s="61">
        <f>'Scores and stats'!QW73</f>
        <v>7</v>
      </c>
      <c r="K73" s="434">
        <f t="shared" si="1"/>
        <v>0</v>
      </c>
      <c r="M73" s="476" t="str">
        <v>Shaun Alexander</v>
      </c>
      <c r="N73" s="477">
        <v>5</v>
      </c>
      <c r="O73" s="477">
        <v>7</v>
      </c>
      <c r="P73" s="479">
        <v>0</v>
      </c>
    </row>
    <row r="74" spans="2:16" x14ac:dyDescent="0.15">
      <c r="B74" s="57" t="str">
        <f>'Name List'!B74</f>
        <v>Kyle Deane</v>
      </c>
      <c r="C74" s="60">
        <f>'Scores and stats'!QW74</f>
        <v>3</v>
      </c>
      <c r="E74" s="316" t="str">
        <v>Liam Anderson</v>
      </c>
      <c r="F74" s="317">
        <v>0</v>
      </c>
      <c r="H74" s="57" t="str">
        <f>'Name List'!B74</f>
        <v>Kyle Deane</v>
      </c>
      <c r="I74" s="433">
        <f>'Scores and stats'!QY74</f>
        <v>1</v>
      </c>
      <c r="J74" s="61">
        <f>'Scores and stats'!QW74</f>
        <v>3</v>
      </c>
      <c r="K74" s="434">
        <f t="shared" si="1"/>
        <v>0</v>
      </c>
      <c r="M74" s="476" t="str">
        <v>Kyle Deane</v>
      </c>
      <c r="N74" s="477">
        <v>1</v>
      </c>
      <c r="O74" s="477">
        <v>3</v>
      </c>
      <c r="P74" s="479">
        <v>0</v>
      </c>
    </row>
    <row r="75" spans="2:16" x14ac:dyDescent="0.15">
      <c r="B75" s="57">
        <f>'Name List'!B75</f>
        <v>1</v>
      </c>
      <c r="C75" s="60">
        <f>'Scores and stats'!QW75</f>
        <v>0</v>
      </c>
      <c r="E75" s="316">
        <v>1</v>
      </c>
      <c r="F75" s="317">
        <v>0</v>
      </c>
      <c r="H75" s="57">
        <f>'Name List'!B75</f>
        <v>1</v>
      </c>
      <c r="I75" s="433">
        <f>'Scores and stats'!QY75</f>
        <v>0</v>
      </c>
      <c r="J75" s="61">
        <f>'Scores and stats'!QW75</f>
        <v>0</v>
      </c>
      <c r="K75" s="434">
        <f t="shared" si="1"/>
        <v>0</v>
      </c>
      <c r="M75" s="476">
        <v>1</v>
      </c>
      <c r="N75" s="477">
        <v>0</v>
      </c>
      <c r="O75" s="477">
        <v>0</v>
      </c>
      <c r="P75" s="479">
        <v>0</v>
      </c>
    </row>
    <row r="76" spans="2:16" x14ac:dyDescent="0.15">
      <c r="B76" s="57">
        <f>'Name List'!B76</f>
        <v>2</v>
      </c>
      <c r="C76" s="60">
        <f>'Scores and stats'!QW76</f>
        <v>0</v>
      </c>
      <c r="E76" s="316">
        <v>2</v>
      </c>
      <c r="F76" s="317">
        <v>0</v>
      </c>
      <c r="H76" s="57">
        <f>'Name List'!B76</f>
        <v>2</v>
      </c>
      <c r="I76" s="433">
        <f>'Scores and stats'!QY76</f>
        <v>0</v>
      </c>
      <c r="J76" s="61">
        <f>'Scores and stats'!QW76</f>
        <v>0</v>
      </c>
      <c r="K76" s="434">
        <f t="shared" si="1"/>
        <v>0</v>
      </c>
      <c r="M76" s="476">
        <v>2</v>
      </c>
      <c r="N76" s="477">
        <v>0</v>
      </c>
      <c r="O76" s="477">
        <v>0</v>
      </c>
      <c r="P76" s="479">
        <v>0</v>
      </c>
    </row>
    <row r="77" spans="2:16" x14ac:dyDescent="0.15">
      <c r="B77" s="57">
        <f>'Name List'!B77</f>
        <v>3</v>
      </c>
      <c r="C77" s="60">
        <f>'Scores and stats'!QW77</f>
        <v>0</v>
      </c>
      <c r="E77" s="316">
        <v>3</v>
      </c>
      <c r="F77" s="317">
        <v>0</v>
      </c>
      <c r="H77" s="57">
        <f>'Name List'!B77</f>
        <v>3</v>
      </c>
      <c r="I77" s="433">
        <f>'Scores and stats'!QY77</f>
        <v>0</v>
      </c>
      <c r="J77" s="61">
        <f>'Scores and stats'!QW77</f>
        <v>0</v>
      </c>
      <c r="K77" s="434">
        <f t="shared" si="1"/>
        <v>0</v>
      </c>
      <c r="M77" s="476">
        <v>3</v>
      </c>
      <c r="N77" s="477">
        <v>0</v>
      </c>
      <c r="O77" s="477">
        <v>0</v>
      </c>
      <c r="P77" s="479">
        <v>0</v>
      </c>
    </row>
    <row r="78" spans="2:16" x14ac:dyDescent="0.15">
      <c r="B78" s="57">
        <f>'Name List'!B78</f>
        <v>4</v>
      </c>
      <c r="C78" s="60">
        <f>'Scores and stats'!QW78</f>
        <v>0</v>
      </c>
      <c r="E78" s="316">
        <v>4</v>
      </c>
      <c r="F78" s="317">
        <v>0</v>
      </c>
      <c r="H78" s="57">
        <f>'Name List'!B78</f>
        <v>4</v>
      </c>
      <c r="I78" s="433">
        <f>'Scores and stats'!QY78</f>
        <v>0</v>
      </c>
      <c r="J78" s="61">
        <f>'Scores and stats'!QW78</f>
        <v>0</v>
      </c>
      <c r="K78" s="434">
        <f t="shared" si="1"/>
        <v>0</v>
      </c>
      <c r="M78" s="476">
        <v>4</v>
      </c>
      <c r="N78" s="477">
        <v>0</v>
      </c>
      <c r="O78" s="477">
        <v>0</v>
      </c>
      <c r="P78" s="479">
        <v>0</v>
      </c>
    </row>
    <row r="79" spans="2:16" x14ac:dyDescent="0.15">
      <c r="B79" s="57">
        <f>'Name List'!B79</f>
        <v>5</v>
      </c>
      <c r="C79" s="60">
        <f>'Scores and stats'!QW79</f>
        <v>0</v>
      </c>
      <c r="E79" s="316">
        <v>5</v>
      </c>
      <c r="F79" s="317">
        <v>0</v>
      </c>
      <c r="H79" s="57">
        <f>'Name List'!B79</f>
        <v>5</v>
      </c>
      <c r="I79" s="433">
        <f>'Scores and stats'!QY79</f>
        <v>0</v>
      </c>
      <c r="J79" s="61">
        <f>'Scores and stats'!QW79</f>
        <v>0</v>
      </c>
      <c r="K79" s="434">
        <f t="shared" si="1"/>
        <v>0</v>
      </c>
      <c r="M79" s="476">
        <v>5</v>
      </c>
      <c r="N79" s="477">
        <v>0</v>
      </c>
      <c r="O79" s="477">
        <v>0</v>
      </c>
      <c r="P79" s="479">
        <v>0</v>
      </c>
    </row>
    <row r="80" spans="2:16" x14ac:dyDescent="0.15">
      <c r="B80" s="57">
        <f>'Name List'!B80</f>
        <v>6</v>
      </c>
      <c r="C80" s="60">
        <f>'Scores and stats'!QW80</f>
        <v>0</v>
      </c>
      <c r="E80" s="316">
        <v>6</v>
      </c>
      <c r="F80" s="317">
        <v>0</v>
      </c>
      <c r="H80" s="57">
        <f>'Name List'!B80</f>
        <v>6</v>
      </c>
      <c r="I80" s="433">
        <f>'Scores and stats'!QY80</f>
        <v>0</v>
      </c>
      <c r="J80" s="61">
        <f>'Scores and stats'!QW80</f>
        <v>0</v>
      </c>
      <c r="K80" s="434">
        <f t="shared" si="1"/>
        <v>0</v>
      </c>
      <c r="M80" s="476">
        <v>6</v>
      </c>
      <c r="N80" s="477">
        <v>0</v>
      </c>
      <c r="O80" s="477">
        <v>0</v>
      </c>
      <c r="P80" s="479">
        <v>0</v>
      </c>
    </row>
    <row r="81" spans="2:16" x14ac:dyDescent="0.15">
      <c r="B81" s="57">
        <f>'Name List'!B81</f>
        <v>7</v>
      </c>
      <c r="C81" s="60">
        <f>'Scores and stats'!QW81</f>
        <v>0</v>
      </c>
      <c r="E81" s="316">
        <v>7</v>
      </c>
      <c r="F81" s="317">
        <v>0</v>
      </c>
      <c r="H81" s="57">
        <f>'Name List'!B81</f>
        <v>7</v>
      </c>
      <c r="I81" s="433">
        <f>'Scores and stats'!QY81</f>
        <v>0</v>
      </c>
      <c r="J81" s="61">
        <f>'Scores and stats'!QW81</f>
        <v>0</v>
      </c>
      <c r="K81" s="434">
        <f t="shared" si="1"/>
        <v>0</v>
      </c>
      <c r="M81" s="476">
        <v>7</v>
      </c>
      <c r="N81" s="477">
        <v>0</v>
      </c>
      <c r="O81" s="477">
        <v>0</v>
      </c>
      <c r="P81" s="479">
        <v>0</v>
      </c>
    </row>
    <row r="82" spans="2:16" x14ac:dyDescent="0.15">
      <c r="B82" s="57">
        <f>'Name List'!B82</f>
        <v>8</v>
      </c>
      <c r="C82" s="60">
        <f>'Scores and stats'!QW82</f>
        <v>0</v>
      </c>
      <c r="E82" s="316">
        <v>8</v>
      </c>
      <c r="F82" s="317">
        <v>0</v>
      </c>
      <c r="H82" s="57">
        <f>'Name List'!B82</f>
        <v>8</v>
      </c>
      <c r="I82" s="433">
        <f>'Scores and stats'!QY82</f>
        <v>0</v>
      </c>
      <c r="J82" s="61">
        <f>'Scores and stats'!QW82</f>
        <v>0</v>
      </c>
      <c r="K82" s="434">
        <f t="shared" si="1"/>
        <v>0</v>
      </c>
      <c r="M82" s="476">
        <v>8</v>
      </c>
      <c r="N82" s="477">
        <v>0</v>
      </c>
      <c r="O82" s="477">
        <v>0</v>
      </c>
      <c r="P82" s="479">
        <v>0</v>
      </c>
    </row>
    <row r="83" spans="2:16" x14ac:dyDescent="0.15">
      <c r="B83" s="57">
        <f>'Name List'!B83</f>
        <v>9</v>
      </c>
      <c r="C83" s="60">
        <f>'Scores and stats'!QW83</f>
        <v>0</v>
      </c>
      <c r="E83" s="316">
        <v>9</v>
      </c>
      <c r="F83" s="317">
        <v>0</v>
      </c>
      <c r="H83" s="57">
        <f>'Name List'!B83</f>
        <v>9</v>
      </c>
      <c r="I83" s="433">
        <f>'Scores and stats'!QY83</f>
        <v>0</v>
      </c>
      <c r="J83" s="61">
        <f>'Scores and stats'!QW83</f>
        <v>0</v>
      </c>
      <c r="K83" s="434">
        <f t="shared" si="1"/>
        <v>0</v>
      </c>
      <c r="M83" s="476">
        <v>9</v>
      </c>
      <c r="N83" s="477">
        <v>0</v>
      </c>
      <c r="O83" s="477">
        <v>0</v>
      </c>
      <c r="P83" s="479">
        <v>0</v>
      </c>
    </row>
    <row r="84" spans="2:16" x14ac:dyDescent="0.15">
      <c r="B84" s="57">
        <f>'Name List'!B84</f>
        <v>10</v>
      </c>
      <c r="C84" s="60">
        <f>'Scores and stats'!QW84</f>
        <v>0</v>
      </c>
      <c r="E84" s="316">
        <v>10</v>
      </c>
      <c r="F84" s="317">
        <v>0</v>
      </c>
      <c r="H84" s="57">
        <f>'Name List'!B84</f>
        <v>10</v>
      </c>
      <c r="I84" s="433">
        <f>'Scores and stats'!QY84</f>
        <v>0</v>
      </c>
      <c r="J84" s="61">
        <f>'Scores and stats'!QW84</f>
        <v>0</v>
      </c>
      <c r="K84" s="434">
        <f t="shared" si="1"/>
        <v>0</v>
      </c>
      <c r="M84" s="476">
        <v>10</v>
      </c>
      <c r="N84" s="477">
        <v>0</v>
      </c>
      <c r="O84" s="477">
        <v>0</v>
      </c>
      <c r="P84" s="479">
        <v>0</v>
      </c>
    </row>
    <row r="85" spans="2:16" x14ac:dyDescent="0.15">
      <c r="B85" s="57">
        <f>'Name List'!B85</f>
        <v>11</v>
      </c>
      <c r="C85" s="60">
        <f>'Scores and stats'!QW85</f>
        <v>0</v>
      </c>
      <c r="E85" s="316">
        <v>11</v>
      </c>
      <c r="F85" s="317">
        <v>0</v>
      </c>
      <c r="H85" s="57">
        <f>'Name List'!B85</f>
        <v>11</v>
      </c>
      <c r="I85" s="433">
        <f>'Scores and stats'!QY85</f>
        <v>0</v>
      </c>
      <c r="J85" s="61">
        <f>'Scores and stats'!QW85</f>
        <v>0</v>
      </c>
      <c r="K85" s="434">
        <f t="shared" si="1"/>
        <v>0</v>
      </c>
      <c r="M85" s="476">
        <v>11</v>
      </c>
      <c r="N85" s="477">
        <v>0</v>
      </c>
      <c r="O85" s="477">
        <v>0</v>
      </c>
      <c r="P85" s="479">
        <v>0</v>
      </c>
    </row>
    <row r="86" spans="2:16" x14ac:dyDescent="0.15">
      <c r="B86" s="57">
        <f>'Name List'!B86</f>
        <v>12</v>
      </c>
      <c r="C86" s="60">
        <f>'Scores and stats'!QW86</f>
        <v>0</v>
      </c>
      <c r="E86" s="316">
        <v>12</v>
      </c>
      <c r="F86" s="317">
        <v>0</v>
      </c>
      <c r="H86" s="57">
        <f>'Name List'!B86</f>
        <v>12</v>
      </c>
      <c r="I86" s="433">
        <f>'Scores and stats'!QY86</f>
        <v>0</v>
      </c>
      <c r="J86" s="61">
        <f>'Scores and stats'!QW86</f>
        <v>0</v>
      </c>
      <c r="K86" s="434">
        <f t="shared" si="1"/>
        <v>0</v>
      </c>
      <c r="M86" s="476">
        <v>12</v>
      </c>
      <c r="N86" s="477">
        <v>0</v>
      </c>
      <c r="O86" s="477">
        <v>0</v>
      </c>
      <c r="P86" s="479">
        <v>0</v>
      </c>
    </row>
    <row r="87" spans="2:16" x14ac:dyDescent="0.15">
      <c r="B87" s="57">
        <f>'Name List'!B87</f>
        <v>13</v>
      </c>
      <c r="C87" s="60">
        <f>'Scores and stats'!QW87</f>
        <v>0</v>
      </c>
      <c r="E87" s="316">
        <v>13</v>
      </c>
      <c r="F87" s="317">
        <v>0</v>
      </c>
      <c r="H87" s="57">
        <f>'Name List'!B87</f>
        <v>13</v>
      </c>
      <c r="I87" s="433">
        <f>'Scores and stats'!QY87</f>
        <v>0</v>
      </c>
      <c r="J87" s="61">
        <f>'Scores and stats'!QW87</f>
        <v>0</v>
      </c>
      <c r="K87" s="434">
        <f t="shared" si="1"/>
        <v>0</v>
      </c>
      <c r="M87" s="476">
        <v>13</v>
      </c>
      <c r="N87" s="477">
        <v>0</v>
      </c>
      <c r="O87" s="477">
        <v>0</v>
      </c>
      <c r="P87" s="479">
        <v>0</v>
      </c>
    </row>
    <row r="88" spans="2:16" x14ac:dyDescent="0.15">
      <c r="B88" s="57">
        <f>'Name List'!B88</f>
        <v>14</v>
      </c>
      <c r="C88" s="60">
        <f>'Scores and stats'!QW88</f>
        <v>0</v>
      </c>
      <c r="E88" s="316">
        <v>14</v>
      </c>
      <c r="F88" s="317">
        <v>0</v>
      </c>
      <c r="H88" s="57">
        <f>'Name List'!B88</f>
        <v>14</v>
      </c>
      <c r="I88" s="433">
        <f>'Scores and stats'!QY88</f>
        <v>0</v>
      </c>
      <c r="J88" s="61">
        <f>'Scores and stats'!QW88</f>
        <v>0</v>
      </c>
      <c r="K88" s="434">
        <f t="shared" si="1"/>
        <v>0</v>
      </c>
      <c r="M88" s="476">
        <v>14</v>
      </c>
      <c r="N88" s="477">
        <v>0</v>
      </c>
      <c r="O88" s="477">
        <v>0</v>
      </c>
      <c r="P88" s="479">
        <v>0</v>
      </c>
    </row>
    <row r="89" spans="2:16" x14ac:dyDescent="0.15">
      <c r="B89" s="57">
        <f>'Name List'!B89</f>
        <v>15</v>
      </c>
      <c r="C89" s="60">
        <f>'Scores and stats'!QW89</f>
        <v>0</v>
      </c>
      <c r="E89" s="316">
        <v>15</v>
      </c>
      <c r="F89" s="317">
        <v>0</v>
      </c>
      <c r="H89" s="57">
        <f>'Name List'!B89</f>
        <v>15</v>
      </c>
      <c r="I89" s="433">
        <f>'Scores and stats'!QY89</f>
        <v>0</v>
      </c>
      <c r="J89" s="61">
        <f>'Scores and stats'!QW89</f>
        <v>0</v>
      </c>
      <c r="K89" s="434">
        <f t="shared" si="1"/>
        <v>0</v>
      </c>
      <c r="M89" s="476">
        <v>15</v>
      </c>
      <c r="N89" s="477">
        <v>0</v>
      </c>
      <c r="O89" s="477">
        <v>0</v>
      </c>
      <c r="P89" s="479">
        <v>0</v>
      </c>
    </row>
    <row r="90" spans="2:16" x14ac:dyDescent="0.15">
      <c r="B90" s="57">
        <f>'Name List'!B90</f>
        <v>16</v>
      </c>
      <c r="C90" s="60">
        <f>'Scores and stats'!QW90</f>
        <v>0</v>
      </c>
      <c r="E90" s="316">
        <v>16</v>
      </c>
      <c r="F90" s="317">
        <v>0</v>
      </c>
      <c r="H90" s="57">
        <f>'Name List'!B90</f>
        <v>16</v>
      </c>
      <c r="I90" s="433">
        <f>'Scores and stats'!QY90</f>
        <v>0</v>
      </c>
      <c r="J90" s="61">
        <f>'Scores and stats'!QW90</f>
        <v>0</v>
      </c>
      <c r="K90" s="434">
        <f t="shared" si="1"/>
        <v>0</v>
      </c>
      <c r="M90" s="476">
        <v>16</v>
      </c>
      <c r="N90" s="477">
        <v>0</v>
      </c>
      <c r="O90" s="477">
        <v>0</v>
      </c>
      <c r="P90" s="479">
        <v>0</v>
      </c>
    </row>
    <row r="91" spans="2:16" x14ac:dyDescent="0.15">
      <c r="B91" s="57">
        <f>'Name List'!B91</f>
        <v>17</v>
      </c>
      <c r="C91" s="60">
        <f>'Scores and stats'!QW91</f>
        <v>0</v>
      </c>
      <c r="E91" s="316">
        <v>17</v>
      </c>
      <c r="F91" s="317">
        <v>0</v>
      </c>
      <c r="H91" s="57">
        <f>'Name List'!B91</f>
        <v>17</v>
      </c>
      <c r="I91" s="433">
        <f>'Scores and stats'!QY91</f>
        <v>0</v>
      </c>
      <c r="J91" s="61">
        <f>'Scores and stats'!QW91</f>
        <v>0</v>
      </c>
      <c r="K91" s="434">
        <f t="shared" si="1"/>
        <v>0</v>
      </c>
      <c r="M91" s="476">
        <v>17</v>
      </c>
      <c r="N91" s="477">
        <v>0</v>
      </c>
      <c r="O91" s="477">
        <v>0</v>
      </c>
      <c r="P91" s="479">
        <v>0</v>
      </c>
    </row>
    <row r="92" spans="2:16" x14ac:dyDescent="0.15">
      <c r="B92" s="57">
        <f>'Name List'!B92</f>
        <v>18</v>
      </c>
      <c r="C92" s="60">
        <f>'Scores and stats'!QW92</f>
        <v>0</v>
      </c>
      <c r="E92" s="316">
        <v>18</v>
      </c>
      <c r="F92" s="317">
        <v>0</v>
      </c>
      <c r="H92" s="57">
        <f>'Name List'!B92</f>
        <v>18</v>
      </c>
      <c r="I92" s="433">
        <f>'Scores and stats'!QY92</f>
        <v>0</v>
      </c>
      <c r="J92" s="61">
        <f>'Scores and stats'!QW92</f>
        <v>0</v>
      </c>
      <c r="K92" s="434">
        <f t="shared" si="1"/>
        <v>0</v>
      </c>
      <c r="M92" s="476">
        <v>18</v>
      </c>
      <c r="N92" s="477">
        <v>0</v>
      </c>
      <c r="O92" s="477">
        <v>0</v>
      </c>
      <c r="P92" s="479">
        <v>0</v>
      </c>
    </row>
    <row r="93" spans="2:16" x14ac:dyDescent="0.15">
      <c r="B93" s="57">
        <f>'Name List'!B93</f>
        <v>19</v>
      </c>
      <c r="C93" s="60">
        <f>'Scores and stats'!QW93</f>
        <v>0</v>
      </c>
      <c r="E93" s="316">
        <v>19</v>
      </c>
      <c r="F93" s="317">
        <v>0</v>
      </c>
      <c r="H93" s="57">
        <f>'Name List'!B93</f>
        <v>19</v>
      </c>
      <c r="I93" s="433">
        <f>'Scores and stats'!QY93</f>
        <v>0</v>
      </c>
      <c r="J93" s="61">
        <f>'Scores and stats'!QW93</f>
        <v>0</v>
      </c>
      <c r="K93" s="434">
        <f t="shared" si="1"/>
        <v>0</v>
      </c>
      <c r="M93" s="476">
        <v>19</v>
      </c>
      <c r="N93" s="477">
        <v>0</v>
      </c>
      <c r="O93" s="477">
        <v>0</v>
      </c>
      <c r="P93" s="479">
        <v>0</v>
      </c>
    </row>
    <row r="94" spans="2:16" x14ac:dyDescent="0.15">
      <c r="B94" s="57">
        <f>'Name List'!B94</f>
        <v>20</v>
      </c>
      <c r="C94" s="60">
        <f>'Scores and stats'!QW94</f>
        <v>0</v>
      </c>
      <c r="E94" s="316">
        <v>20</v>
      </c>
      <c r="F94" s="317">
        <v>0</v>
      </c>
      <c r="H94" s="57">
        <f>'Name List'!B94</f>
        <v>20</v>
      </c>
      <c r="I94" s="433">
        <f>'Scores and stats'!QY94</f>
        <v>0</v>
      </c>
      <c r="J94" s="61">
        <f>'Scores and stats'!QW94</f>
        <v>0</v>
      </c>
      <c r="K94" s="434">
        <f t="shared" si="1"/>
        <v>0</v>
      </c>
      <c r="M94" s="476">
        <v>20</v>
      </c>
      <c r="N94" s="477">
        <v>0</v>
      </c>
      <c r="O94" s="477">
        <v>0</v>
      </c>
      <c r="P94" s="479">
        <v>0</v>
      </c>
    </row>
    <row r="95" spans="2:16" x14ac:dyDescent="0.15">
      <c r="B95" s="57">
        <f>'Name List'!B95</f>
        <v>21</v>
      </c>
      <c r="C95" s="60">
        <f>'Scores and stats'!QW95</f>
        <v>0</v>
      </c>
      <c r="E95" s="316">
        <v>21</v>
      </c>
      <c r="F95" s="317">
        <v>0</v>
      </c>
      <c r="H95" s="57">
        <f>'Name List'!B95</f>
        <v>21</v>
      </c>
      <c r="I95" s="433">
        <f>'Scores and stats'!QY95</f>
        <v>0</v>
      </c>
      <c r="J95" s="61">
        <f>'Scores and stats'!QW95</f>
        <v>0</v>
      </c>
      <c r="K95" s="434">
        <f t="shared" si="1"/>
        <v>0</v>
      </c>
      <c r="M95" s="476">
        <v>21</v>
      </c>
      <c r="N95" s="477">
        <v>0</v>
      </c>
      <c r="O95" s="477">
        <v>0</v>
      </c>
      <c r="P95" s="479">
        <v>0</v>
      </c>
    </row>
    <row r="96" spans="2:16" x14ac:dyDescent="0.15">
      <c r="B96" s="57">
        <f>'Name List'!B96</f>
        <v>22</v>
      </c>
      <c r="C96" s="60">
        <f>'Scores and stats'!QW96</f>
        <v>0</v>
      </c>
      <c r="E96" s="316">
        <v>22</v>
      </c>
      <c r="F96" s="317">
        <v>0</v>
      </c>
      <c r="H96" s="57">
        <f>'Name List'!B96</f>
        <v>22</v>
      </c>
      <c r="I96" s="433">
        <f>'Scores and stats'!QY96</f>
        <v>0</v>
      </c>
      <c r="J96" s="61">
        <f>'Scores and stats'!QW96</f>
        <v>0</v>
      </c>
      <c r="K96" s="434">
        <f t="shared" si="1"/>
        <v>0</v>
      </c>
      <c r="M96" s="476">
        <v>22</v>
      </c>
      <c r="N96" s="477">
        <v>0</v>
      </c>
      <c r="O96" s="477">
        <v>0</v>
      </c>
      <c r="P96" s="479">
        <v>0</v>
      </c>
    </row>
    <row r="97" spans="2:16" x14ac:dyDescent="0.15">
      <c r="B97" s="57">
        <f>'Name List'!B97</f>
        <v>23</v>
      </c>
      <c r="C97" s="60">
        <f>'Scores and stats'!QW97</f>
        <v>0</v>
      </c>
      <c r="E97" s="316">
        <v>23</v>
      </c>
      <c r="F97" s="317">
        <v>0</v>
      </c>
      <c r="H97" s="57">
        <f>'Name List'!B97</f>
        <v>23</v>
      </c>
      <c r="I97" s="433">
        <f>'Scores and stats'!QY97</f>
        <v>0</v>
      </c>
      <c r="J97" s="61">
        <f>'Scores and stats'!QW97</f>
        <v>0</v>
      </c>
      <c r="K97" s="434">
        <f t="shared" si="1"/>
        <v>0</v>
      </c>
      <c r="M97" s="476">
        <v>23</v>
      </c>
      <c r="N97" s="477">
        <v>0</v>
      </c>
      <c r="O97" s="477">
        <v>0</v>
      </c>
      <c r="P97" s="479">
        <v>0</v>
      </c>
    </row>
    <row r="98" spans="2:16" x14ac:dyDescent="0.15">
      <c r="B98" s="57">
        <f>'Name List'!B98</f>
        <v>24</v>
      </c>
      <c r="C98" s="60">
        <f>'Scores and stats'!QW98</f>
        <v>0</v>
      </c>
      <c r="E98" s="316">
        <v>24</v>
      </c>
      <c r="F98" s="317">
        <v>0</v>
      </c>
      <c r="H98" s="57">
        <f>'Name List'!B98</f>
        <v>24</v>
      </c>
      <c r="I98" s="433">
        <f>'Scores and stats'!QY98</f>
        <v>0</v>
      </c>
      <c r="J98" s="61">
        <f>'Scores and stats'!QW98</f>
        <v>0</v>
      </c>
      <c r="K98" s="434">
        <f t="shared" si="1"/>
        <v>0</v>
      </c>
      <c r="M98" s="476">
        <v>24</v>
      </c>
      <c r="N98" s="477">
        <v>0</v>
      </c>
      <c r="O98" s="477">
        <v>0</v>
      </c>
      <c r="P98" s="479">
        <v>0</v>
      </c>
    </row>
    <row r="99" spans="2:16" x14ac:dyDescent="0.15">
      <c r="B99" s="57">
        <f>'Name List'!B99</f>
        <v>25</v>
      </c>
      <c r="C99" s="60">
        <f>'Scores and stats'!QW99</f>
        <v>0</v>
      </c>
      <c r="E99" s="316">
        <v>25</v>
      </c>
      <c r="F99" s="317">
        <v>0</v>
      </c>
      <c r="H99" s="57">
        <f>'Name List'!B99</f>
        <v>25</v>
      </c>
      <c r="I99" s="433">
        <f>'Scores and stats'!QY99</f>
        <v>0</v>
      </c>
      <c r="J99" s="61">
        <f>'Scores and stats'!QW99</f>
        <v>0</v>
      </c>
      <c r="K99" s="434">
        <f t="shared" si="1"/>
        <v>0</v>
      </c>
      <c r="M99" s="476">
        <v>25</v>
      </c>
      <c r="N99" s="477">
        <v>0</v>
      </c>
      <c r="O99" s="477">
        <v>0</v>
      </c>
      <c r="P99" s="479">
        <v>0</v>
      </c>
    </row>
    <row r="100" spans="2:16" x14ac:dyDescent="0.15">
      <c r="B100" s="57">
        <f>'Name List'!B100</f>
        <v>26</v>
      </c>
      <c r="C100" s="60">
        <f>'Scores and stats'!QW100</f>
        <v>0</v>
      </c>
      <c r="E100" s="316">
        <v>26</v>
      </c>
      <c r="F100" s="317">
        <v>0</v>
      </c>
      <c r="H100" s="57">
        <f>'Name List'!B100</f>
        <v>26</v>
      </c>
      <c r="I100" s="433">
        <f>'Scores and stats'!QY100</f>
        <v>0</v>
      </c>
      <c r="J100" s="61">
        <f>'Scores and stats'!QW100</f>
        <v>0</v>
      </c>
      <c r="K100" s="434">
        <f t="shared" si="1"/>
        <v>0</v>
      </c>
      <c r="M100" s="476">
        <v>26</v>
      </c>
      <c r="N100" s="477">
        <v>0</v>
      </c>
      <c r="O100" s="477">
        <v>0</v>
      </c>
      <c r="P100" s="479">
        <v>0</v>
      </c>
    </row>
    <row r="101" spans="2:16" x14ac:dyDescent="0.15">
      <c r="B101" s="57">
        <f>'Name List'!B101</f>
        <v>27</v>
      </c>
      <c r="C101" s="60">
        <f>'Scores and stats'!QW101</f>
        <v>0</v>
      </c>
      <c r="E101" s="316">
        <v>27</v>
      </c>
      <c r="F101" s="317">
        <v>0</v>
      </c>
      <c r="H101" s="57">
        <f>'Name List'!B101</f>
        <v>27</v>
      </c>
      <c r="I101" s="433">
        <f>'Scores and stats'!QY101</f>
        <v>0</v>
      </c>
      <c r="J101" s="61">
        <f>'Scores and stats'!QW101</f>
        <v>0</v>
      </c>
      <c r="K101" s="434">
        <f t="shared" si="1"/>
        <v>0</v>
      </c>
      <c r="M101" s="476">
        <v>27</v>
      </c>
      <c r="N101" s="477">
        <v>0</v>
      </c>
      <c r="O101" s="477">
        <v>0</v>
      </c>
      <c r="P101" s="479">
        <v>0</v>
      </c>
    </row>
    <row r="102" spans="2:16" x14ac:dyDescent="0.15">
      <c r="B102" s="57">
        <f>'Name List'!B102</f>
        <v>28</v>
      </c>
      <c r="C102" s="60">
        <f>'Scores and stats'!QW102</f>
        <v>0</v>
      </c>
      <c r="E102" s="316">
        <v>28</v>
      </c>
      <c r="F102" s="317">
        <v>0</v>
      </c>
      <c r="H102" s="57">
        <f>'Name List'!B102</f>
        <v>28</v>
      </c>
      <c r="I102" s="433">
        <f>'Scores and stats'!QY102</f>
        <v>0</v>
      </c>
      <c r="J102" s="61">
        <f>'Scores and stats'!QW102</f>
        <v>0</v>
      </c>
      <c r="K102" s="434">
        <f t="shared" si="1"/>
        <v>0</v>
      </c>
      <c r="M102" s="476">
        <v>28</v>
      </c>
      <c r="N102" s="477">
        <v>0</v>
      </c>
      <c r="O102" s="477">
        <v>0</v>
      </c>
      <c r="P102" s="479">
        <v>0</v>
      </c>
    </row>
    <row r="103" spans="2:16" x14ac:dyDescent="0.15">
      <c r="B103" s="57">
        <f>'Name List'!B103</f>
        <v>29</v>
      </c>
      <c r="C103" s="60">
        <f>'Scores and stats'!QW103</f>
        <v>0</v>
      </c>
      <c r="E103" s="316">
        <v>29</v>
      </c>
      <c r="F103" s="317">
        <v>0</v>
      </c>
      <c r="H103" s="57">
        <f>'Name List'!B103</f>
        <v>29</v>
      </c>
      <c r="I103" s="433">
        <f>'Scores and stats'!QY103</f>
        <v>0</v>
      </c>
      <c r="J103" s="61">
        <f>'Scores and stats'!QW103</f>
        <v>0</v>
      </c>
      <c r="K103" s="434">
        <f t="shared" si="1"/>
        <v>0</v>
      </c>
      <c r="M103" s="476">
        <v>29</v>
      </c>
      <c r="N103" s="477">
        <v>0</v>
      </c>
      <c r="O103" s="477">
        <v>0</v>
      </c>
      <c r="P103" s="479">
        <v>0</v>
      </c>
    </row>
    <row r="104" spans="2:16" x14ac:dyDescent="0.15">
      <c r="B104" s="57">
        <f>'Name List'!B104</f>
        <v>30</v>
      </c>
      <c r="C104" s="60">
        <f>'Scores and stats'!QW104</f>
        <v>0</v>
      </c>
      <c r="E104" s="318">
        <v>30</v>
      </c>
      <c r="F104" s="319">
        <v>0</v>
      </c>
      <c r="H104" s="57">
        <f>'Name List'!B104</f>
        <v>30</v>
      </c>
      <c r="I104" s="433">
        <f>'Scores and stats'!QY104</f>
        <v>0</v>
      </c>
      <c r="J104" s="61">
        <f>'Scores and stats'!QW104</f>
        <v>0</v>
      </c>
      <c r="K104" s="434">
        <f t="shared" si="1"/>
        <v>0</v>
      </c>
      <c r="M104" s="476">
        <v>30</v>
      </c>
      <c r="N104" s="477">
        <v>0</v>
      </c>
      <c r="O104" s="477">
        <v>0</v>
      </c>
      <c r="P104" s="479">
        <v>0</v>
      </c>
    </row>
    <row r="105" spans="2:16" ht="12" thickBot="1" x14ac:dyDescent="0.2">
      <c r="B105" s="57">
        <f>'Name List'!B105</f>
        <v>31</v>
      </c>
      <c r="C105" s="60">
        <f>'Scores and stats'!QW105</f>
        <v>0</v>
      </c>
      <c r="E105" s="320">
        <v>31</v>
      </c>
      <c r="F105" s="320">
        <v>0</v>
      </c>
      <c r="H105" s="57">
        <f>'Name List'!B105</f>
        <v>31</v>
      </c>
      <c r="I105" s="433">
        <f>'Scores and stats'!QY105</f>
        <v>0</v>
      </c>
      <c r="J105" s="61">
        <f>'Scores and stats'!QW105</f>
        <v>0</v>
      </c>
      <c r="K105" s="434">
        <f t="shared" si="1"/>
        <v>0</v>
      </c>
      <c r="M105" s="480">
        <v>31</v>
      </c>
      <c r="N105" s="481">
        <v>0</v>
      </c>
      <c r="O105" s="481">
        <v>0</v>
      </c>
      <c r="P105" s="482">
        <v>0</v>
      </c>
    </row>
  </sheetData>
  <mergeCells count="2">
    <mergeCell ref="E3:F3"/>
    <mergeCell ref="M3:P3"/>
  </mergeCells>
  <pageMargins left="0.7" right="0.7" top="0.75" bottom="0.75" header="0.3" footer="0.3"/>
  <pageSetup paperSize="9" orientation="portrait" r:id="rId1"/>
  <headerFooter>
    <oddFooter>&amp;C&amp;1#&amp;"Calibri"&amp;10&amp;K000000PUBLIC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65CC0-1843-49A2-A9CE-FB384EEEDB5A}">
  <dimension ref="B2:F105"/>
  <sheetViews>
    <sheetView view="pageLayout" topLeftCell="A62" workbookViewId="0">
      <selection activeCell="C90" sqref="C90"/>
    </sheetView>
  </sheetViews>
  <sheetFormatPr defaultColWidth="9.33203125" defaultRowHeight="11.25" x14ac:dyDescent="0.2"/>
  <cols>
    <col min="2" max="2" width="23.1640625" customWidth="1"/>
    <col min="3" max="3" width="17.6640625" customWidth="1"/>
    <col min="4" max="4" width="3.5" customWidth="1"/>
    <col min="5" max="5" width="25" customWidth="1"/>
  </cols>
  <sheetData>
    <row r="2" spans="2:6" ht="12" x14ac:dyDescent="0.2">
      <c r="B2" s="57"/>
      <c r="C2" s="58"/>
      <c r="D2" s="57"/>
      <c r="E2" s="59"/>
      <c r="F2" s="59"/>
    </row>
    <row r="3" spans="2:6" ht="12" x14ac:dyDescent="0.2">
      <c r="B3" s="57"/>
      <c r="C3" s="58" t="s">
        <v>147</v>
      </c>
      <c r="D3" s="58"/>
      <c r="E3" s="731" t="str">
        <f>C3</f>
        <v>Best Front 9</v>
      </c>
      <c r="F3" s="732"/>
    </row>
    <row r="4" spans="2:6" ht="12" x14ac:dyDescent="0.2">
      <c r="B4" s="57"/>
      <c r="C4" s="58"/>
      <c r="D4" s="57"/>
      <c r="E4" s="180"/>
      <c r="F4" s="181"/>
    </row>
    <row r="5" spans="2:6" ht="12" x14ac:dyDescent="0.2">
      <c r="B5" s="57"/>
      <c r="C5" s="58"/>
      <c r="D5" s="57"/>
      <c r="E5" s="180"/>
      <c r="F5" s="181"/>
    </row>
    <row r="6" spans="2:6" ht="12" x14ac:dyDescent="0.2">
      <c r="B6" s="57" t="str">
        <f>'Name List'!B6</f>
        <v>Stuart Anderson</v>
      </c>
      <c r="C6" s="60">
        <f>'Scores and stats'!RA6</f>
        <v>0</v>
      </c>
      <c r="D6" s="61"/>
      <c r="E6" s="180" t="str" cm="1">
        <f t="array" ref="E6:F105">_xlfn._xlws.SORT(B6:C105,2,-1)</f>
        <v>Paul Clarke</v>
      </c>
      <c r="F6" s="181">
        <v>21</v>
      </c>
    </row>
    <row r="7" spans="2:6" ht="12" x14ac:dyDescent="0.2">
      <c r="B7" s="57" t="str">
        <f>'Name List'!B7</f>
        <v>Max Ball</v>
      </c>
      <c r="C7" s="60">
        <f>'Scores and stats'!RA7</f>
        <v>20</v>
      </c>
      <c r="D7" s="57"/>
      <c r="E7" s="180" t="str">
        <v>Paul Fitzgerald</v>
      </c>
      <c r="F7" s="181">
        <v>21</v>
      </c>
    </row>
    <row r="8" spans="2:6" ht="12" x14ac:dyDescent="0.2">
      <c r="B8" s="57" t="str">
        <f>'Name List'!B8</f>
        <v>Harley Bishop</v>
      </c>
      <c r="C8" s="60">
        <f>'Scores and stats'!RA8</f>
        <v>18</v>
      </c>
      <c r="D8" s="57"/>
      <c r="E8" s="180" t="str">
        <v>Ben Fleet</v>
      </c>
      <c r="F8" s="181">
        <v>21</v>
      </c>
    </row>
    <row r="9" spans="2:6" ht="12" x14ac:dyDescent="0.2">
      <c r="B9" s="57" t="str">
        <f>'Name List'!B9</f>
        <v>Chris Burroughs</v>
      </c>
      <c r="C9" s="60">
        <f>'Scores and stats'!RA9</f>
        <v>16</v>
      </c>
      <c r="D9" s="57"/>
      <c r="E9" s="180" t="str">
        <v>Eoghan Hilton</v>
      </c>
      <c r="F9" s="181">
        <v>21</v>
      </c>
    </row>
    <row r="10" spans="2:6" ht="12" x14ac:dyDescent="0.2">
      <c r="B10" s="57" t="str">
        <f>'Name List'!B10</f>
        <v>George Burton</v>
      </c>
      <c r="C10" s="60">
        <f>'Scores and stats'!RA10</f>
        <v>13</v>
      </c>
      <c r="D10" s="57"/>
      <c r="E10" s="180" t="str">
        <v>Justin Hunt</v>
      </c>
      <c r="F10" s="181">
        <v>21</v>
      </c>
    </row>
    <row r="11" spans="2:6" ht="12" x14ac:dyDescent="0.2">
      <c r="B11" s="57" t="str">
        <f>'Name List'!B11</f>
        <v>Tom Burton</v>
      </c>
      <c r="C11" s="60">
        <f>'Scores and stats'!RA11</f>
        <v>17</v>
      </c>
      <c r="D11" s="57"/>
      <c r="E11" s="180" t="str">
        <v>Andy Johnson</v>
      </c>
      <c r="F11" s="181">
        <v>21</v>
      </c>
    </row>
    <row r="12" spans="2:6" ht="12" x14ac:dyDescent="0.2">
      <c r="B12" s="57" t="str">
        <f>'Name List'!B12</f>
        <v>Mike Chubb</v>
      </c>
      <c r="C12" s="60">
        <f>'Scores and stats'!RA12</f>
        <v>17</v>
      </c>
      <c r="D12" s="57"/>
      <c r="E12" s="180" t="str">
        <v>Max Ball</v>
      </c>
      <c r="F12" s="181">
        <v>20</v>
      </c>
    </row>
    <row r="13" spans="2:6" ht="12" x14ac:dyDescent="0.2">
      <c r="B13" s="57" t="str">
        <f>'Name List'!B13</f>
        <v>George Clarke</v>
      </c>
      <c r="C13" s="60">
        <f>'Scores and stats'!RA13</f>
        <v>17</v>
      </c>
      <c r="D13" s="57"/>
      <c r="E13" s="180" t="str">
        <v>Martin Coomber</v>
      </c>
      <c r="F13" s="181">
        <v>20</v>
      </c>
    </row>
    <row r="14" spans="2:6" ht="12" x14ac:dyDescent="0.2">
      <c r="B14" s="57" t="str">
        <f>'Name List'!B14</f>
        <v>Paul Clarke</v>
      </c>
      <c r="C14" s="60">
        <f>'Scores and stats'!RA14</f>
        <v>21</v>
      </c>
      <c r="D14" s="57"/>
      <c r="E14" s="180" t="str">
        <v>Nick Garner</v>
      </c>
      <c r="F14" s="181">
        <v>20</v>
      </c>
    </row>
    <row r="15" spans="2:6" ht="12" x14ac:dyDescent="0.2">
      <c r="B15" s="57" t="str">
        <f>'Name List'!B15</f>
        <v>Martin Coomber</v>
      </c>
      <c r="C15" s="60">
        <f>'Scores and stats'!RA15</f>
        <v>20</v>
      </c>
      <c r="D15" s="57"/>
      <c r="E15" s="180" t="str">
        <v>Anthony Harris</v>
      </c>
      <c r="F15" s="181">
        <v>20</v>
      </c>
    </row>
    <row r="16" spans="2:6" ht="12" x14ac:dyDescent="0.2">
      <c r="B16" s="57" t="str">
        <f>'Name List'!B16</f>
        <v>Dominic Coughlin</v>
      </c>
      <c r="C16" s="60">
        <f>'Scores and stats'!RA16</f>
        <v>3</v>
      </c>
      <c r="D16" s="57"/>
      <c r="E16" s="180" t="str">
        <v>Chris Smith</v>
      </c>
      <c r="F16" s="181">
        <v>20</v>
      </c>
    </row>
    <row r="17" spans="2:6" ht="12" x14ac:dyDescent="0.2">
      <c r="B17" s="57" t="str">
        <f>'Name List'!B17</f>
        <v>Gareth Davies</v>
      </c>
      <c r="C17" s="60">
        <f>'Scores and stats'!RA17</f>
        <v>18</v>
      </c>
      <c r="D17" s="57"/>
      <c r="E17" s="180" t="str">
        <v>Kevin Tribley</v>
      </c>
      <c r="F17" s="181">
        <v>20</v>
      </c>
    </row>
    <row r="18" spans="2:6" ht="12" x14ac:dyDescent="0.2">
      <c r="B18" s="57" t="str">
        <f>'Name List'!B18</f>
        <v>Peter Donovan</v>
      </c>
      <c r="C18" s="60">
        <f>'Scores and stats'!RA18</f>
        <v>0</v>
      </c>
      <c r="D18" s="57"/>
      <c r="E18" s="180" t="str">
        <v>Peter Vallely</v>
      </c>
      <c r="F18" s="181">
        <v>20</v>
      </c>
    </row>
    <row r="19" spans="2:6" ht="12" x14ac:dyDescent="0.2">
      <c r="B19" s="57" t="str">
        <f>'Name List'!B19</f>
        <v>James Dunn</v>
      </c>
      <c r="C19" s="60">
        <f>'Scores and stats'!RA19</f>
        <v>19</v>
      </c>
      <c r="D19" s="57"/>
      <c r="E19" s="180" t="str">
        <v>Brad Whitehead</v>
      </c>
      <c r="F19" s="181">
        <v>20</v>
      </c>
    </row>
    <row r="20" spans="2:6" ht="12" x14ac:dyDescent="0.2">
      <c r="B20" s="57" t="str">
        <f>'Name List'!B20</f>
        <v>Gordon Fielding</v>
      </c>
      <c r="C20" s="60">
        <f>'Scores and stats'!RA20</f>
        <v>0</v>
      </c>
      <c r="D20" s="57"/>
      <c r="E20" s="180" t="str">
        <v>Joe Hooper</v>
      </c>
      <c r="F20" s="181">
        <v>20</v>
      </c>
    </row>
    <row r="21" spans="2:6" ht="12" x14ac:dyDescent="0.2">
      <c r="B21" s="57" t="str">
        <f>'Name List'!B21</f>
        <v>Paul Fitzgerald</v>
      </c>
      <c r="C21" s="60">
        <f>'Scores and stats'!RA21</f>
        <v>21</v>
      </c>
      <c r="D21" s="57"/>
      <c r="E21" s="180" t="str">
        <v>Sam Cochrane</v>
      </c>
      <c r="F21" s="181">
        <v>20</v>
      </c>
    </row>
    <row r="22" spans="2:6" ht="12" x14ac:dyDescent="0.2">
      <c r="B22" s="57" t="str">
        <f>'Name List'!B22</f>
        <v>Ben Fleet</v>
      </c>
      <c r="C22" s="60">
        <f>'Scores and stats'!RA22</f>
        <v>21</v>
      </c>
      <c r="D22" s="61"/>
      <c r="E22" s="180" t="str">
        <v>James Dunn</v>
      </c>
      <c r="F22" s="181">
        <v>19</v>
      </c>
    </row>
    <row r="23" spans="2:6" ht="12" x14ac:dyDescent="0.2">
      <c r="B23" s="57" t="str">
        <f>'Name List'!B23</f>
        <v>Mike Forrest</v>
      </c>
      <c r="C23" s="60">
        <f>'Scores and stats'!RA23</f>
        <v>18</v>
      </c>
      <c r="D23" s="57"/>
      <c r="E23" s="180" t="str">
        <v>Tony Forsyth-James</v>
      </c>
      <c r="F23" s="181">
        <v>19</v>
      </c>
    </row>
    <row r="24" spans="2:6" ht="12" x14ac:dyDescent="0.2">
      <c r="B24" s="57" t="str">
        <f>'Name List'!B24</f>
        <v>Tony Forsyth-James</v>
      </c>
      <c r="C24" s="60">
        <f>'Scores and stats'!RA24</f>
        <v>19</v>
      </c>
      <c r="D24" s="57"/>
      <c r="E24" s="180" t="str">
        <v>Archie Fraser</v>
      </c>
      <c r="F24" s="181">
        <v>19</v>
      </c>
    </row>
    <row r="25" spans="2:6" ht="12" x14ac:dyDescent="0.2">
      <c r="B25" s="57" t="str">
        <f>'Name List'!B25</f>
        <v>Archie Fraser</v>
      </c>
      <c r="C25" s="60">
        <f>'Scores and stats'!RA25</f>
        <v>19</v>
      </c>
      <c r="D25" s="57"/>
      <c r="E25" s="180" t="str">
        <v>Jordan Hall</v>
      </c>
      <c r="F25" s="181">
        <v>19</v>
      </c>
    </row>
    <row r="26" spans="2:6" ht="12" x14ac:dyDescent="0.2">
      <c r="B26" s="57" t="str">
        <f>'Name List'!B26</f>
        <v>Ross Fraser</v>
      </c>
      <c r="C26" s="60">
        <f>'Scores and stats'!RA26</f>
        <v>17</v>
      </c>
      <c r="D26" s="57"/>
      <c r="E26" s="180" t="str">
        <v>Russell Turner</v>
      </c>
      <c r="F26" s="181">
        <v>19</v>
      </c>
    </row>
    <row r="27" spans="2:6" ht="12" x14ac:dyDescent="0.2">
      <c r="B27" s="57" t="str">
        <f>'Name List'!B27</f>
        <v>Nick Garner</v>
      </c>
      <c r="C27" s="60">
        <f>'Scores and stats'!RA27</f>
        <v>20</v>
      </c>
      <c r="D27" s="61"/>
      <c r="E27" s="180" t="str">
        <v>Ryan Vaughan</v>
      </c>
      <c r="F27" s="181">
        <v>19</v>
      </c>
    </row>
    <row r="28" spans="2:6" ht="12" x14ac:dyDescent="0.2">
      <c r="B28" s="57" t="str">
        <f>'Name List'!B28</f>
        <v>Stuart Gay</v>
      </c>
      <c r="C28" s="60">
        <f>'Scores and stats'!RA28</f>
        <v>0</v>
      </c>
      <c r="D28" s="57"/>
      <c r="E28" s="180" t="str">
        <v>Jonathan Kanareck</v>
      </c>
      <c r="F28" s="181">
        <v>19</v>
      </c>
    </row>
    <row r="29" spans="2:6" ht="12" x14ac:dyDescent="0.2">
      <c r="B29" s="57" t="str">
        <f>'Name List'!B29</f>
        <v>Jordan Hall</v>
      </c>
      <c r="C29" s="60">
        <f>'Scores and stats'!RA29</f>
        <v>19</v>
      </c>
      <c r="D29" s="61"/>
      <c r="E29" s="180" t="str">
        <v>Harley Bishop</v>
      </c>
      <c r="F29" s="181">
        <v>18</v>
      </c>
    </row>
    <row r="30" spans="2:6" ht="12" x14ac:dyDescent="0.2">
      <c r="B30" s="57" t="str">
        <f>'Name List'!B30</f>
        <v>Gary Hall</v>
      </c>
      <c r="C30" s="60">
        <f>'Scores and stats'!RA30</f>
        <v>9</v>
      </c>
      <c r="D30" s="57"/>
      <c r="E30" s="180" t="str">
        <v>Gareth Davies</v>
      </c>
      <c r="F30" s="181">
        <v>18</v>
      </c>
    </row>
    <row r="31" spans="2:6" ht="12" x14ac:dyDescent="0.2">
      <c r="B31" s="57" t="str">
        <f>'Name List'!B31</f>
        <v>Anthony Harris</v>
      </c>
      <c r="C31" s="60">
        <f>'Scores and stats'!RA31</f>
        <v>20</v>
      </c>
      <c r="D31" s="57"/>
      <c r="E31" s="180" t="str">
        <v>Mike Forrest</v>
      </c>
      <c r="F31" s="181">
        <v>18</v>
      </c>
    </row>
    <row r="32" spans="2:6" ht="12" x14ac:dyDescent="0.2">
      <c r="B32" s="57" t="str">
        <f>'Name List'!B32</f>
        <v>Neil Hart</v>
      </c>
      <c r="C32" s="60">
        <f>'Scores and stats'!RA32</f>
        <v>17</v>
      </c>
      <c r="D32" s="57"/>
      <c r="E32" s="180" t="str">
        <v>Edward Money</v>
      </c>
      <c r="F32" s="181">
        <v>18</v>
      </c>
    </row>
    <row r="33" spans="2:6" ht="12" x14ac:dyDescent="0.2">
      <c r="B33" s="57" t="str">
        <f>'Name List'!B33</f>
        <v>Tony Hearson</v>
      </c>
      <c r="C33" s="60">
        <f>'Scores and stats'!RA33</f>
        <v>0</v>
      </c>
      <c r="D33" s="57"/>
      <c r="E33" s="180" t="str">
        <v>Dave Randall</v>
      </c>
      <c r="F33" s="181">
        <v>18</v>
      </c>
    </row>
    <row r="34" spans="2:6" ht="12" x14ac:dyDescent="0.2">
      <c r="B34" s="57" t="str">
        <f>'Name List'!B34</f>
        <v>David Hilton</v>
      </c>
      <c r="C34" s="60">
        <f>'Scores and stats'!RA34</f>
        <v>14</v>
      </c>
      <c r="D34" s="57"/>
      <c r="E34" s="180" t="str">
        <v>Finn Wheeler</v>
      </c>
      <c r="F34" s="181">
        <v>18</v>
      </c>
    </row>
    <row r="35" spans="2:6" ht="12" x14ac:dyDescent="0.2">
      <c r="B35" s="57" t="str">
        <f>'Name List'!B35</f>
        <v>Eoghan Hilton</v>
      </c>
      <c r="C35" s="60">
        <f>'Scores and stats'!RA35</f>
        <v>21</v>
      </c>
      <c r="D35" s="57"/>
      <c r="E35" s="180" t="str">
        <v>Dave Woodget</v>
      </c>
      <c r="F35" s="181">
        <v>18</v>
      </c>
    </row>
    <row r="36" spans="2:6" ht="12" x14ac:dyDescent="0.2">
      <c r="B36" s="57" t="str">
        <f>'Name List'!B36</f>
        <v>Martin Holder</v>
      </c>
      <c r="C36" s="60">
        <f>'Scores and stats'!RA36</f>
        <v>0</v>
      </c>
      <c r="D36" s="57"/>
      <c r="E36" s="180" t="str">
        <v>Tom Burton</v>
      </c>
      <c r="F36" s="181">
        <v>17</v>
      </c>
    </row>
    <row r="37" spans="2:6" ht="12" x14ac:dyDescent="0.2">
      <c r="B37" s="57" t="str">
        <f>'Name List'!B37</f>
        <v>Justin Hunt</v>
      </c>
      <c r="C37" s="60">
        <f>'Scores and stats'!RA37</f>
        <v>21</v>
      </c>
      <c r="D37" s="57"/>
      <c r="E37" s="180" t="str">
        <v>Mike Chubb</v>
      </c>
      <c r="F37" s="181">
        <v>17</v>
      </c>
    </row>
    <row r="38" spans="2:6" ht="12" x14ac:dyDescent="0.2">
      <c r="B38" s="57" t="str">
        <f>'Name List'!B38</f>
        <v>Mark Hutchinson</v>
      </c>
      <c r="C38" s="60">
        <f>'Scores and stats'!RA38</f>
        <v>0</v>
      </c>
      <c r="D38" s="57"/>
      <c r="E38" s="180" t="str">
        <v>George Clarke</v>
      </c>
      <c r="F38" s="181">
        <v>17</v>
      </c>
    </row>
    <row r="39" spans="2:6" ht="12" x14ac:dyDescent="0.2">
      <c r="B39" s="57" t="str">
        <f>'Name List'!B39</f>
        <v>Andy Johnson</v>
      </c>
      <c r="C39" s="60">
        <f>'Scores and stats'!RA39</f>
        <v>21</v>
      </c>
      <c r="D39" s="57"/>
      <c r="E39" s="180" t="str">
        <v>Ross Fraser</v>
      </c>
      <c r="F39" s="181">
        <v>17</v>
      </c>
    </row>
    <row r="40" spans="2:6" ht="12" x14ac:dyDescent="0.2">
      <c r="B40" s="57" t="str">
        <f>'Name List'!B40</f>
        <v>Oli Lloyd</v>
      </c>
      <c r="C40" s="60">
        <f>'Scores and stats'!RA40</f>
        <v>14</v>
      </c>
      <c r="D40" s="57"/>
      <c r="E40" s="180" t="str">
        <v>Neil Hart</v>
      </c>
      <c r="F40" s="181">
        <v>17</v>
      </c>
    </row>
    <row r="41" spans="2:6" ht="12" x14ac:dyDescent="0.2">
      <c r="B41" s="57" t="str">
        <f>'Name List'!B41</f>
        <v>Andy Lucey</v>
      </c>
      <c r="C41" s="60">
        <f>'Scores and stats'!RA41</f>
        <v>0</v>
      </c>
      <c r="D41" s="57"/>
      <c r="E41" s="180" t="str">
        <v>Dickie Moxham</v>
      </c>
      <c r="F41" s="181">
        <v>17</v>
      </c>
    </row>
    <row r="42" spans="2:6" ht="12" x14ac:dyDescent="0.2">
      <c r="B42" s="57" t="str">
        <f>'Name List'!B42</f>
        <v>Paul Martin</v>
      </c>
      <c r="C42" s="60">
        <f>'Scores and stats'!RA42</f>
        <v>16</v>
      </c>
      <c r="D42" s="61"/>
      <c r="E42" s="180" t="str">
        <v>Jason Wale</v>
      </c>
      <c r="F42" s="181">
        <v>17</v>
      </c>
    </row>
    <row r="43" spans="2:6" ht="12" x14ac:dyDescent="0.2">
      <c r="B43" s="57" t="str">
        <f>'Name List'!B43</f>
        <v>Edward Money</v>
      </c>
      <c r="C43" s="60">
        <f>'Scores and stats'!RA43</f>
        <v>18</v>
      </c>
      <c r="D43" s="61"/>
      <c r="E43" s="180" t="str">
        <v>Danny Jones</v>
      </c>
      <c r="F43" s="181">
        <v>17</v>
      </c>
    </row>
    <row r="44" spans="2:6" ht="12" x14ac:dyDescent="0.2">
      <c r="B44" s="57" t="str">
        <f>'Name List'!B44</f>
        <v>Dickie Moxham</v>
      </c>
      <c r="C44" s="60">
        <f>'Scores and stats'!RA44</f>
        <v>17</v>
      </c>
      <c r="D44" s="57"/>
      <c r="E44" s="180" t="str">
        <v>Chris Burroughs</v>
      </c>
      <c r="F44" s="181">
        <v>16</v>
      </c>
    </row>
    <row r="45" spans="2:6" ht="12" x14ac:dyDescent="0.2">
      <c r="B45" s="57" t="str">
        <f>'Name List'!B45</f>
        <v>Dave Randall</v>
      </c>
      <c r="C45" s="60">
        <f>'Scores and stats'!RA45</f>
        <v>18</v>
      </c>
      <c r="D45" s="57"/>
      <c r="E45" s="180" t="str">
        <v>Paul Martin</v>
      </c>
      <c r="F45" s="181">
        <v>16</v>
      </c>
    </row>
    <row r="46" spans="2:6" ht="12" x14ac:dyDescent="0.2">
      <c r="B46" s="57" t="str">
        <f>'Name List'!B46</f>
        <v>Arron Rutherford</v>
      </c>
      <c r="C46" s="60">
        <f>'Scores and stats'!RA46</f>
        <v>14</v>
      </c>
      <c r="D46" s="57"/>
      <c r="E46" s="180" t="str">
        <v>Steve Wheeler</v>
      </c>
      <c r="F46" s="181">
        <v>16</v>
      </c>
    </row>
    <row r="47" spans="2:6" ht="12" x14ac:dyDescent="0.2">
      <c r="B47" s="57" t="str">
        <f>'Name List'!B47</f>
        <v>Terry Shoker</v>
      </c>
      <c r="C47" s="60">
        <f>'Scores and stats'!RA47</f>
        <v>0</v>
      </c>
      <c r="D47" s="57"/>
      <c r="E47" s="180" t="str">
        <v>Shaun Alexander</v>
      </c>
      <c r="F47" s="181">
        <v>16</v>
      </c>
    </row>
    <row r="48" spans="2:6" ht="12" x14ac:dyDescent="0.2">
      <c r="B48" s="57" t="str">
        <f>'Name List'!B48</f>
        <v>Chris Smith</v>
      </c>
      <c r="C48" s="60">
        <f>'Scores and stats'!RA48</f>
        <v>20</v>
      </c>
      <c r="D48" s="61"/>
      <c r="E48" s="180" t="str">
        <v>Dan Thomas</v>
      </c>
      <c r="F48" s="181">
        <v>15</v>
      </c>
    </row>
    <row r="49" spans="2:6" ht="12" x14ac:dyDescent="0.2">
      <c r="B49" s="57" t="str">
        <f>'Name List'!B49</f>
        <v>Justin Spencer</v>
      </c>
      <c r="C49" s="60">
        <f>'Scores and stats'!RA49</f>
        <v>0</v>
      </c>
      <c r="D49" s="57"/>
      <c r="E49" s="180" t="str">
        <v>David Hilton</v>
      </c>
      <c r="F49" s="181">
        <v>14</v>
      </c>
    </row>
    <row r="50" spans="2:6" ht="12" x14ac:dyDescent="0.2">
      <c r="B50" s="57" t="str">
        <f>'Name List'!B50</f>
        <v>Jake Sprosen</v>
      </c>
      <c r="C50" s="60">
        <f>'Scores and stats'!RA50</f>
        <v>0</v>
      </c>
      <c r="D50" s="57"/>
      <c r="E50" s="180" t="str">
        <v>Oli Lloyd</v>
      </c>
      <c r="F50" s="181">
        <v>14</v>
      </c>
    </row>
    <row r="51" spans="2:6" ht="12" x14ac:dyDescent="0.2">
      <c r="B51" s="57" t="str">
        <f>'Name List'!B51</f>
        <v>Tosh Sprosen</v>
      </c>
      <c r="C51" s="60">
        <f>'Scores and stats'!RA51</f>
        <v>0</v>
      </c>
      <c r="D51" s="57"/>
      <c r="E51" s="180" t="str">
        <v>Arron Rutherford</v>
      </c>
      <c r="F51" s="181">
        <v>14</v>
      </c>
    </row>
    <row r="52" spans="2:6" ht="12" x14ac:dyDescent="0.2">
      <c r="B52" s="57" t="str">
        <f>'Name List'!B52</f>
        <v>Bill Sutton</v>
      </c>
      <c r="C52" s="60">
        <f>'Scores and stats'!RA52</f>
        <v>0</v>
      </c>
      <c r="D52" s="57"/>
      <c r="E52" s="180" t="str">
        <v>Oliver Proud</v>
      </c>
      <c r="F52" s="181">
        <v>14</v>
      </c>
    </row>
    <row r="53" spans="2:6" ht="12" x14ac:dyDescent="0.2">
      <c r="B53" s="57" t="str">
        <f>'Name List'!B53</f>
        <v>Dan Thomas</v>
      </c>
      <c r="C53" s="60">
        <f>'Scores and stats'!RA53</f>
        <v>15</v>
      </c>
      <c r="D53" s="57"/>
      <c r="E53" s="180" t="str">
        <v>George Burton</v>
      </c>
      <c r="F53" s="181">
        <v>13</v>
      </c>
    </row>
    <row r="54" spans="2:6" ht="12" x14ac:dyDescent="0.2">
      <c r="B54" s="57" t="str">
        <f>'Name List'!B54</f>
        <v>Andy Thompson</v>
      </c>
      <c r="C54" s="60">
        <f>'Scores and stats'!RA54</f>
        <v>0</v>
      </c>
      <c r="D54" s="57"/>
      <c r="E54" s="180" t="str">
        <v>Terry Walker</v>
      </c>
      <c r="F54" s="181">
        <v>12</v>
      </c>
    </row>
    <row r="55" spans="2:6" ht="12" x14ac:dyDescent="0.2">
      <c r="B55" s="57" t="str">
        <f>'Name List'!B55</f>
        <v>Rory Thompson</v>
      </c>
      <c r="C55" s="60">
        <f>'Scores and stats'!RA55</f>
        <v>0</v>
      </c>
      <c r="D55" s="57"/>
      <c r="E55" s="180" t="str">
        <v>Kyle Deane</v>
      </c>
      <c r="F55" s="181">
        <v>12</v>
      </c>
    </row>
    <row r="56" spans="2:6" ht="12" x14ac:dyDescent="0.2">
      <c r="B56" s="57" t="str">
        <f>'Name List'!B56</f>
        <v>Sonny Thompson</v>
      </c>
      <c r="C56" s="60">
        <f>'Scores and stats'!RA56</f>
        <v>0</v>
      </c>
      <c r="D56" s="57"/>
      <c r="E56" s="180" t="str">
        <v>Gary Hall</v>
      </c>
      <c r="F56" s="181">
        <v>9</v>
      </c>
    </row>
    <row r="57" spans="2:6" ht="12" x14ac:dyDescent="0.2">
      <c r="B57" s="57" t="str">
        <f>'Name List'!B57</f>
        <v>Kevin Tribley</v>
      </c>
      <c r="C57" s="60">
        <f>'Scores and stats'!RA57</f>
        <v>20</v>
      </c>
      <c r="D57" s="57"/>
      <c r="E57" s="180" t="str">
        <v>Dominic Coughlin</v>
      </c>
      <c r="F57" s="181">
        <v>3</v>
      </c>
    </row>
    <row r="58" spans="2:6" ht="12" x14ac:dyDescent="0.2">
      <c r="B58" s="57" t="str">
        <f>'Name List'!B58</f>
        <v>Russell Turner</v>
      </c>
      <c r="C58" s="60">
        <f>'Scores and stats'!RA58</f>
        <v>19</v>
      </c>
      <c r="D58" s="57"/>
      <c r="E58" s="180" t="str">
        <v>Stuart Anderson</v>
      </c>
      <c r="F58" s="181">
        <v>0</v>
      </c>
    </row>
    <row r="59" spans="2:6" ht="12" x14ac:dyDescent="0.2">
      <c r="B59" s="57" t="str">
        <f>'Name List'!B59</f>
        <v>Peter Vallely</v>
      </c>
      <c r="C59" s="60">
        <f>'Scores and stats'!RA59</f>
        <v>20</v>
      </c>
      <c r="D59" s="57"/>
      <c r="E59" s="180" t="str">
        <v>Peter Donovan</v>
      </c>
      <c r="F59" s="181">
        <v>0</v>
      </c>
    </row>
    <row r="60" spans="2:6" ht="12" x14ac:dyDescent="0.2">
      <c r="B60" s="57" t="str">
        <f>'Name List'!B60</f>
        <v>Ryan Vaughan</v>
      </c>
      <c r="C60" s="60">
        <f>'Scores and stats'!RA60</f>
        <v>19</v>
      </c>
      <c r="D60" s="57"/>
      <c r="E60" s="180" t="str">
        <v>Gordon Fielding</v>
      </c>
      <c r="F60" s="181">
        <v>0</v>
      </c>
    </row>
    <row r="61" spans="2:6" ht="12" x14ac:dyDescent="0.2">
      <c r="B61" s="57" t="str">
        <f>'Name List'!B61</f>
        <v>Jason Wale</v>
      </c>
      <c r="C61" s="60">
        <f>'Scores and stats'!RA61</f>
        <v>17</v>
      </c>
      <c r="D61" s="57"/>
      <c r="E61" s="180" t="str">
        <v>Stuart Gay</v>
      </c>
      <c r="F61" s="181">
        <v>0</v>
      </c>
    </row>
    <row r="62" spans="2:6" ht="12" x14ac:dyDescent="0.2">
      <c r="B62" s="57" t="str">
        <f>'Name List'!B62</f>
        <v>Terry Walker</v>
      </c>
      <c r="C62" s="60">
        <f>'Scores and stats'!RA62</f>
        <v>12</v>
      </c>
      <c r="D62" s="57"/>
      <c r="E62" s="180" t="str">
        <v>Tony Hearson</v>
      </c>
      <c r="F62" s="181">
        <v>0</v>
      </c>
    </row>
    <row r="63" spans="2:6" ht="12" x14ac:dyDescent="0.2">
      <c r="B63" s="57" t="str">
        <f>'Name List'!B63</f>
        <v>Finn Wheeler</v>
      </c>
      <c r="C63" s="60">
        <f>'Scores and stats'!RA63</f>
        <v>18</v>
      </c>
      <c r="D63" s="57"/>
      <c r="E63" s="180" t="str">
        <v>Martin Holder</v>
      </c>
      <c r="F63" s="181">
        <v>0</v>
      </c>
    </row>
    <row r="64" spans="2:6" ht="12" x14ac:dyDescent="0.2">
      <c r="B64" s="57" t="str">
        <f>'Name List'!B64</f>
        <v>Steve Wheeler</v>
      </c>
      <c r="C64" s="60">
        <f>'Scores and stats'!RA64</f>
        <v>16</v>
      </c>
      <c r="D64" s="57"/>
      <c r="E64" s="180" t="str">
        <v>Mark Hutchinson</v>
      </c>
      <c r="F64" s="181">
        <v>0</v>
      </c>
    </row>
    <row r="65" spans="2:6" ht="12" x14ac:dyDescent="0.2">
      <c r="B65" s="57" t="str">
        <f>'Name List'!B65</f>
        <v>Brad Whitehead</v>
      </c>
      <c r="C65" s="60">
        <f>'Scores and stats'!RA65</f>
        <v>20</v>
      </c>
      <c r="D65" s="57"/>
      <c r="E65" s="180" t="str">
        <v>Andy Lucey</v>
      </c>
      <c r="F65" s="181">
        <v>0</v>
      </c>
    </row>
    <row r="66" spans="2:6" ht="12" x14ac:dyDescent="0.2">
      <c r="B66" s="57" t="str">
        <f>'Name List'!B66</f>
        <v>Dave Woodget</v>
      </c>
      <c r="C66" s="60">
        <f>'Scores and stats'!RA66</f>
        <v>18</v>
      </c>
      <c r="D66" s="57"/>
      <c r="E66" s="180" t="str">
        <v>Terry Shoker</v>
      </c>
      <c r="F66" s="181">
        <v>0</v>
      </c>
    </row>
    <row r="67" spans="2:6" ht="12" x14ac:dyDescent="0.2">
      <c r="B67" s="57" t="str">
        <f>'Name List'!B67</f>
        <v>Jonathan Kanareck</v>
      </c>
      <c r="C67" s="60">
        <f>'Scores and stats'!RA67</f>
        <v>19</v>
      </c>
      <c r="D67" s="57"/>
      <c r="E67" s="180" t="str">
        <v>Justin Spencer</v>
      </c>
      <c r="F67" s="181">
        <v>0</v>
      </c>
    </row>
    <row r="68" spans="2:6" ht="12" x14ac:dyDescent="0.2">
      <c r="B68" s="57" t="str">
        <f>'Name List'!B68</f>
        <v>Oliver Proud</v>
      </c>
      <c r="C68" s="60">
        <f>'Scores and stats'!RA68</f>
        <v>14</v>
      </c>
      <c r="E68" s="180" t="str">
        <v>Jake Sprosen</v>
      </c>
      <c r="F68" s="181">
        <v>0</v>
      </c>
    </row>
    <row r="69" spans="2:6" ht="12" x14ac:dyDescent="0.2">
      <c r="B69" s="57" t="str">
        <f>'Name List'!B69</f>
        <v>Joe Hooper</v>
      </c>
      <c r="C69" s="60">
        <f>'Scores and stats'!RA69</f>
        <v>20</v>
      </c>
      <c r="E69" s="180" t="str">
        <v>Tosh Sprosen</v>
      </c>
      <c r="F69" s="181">
        <v>0</v>
      </c>
    </row>
    <row r="70" spans="2:6" ht="12" x14ac:dyDescent="0.2">
      <c r="B70" s="57" t="str">
        <f>'Name List'!B70</f>
        <v>Danny Jones</v>
      </c>
      <c r="C70" s="60">
        <f>'Scores and stats'!RA70</f>
        <v>17</v>
      </c>
      <c r="E70" s="180" t="str">
        <v>Bill Sutton</v>
      </c>
      <c r="F70" s="181">
        <v>0</v>
      </c>
    </row>
    <row r="71" spans="2:6" ht="12" x14ac:dyDescent="0.2">
      <c r="B71" s="57" t="str">
        <f>'Name List'!B71</f>
        <v>Liam Anderson</v>
      </c>
      <c r="C71" s="60">
        <f>'Scores and stats'!RA71</f>
        <v>0</v>
      </c>
      <c r="E71" s="180" t="str">
        <v>Andy Thompson</v>
      </c>
      <c r="F71" s="181">
        <v>0</v>
      </c>
    </row>
    <row r="72" spans="2:6" ht="12" x14ac:dyDescent="0.2">
      <c r="B72" s="57" t="str">
        <f>'Name List'!B72</f>
        <v>Sam Cochrane</v>
      </c>
      <c r="C72" s="60">
        <f>'Scores and stats'!RA72</f>
        <v>20</v>
      </c>
      <c r="E72" s="180" t="str">
        <v>Rory Thompson</v>
      </c>
      <c r="F72" s="181">
        <v>0</v>
      </c>
    </row>
    <row r="73" spans="2:6" ht="12" x14ac:dyDescent="0.2">
      <c r="B73" s="57" t="str">
        <f>'Name List'!B73</f>
        <v>Shaun Alexander</v>
      </c>
      <c r="C73" s="60">
        <f>'Scores and stats'!RA73</f>
        <v>16</v>
      </c>
      <c r="E73" s="180" t="str">
        <v>Sonny Thompson</v>
      </c>
      <c r="F73" s="181">
        <v>0</v>
      </c>
    </row>
    <row r="74" spans="2:6" ht="12" x14ac:dyDescent="0.2">
      <c r="B74" s="57" t="str">
        <f>'Name List'!B74</f>
        <v>Kyle Deane</v>
      </c>
      <c r="C74" s="60">
        <f>'Scores and stats'!RA74</f>
        <v>12</v>
      </c>
      <c r="E74" s="180" t="str">
        <v>Liam Anderson</v>
      </c>
      <c r="F74" s="181">
        <v>0</v>
      </c>
    </row>
    <row r="75" spans="2:6" ht="12" x14ac:dyDescent="0.2">
      <c r="B75" s="57">
        <f>'Name List'!B75</f>
        <v>1</v>
      </c>
      <c r="C75" s="60">
        <f>'Scores and stats'!RA75</f>
        <v>0</v>
      </c>
      <c r="E75" s="180">
        <v>1</v>
      </c>
      <c r="F75" s="181">
        <v>0</v>
      </c>
    </row>
    <row r="76" spans="2:6" ht="12" x14ac:dyDescent="0.2">
      <c r="B76" s="57">
        <f>'Name List'!B76</f>
        <v>2</v>
      </c>
      <c r="C76" s="60">
        <f>'Scores and stats'!RA76</f>
        <v>0</v>
      </c>
      <c r="E76" s="180">
        <v>2</v>
      </c>
      <c r="F76" s="181">
        <v>0</v>
      </c>
    </row>
    <row r="77" spans="2:6" ht="12" x14ac:dyDescent="0.2">
      <c r="B77" s="57">
        <f>'Name List'!B77</f>
        <v>3</v>
      </c>
      <c r="C77" s="60">
        <f>'Scores and stats'!RA77</f>
        <v>0</v>
      </c>
      <c r="E77" s="180">
        <v>3</v>
      </c>
      <c r="F77" s="181">
        <v>0</v>
      </c>
    </row>
    <row r="78" spans="2:6" ht="12" x14ac:dyDescent="0.2">
      <c r="B78" s="57">
        <f>'Name List'!B78</f>
        <v>4</v>
      </c>
      <c r="C78" s="60">
        <f>'Scores and stats'!RA78</f>
        <v>0</v>
      </c>
      <c r="E78" s="180">
        <v>4</v>
      </c>
      <c r="F78" s="181">
        <v>0</v>
      </c>
    </row>
    <row r="79" spans="2:6" ht="12" x14ac:dyDescent="0.2">
      <c r="B79" s="57">
        <f>'Name List'!B79</f>
        <v>5</v>
      </c>
      <c r="C79" s="60">
        <f>'Scores and stats'!RA79</f>
        <v>0</v>
      </c>
      <c r="E79" s="180">
        <v>5</v>
      </c>
      <c r="F79" s="181">
        <v>0</v>
      </c>
    </row>
    <row r="80" spans="2:6" ht="12" x14ac:dyDescent="0.2">
      <c r="B80" s="57">
        <f>'Name List'!B80</f>
        <v>6</v>
      </c>
      <c r="C80" s="60">
        <f>'Scores and stats'!RA80</f>
        <v>0</v>
      </c>
      <c r="E80" s="180">
        <v>6</v>
      </c>
      <c r="F80" s="181">
        <v>0</v>
      </c>
    </row>
    <row r="81" spans="2:6" ht="12" x14ac:dyDescent="0.2">
      <c r="B81" s="57">
        <f>'Name List'!B81</f>
        <v>7</v>
      </c>
      <c r="C81" s="60">
        <f>'Scores and stats'!RA81</f>
        <v>0</v>
      </c>
      <c r="E81" s="180">
        <v>7</v>
      </c>
      <c r="F81" s="181">
        <v>0</v>
      </c>
    </row>
    <row r="82" spans="2:6" ht="12" x14ac:dyDescent="0.2">
      <c r="B82" s="57">
        <f>'Name List'!B82</f>
        <v>8</v>
      </c>
      <c r="C82" s="60">
        <f>'Scores and stats'!RA82</f>
        <v>0</v>
      </c>
      <c r="E82" s="180">
        <v>8</v>
      </c>
      <c r="F82" s="181">
        <v>0</v>
      </c>
    </row>
    <row r="83" spans="2:6" ht="12" x14ac:dyDescent="0.2">
      <c r="B83" s="57">
        <f>'Name List'!B83</f>
        <v>9</v>
      </c>
      <c r="C83" s="60">
        <f>'Scores and stats'!RA83</f>
        <v>0</v>
      </c>
      <c r="E83" s="180">
        <v>9</v>
      </c>
      <c r="F83" s="181">
        <v>0</v>
      </c>
    </row>
    <row r="84" spans="2:6" ht="12" x14ac:dyDescent="0.2">
      <c r="B84" s="57">
        <f>'Name List'!B84</f>
        <v>10</v>
      </c>
      <c r="C84" s="60">
        <f>'Scores and stats'!RA84</f>
        <v>0</v>
      </c>
      <c r="E84" s="180">
        <v>10</v>
      </c>
      <c r="F84" s="181">
        <v>0</v>
      </c>
    </row>
    <row r="85" spans="2:6" ht="12" x14ac:dyDescent="0.2">
      <c r="B85" s="57">
        <f>'Name List'!B85</f>
        <v>11</v>
      </c>
      <c r="C85" s="60">
        <f>'Scores and stats'!RA85</f>
        <v>0</v>
      </c>
      <c r="E85" s="180">
        <v>11</v>
      </c>
      <c r="F85" s="181">
        <v>0</v>
      </c>
    </row>
    <row r="86" spans="2:6" ht="12" x14ac:dyDescent="0.2">
      <c r="B86" s="57">
        <f>'Name List'!B86</f>
        <v>12</v>
      </c>
      <c r="C86" s="60">
        <f>'Scores and stats'!RA86</f>
        <v>0</v>
      </c>
      <c r="E86" s="180">
        <v>12</v>
      </c>
      <c r="F86" s="181">
        <v>0</v>
      </c>
    </row>
    <row r="87" spans="2:6" ht="12" x14ac:dyDescent="0.2">
      <c r="B87" s="57">
        <f>'Name List'!B87</f>
        <v>13</v>
      </c>
      <c r="C87" s="60">
        <f>'Scores and stats'!RA87</f>
        <v>0</v>
      </c>
      <c r="E87" s="180">
        <v>13</v>
      </c>
      <c r="F87" s="181">
        <v>0</v>
      </c>
    </row>
    <row r="88" spans="2:6" ht="12" x14ac:dyDescent="0.2">
      <c r="B88" s="57">
        <f>'Name List'!B88</f>
        <v>14</v>
      </c>
      <c r="C88" s="60">
        <f>'Scores and stats'!RA88</f>
        <v>0</v>
      </c>
      <c r="E88" s="180">
        <v>14</v>
      </c>
      <c r="F88" s="181">
        <v>0</v>
      </c>
    </row>
    <row r="89" spans="2:6" ht="12" x14ac:dyDescent="0.2">
      <c r="B89" s="57">
        <f>'Name List'!B89</f>
        <v>15</v>
      </c>
      <c r="C89" s="60">
        <f>'Scores and stats'!RA89</f>
        <v>0</v>
      </c>
      <c r="E89" s="180">
        <v>15</v>
      </c>
      <c r="F89" s="181">
        <v>0</v>
      </c>
    </row>
    <row r="90" spans="2:6" ht="12" x14ac:dyDescent="0.2">
      <c r="B90" s="57">
        <f>'Name List'!B90</f>
        <v>16</v>
      </c>
      <c r="C90" s="60">
        <f>'Scores and stats'!RA90</f>
        <v>0</v>
      </c>
      <c r="E90" s="180">
        <v>16</v>
      </c>
      <c r="F90" s="181">
        <v>0</v>
      </c>
    </row>
    <row r="91" spans="2:6" ht="12" x14ac:dyDescent="0.2">
      <c r="B91" s="57">
        <f>'Name List'!B91</f>
        <v>17</v>
      </c>
      <c r="C91" s="60">
        <f>'Scores and stats'!RA91</f>
        <v>0</v>
      </c>
      <c r="E91" s="321">
        <v>17</v>
      </c>
      <c r="F91" s="323">
        <v>0</v>
      </c>
    </row>
    <row r="92" spans="2:6" ht="12" x14ac:dyDescent="0.2">
      <c r="B92" s="57">
        <f>'Name List'!B92</f>
        <v>18</v>
      </c>
      <c r="C92" s="60">
        <f>'Scores and stats'!RA92</f>
        <v>0</v>
      </c>
      <c r="E92" s="321">
        <v>18</v>
      </c>
      <c r="F92" s="323">
        <v>0</v>
      </c>
    </row>
    <row r="93" spans="2:6" ht="12" x14ac:dyDescent="0.2">
      <c r="B93" s="57">
        <f>'Name List'!B93</f>
        <v>19</v>
      </c>
      <c r="C93" s="60">
        <f>'Scores and stats'!RA93</f>
        <v>0</v>
      </c>
      <c r="E93" s="321">
        <v>19</v>
      </c>
      <c r="F93" s="323">
        <v>0</v>
      </c>
    </row>
    <row r="94" spans="2:6" ht="12" x14ac:dyDescent="0.2">
      <c r="B94" s="57">
        <f>'Name List'!B94</f>
        <v>20</v>
      </c>
      <c r="C94" s="60">
        <f>'Scores and stats'!RA94</f>
        <v>0</v>
      </c>
      <c r="E94" s="321">
        <v>20</v>
      </c>
      <c r="F94" s="323">
        <v>0</v>
      </c>
    </row>
    <row r="95" spans="2:6" ht="12" x14ac:dyDescent="0.2">
      <c r="B95" s="57">
        <f>'Name List'!B95</f>
        <v>21</v>
      </c>
      <c r="C95" s="60">
        <f>'Scores and stats'!RA95</f>
        <v>0</v>
      </c>
      <c r="E95" s="321">
        <v>21</v>
      </c>
      <c r="F95" s="323">
        <v>0</v>
      </c>
    </row>
    <row r="96" spans="2:6" ht="12" x14ac:dyDescent="0.2">
      <c r="B96" s="57">
        <f>'Name List'!B96</f>
        <v>22</v>
      </c>
      <c r="C96" s="60">
        <f>'Scores and stats'!RA96</f>
        <v>0</v>
      </c>
      <c r="E96" s="321">
        <v>22</v>
      </c>
      <c r="F96" s="323">
        <v>0</v>
      </c>
    </row>
    <row r="97" spans="2:6" ht="12" x14ac:dyDescent="0.2">
      <c r="B97" s="57">
        <f>'Name List'!B97</f>
        <v>23</v>
      </c>
      <c r="C97" s="60">
        <f>'Scores and stats'!RA97</f>
        <v>0</v>
      </c>
      <c r="E97" s="321">
        <v>23</v>
      </c>
      <c r="F97" s="323">
        <v>0</v>
      </c>
    </row>
    <row r="98" spans="2:6" ht="12" x14ac:dyDescent="0.2">
      <c r="B98" s="57">
        <f>'Name List'!B98</f>
        <v>24</v>
      </c>
      <c r="C98" s="60">
        <f>'Scores and stats'!RA98</f>
        <v>0</v>
      </c>
      <c r="E98" s="321">
        <v>24</v>
      </c>
      <c r="F98" s="323">
        <v>0</v>
      </c>
    </row>
    <row r="99" spans="2:6" ht="12" x14ac:dyDescent="0.2">
      <c r="B99" s="57">
        <f>'Name List'!B99</f>
        <v>25</v>
      </c>
      <c r="C99" s="60">
        <f>'Scores and stats'!RA99</f>
        <v>0</v>
      </c>
      <c r="E99" s="321">
        <v>25</v>
      </c>
      <c r="F99" s="323">
        <v>0</v>
      </c>
    </row>
    <row r="100" spans="2:6" ht="12" x14ac:dyDescent="0.2">
      <c r="B100" s="57">
        <f>'Name List'!B100</f>
        <v>26</v>
      </c>
      <c r="C100" s="60">
        <f>'Scores and stats'!RA100</f>
        <v>0</v>
      </c>
      <c r="E100" s="321">
        <v>26</v>
      </c>
      <c r="F100" s="323">
        <v>0</v>
      </c>
    </row>
    <row r="101" spans="2:6" ht="12" x14ac:dyDescent="0.2">
      <c r="B101" s="57">
        <f>'Name List'!B101</f>
        <v>27</v>
      </c>
      <c r="C101" s="60">
        <f>'Scores and stats'!RA101</f>
        <v>0</v>
      </c>
      <c r="E101" s="321">
        <v>27</v>
      </c>
      <c r="F101" s="323">
        <v>0</v>
      </c>
    </row>
    <row r="102" spans="2:6" ht="12" x14ac:dyDescent="0.2">
      <c r="B102" s="57">
        <f>'Name List'!B102</f>
        <v>28</v>
      </c>
      <c r="C102" s="60">
        <f>'Scores and stats'!RA102</f>
        <v>0</v>
      </c>
      <c r="E102" s="321">
        <v>28</v>
      </c>
      <c r="F102" s="323">
        <v>0</v>
      </c>
    </row>
    <row r="103" spans="2:6" ht="12" x14ac:dyDescent="0.2">
      <c r="B103" s="57">
        <f>'Name List'!B103</f>
        <v>29</v>
      </c>
      <c r="C103" s="60">
        <f>'Scores and stats'!RA103</f>
        <v>0</v>
      </c>
      <c r="E103" s="321">
        <v>29</v>
      </c>
      <c r="F103" s="323">
        <v>0</v>
      </c>
    </row>
    <row r="104" spans="2:6" ht="12" x14ac:dyDescent="0.2">
      <c r="B104" s="57">
        <f>'Name List'!B104</f>
        <v>30</v>
      </c>
      <c r="C104" s="60">
        <f>'Scores and stats'!RA104</f>
        <v>0</v>
      </c>
      <c r="E104" s="321">
        <v>30</v>
      </c>
      <c r="F104" s="323">
        <v>0</v>
      </c>
    </row>
    <row r="105" spans="2:6" ht="12" x14ac:dyDescent="0.2">
      <c r="B105" s="57">
        <f>'Name List'!B105</f>
        <v>31</v>
      </c>
      <c r="C105" s="60">
        <f>'Scores and stats'!RA105</f>
        <v>0</v>
      </c>
      <c r="E105" s="322">
        <v>31</v>
      </c>
      <c r="F105" s="324">
        <v>0</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DD783-AA91-47B1-B388-E7BA4EAB1DCF}">
  <dimension ref="B2:F105"/>
  <sheetViews>
    <sheetView view="pageLayout" topLeftCell="A66" workbookViewId="0">
      <selection activeCell="C90" sqref="C90"/>
    </sheetView>
  </sheetViews>
  <sheetFormatPr defaultColWidth="9.33203125" defaultRowHeight="11.25" x14ac:dyDescent="0.2"/>
  <cols>
    <col min="2" max="2" width="23.1640625" customWidth="1"/>
    <col min="3" max="3" width="17.6640625" customWidth="1"/>
    <col min="4" max="4" width="3.5" customWidth="1"/>
    <col min="5" max="5" width="25" customWidth="1"/>
  </cols>
  <sheetData>
    <row r="2" spans="2:6" ht="12" x14ac:dyDescent="0.2">
      <c r="B2" s="57"/>
      <c r="C2" s="58"/>
      <c r="D2" s="57"/>
      <c r="E2" s="59"/>
      <c r="F2" s="59"/>
    </row>
    <row r="3" spans="2:6" ht="12" x14ac:dyDescent="0.2">
      <c r="B3" s="57"/>
      <c r="C3" s="58" t="s">
        <v>148</v>
      </c>
      <c r="D3" s="58"/>
      <c r="E3" s="731" t="str">
        <f>C3</f>
        <v>Best Back 9</v>
      </c>
      <c r="F3" s="732"/>
    </row>
    <row r="4" spans="2:6" ht="12" x14ac:dyDescent="0.2">
      <c r="B4" s="57"/>
      <c r="C4" s="58"/>
      <c r="D4" s="57"/>
      <c r="E4" s="180"/>
      <c r="F4" s="181"/>
    </row>
    <row r="5" spans="2:6" ht="12" x14ac:dyDescent="0.2">
      <c r="B5" s="57"/>
      <c r="C5" s="58"/>
      <c r="D5" s="57"/>
      <c r="E5" s="180"/>
      <c r="F5" s="181"/>
    </row>
    <row r="6" spans="2:6" ht="12" x14ac:dyDescent="0.2">
      <c r="B6" s="57" t="str">
        <f>'Name List'!B6</f>
        <v>Stuart Anderson</v>
      </c>
      <c r="C6" s="60">
        <f>'Scores and stats'!RB6</f>
        <v>0</v>
      </c>
      <c r="D6" s="61"/>
      <c r="E6" s="180" t="str" cm="1">
        <f t="array" ref="E6:F105">_xlfn._xlws.SORT(B6:C105,2,-1)</f>
        <v>Tony Forsyth-James</v>
      </c>
      <c r="F6" s="181">
        <v>23</v>
      </c>
    </row>
    <row r="7" spans="2:6" ht="12" x14ac:dyDescent="0.2">
      <c r="B7" s="57" t="str">
        <f>'Name List'!B7</f>
        <v>Max Ball</v>
      </c>
      <c r="C7" s="60">
        <f>'Scores and stats'!RB7</f>
        <v>21</v>
      </c>
      <c r="D7" s="57"/>
      <c r="E7" s="180" t="str">
        <v>Justin Hunt</v>
      </c>
      <c r="F7" s="181">
        <v>23</v>
      </c>
    </row>
    <row r="8" spans="2:6" ht="12" x14ac:dyDescent="0.2">
      <c r="B8" s="57" t="str">
        <f>'Name List'!B8</f>
        <v>Harley Bishop</v>
      </c>
      <c r="C8" s="60">
        <f>'Scores and stats'!RB8</f>
        <v>17</v>
      </c>
      <c r="D8" s="57"/>
      <c r="E8" s="180" t="str">
        <v>Jason Wale</v>
      </c>
      <c r="F8" s="181">
        <v>23</v>
      </c>
    </row>
    <row r="9" spans="2:6" ht="12" x14ac:dyDescent="0.2">
      <c r="B9" s="57" t="str">
        <f>'Name List'!B9</f>
        <v>Chris Burroughs</v>
      </c>
      <c r="C9" s="60">
        <f>'Scores and stats'!RB9</f>
        <v>13</v>
      </c>
      <c r="D9" s="57"/>
      <c r="E9" s="180" t="str">
        <v>Brad Whitehead</v>
      </c>
      <c r="F9" s="181">
        <v>22</v>
      </c>
    </row>
    <row r="10" spans="2:6" ht="12" x14ac:dyDescent="0.2">
      <c r="B10" s="57" t="str">
        <f>'Name List'!B10</f>
        <v>George Burton</v>
      </c>
      <c r="C10" s="60">
        <f>'Scores and stats'!RB10</f>
        <v>14</v>
      </c>
      <c r="D10" s="57"/>
      <c r="E10" s="180" t="str">
        <v>Max Ball</v>
      </c>
      <c r="F10" s="181">
        <v>21</v>
      </c>
    </row>
    <row r="11" spans="2:6" ht="12" x14ac:dyDescent="0.2">
      <c r="B11" s="57" t="str">
        <f>'Name List'!B11</f>
        <v>Tom Burton</v>
      </c>
      <c r="C11" s="60">
        <f>'Scores and stats'!RB11</f>
        <v>19</v>
      </c>
      <c r="D11" s="57"/>
      <c r="E11" s="180" t="str">
        <v>Archie Fraser</v>
      </c>
      <c r="F11" s="181">
        <v>21</v>
      </c>
    </row>
    <row r="12" spans="2:6" ht="12" x14ac:dyDescent="0.2">
      <c r="B12" s="57" t="str">
        <f>'Name List'!B12</f>
        <v>Mike Chubb</v>
      </c>
      <c r="C12" s="60">
        <f>'Scores and stats'!RB12</f>
        <v>17</v>
      </c>
      <c r="D12" s="57"/>
      <c r="E12" s="180" t="str">
        <v>Dave Randall</v>
      </c>
      <c r="F12" s="181">
        <v>21</v>
      </c>
    </row>
    <row r="13" spans="2:6" ht="12" x14ac:dyDescent="0.2">
      <c r="B13" s="57" t="str">
        <f>'Name List'!B13</f>
        <v>George Clarke</v>
      </c>
      <c r="C13" s="60">
        <f>'Scores and stats'!RB13</f>
        <v>18</v>
      </c>
      <c r="D13" s="57"/>
      <c r="E13" s="180" t="str">
        <v>Peter Vallely</v>
      </c>
      <c r="F13" s="181">
        <v>21</v>
      </c>
    </row>
    <row r="14" spans="2:6" ht="12" x14ac:dyDescent="0.2">
      <c r="B14" s="57" t="str">
        <f>'Name List'!B14</f>
        <v>Paul Clarke</v>
      </c>
      <c r="C14" s="60">
        <f>'Scores and stats'!RB14</f>
        <v>18</v>
      </c>
      <c r="D14" s="57"/>
      <c r="E14" s="180" t="str">
        <v>Martin Coomber</v>
      </c>
      <c r="F14" s="181">
        <v>20</v>
      </c>
    </row>
    <row r="15" spans="2:6" ht="12" x14ac:dyDescent="0.2">
      <c r="B15" s="57" t="str">
        <f>'Name List'!B15</f>
        <v>Martin Coomber</v>
      </c>
      <c r="C15" s="60">
        <f>'Scores and stats'!RB15</f>
        <v>20</v>
      </c>
      <c r="D15" s="57"/>
      <c r="E15" s="180" t="str">
        <v>Paul Fitzgerald</v>
      </c>
      <c r="F15" s="181">
        <v>20</v>
      </c>
    </row>
    <row r="16" spans="2:6" ht="12" x14ac:dyDescent="0.2">
      <c r="B16" s="57" t="str">
        <f>'Name List'!B16</f>
        <v>Dominic Coughlin</v>
      </c>
      <c r="C16" s="60">
        <f>'Scores and stats'!RB16</f>
        <v>16</v>
      </c>
      <c r="D16" s="57"/>
      <c r="E16" s="180" t="str">
        <v>Mike Forrest</v>
      </c>
      <c r="F16" s="181">
        <v>20</v>
      </c>
    </row>
    <row r="17" spans="2:6" ht="12" x14ac:dyDescent="0.2">
      <c r="B17" s="57" t="str">
        <f>'Name List'!B17</f>
        <v>Gareth Davies</v>
      </c>
      <c r="C17" s="60">
        <f>'Scores and stats'!RB17</f>
        <v>15</v>
      </c>
      <c r="D17" s="57"/>
      <c r="E17" s="180" t="str">
        <v>Anthony Harris</v>
      </c>
      <c r="F17" s="181">
        <v>20</v>
      </c>
    </row>
    <row r="18" spans="2:6" ht="12" x14ac:dyDescent="0.2">
      <c r="B18" s="57" t="str">
        <f>'Name List'!B18</f>
        <v>Peter Donovan</v>
      </c>
      <c r="C18" s="60">
        <f>'Scores and stats'!RB18</f>
        <v>0</v>
      </c>
      <c r="D18" s="57"/>
      <c r="E18" s="180" t="str">
        <v>Neil Hart</v>
      </c>
      <c r="F18" s="181">
        <v>20</v>
      </c>
    </row>
    <row r="19" spans="2:6" ht="12" x14ac:dyDescent="0.2">
      <c r="B19" s="57" t="str">
        <f>'Name List'!B19</f>
        <v>James Dunn</v>
      </c>
      <c r="C19" s="60">
        <f>'Scores and stats'!RB19</f>
        <v>18</v>
      </c>
      <c r="D19" s="57"/>
      <c r="E19" s="180" t="str">
        <v>Paul Martin</v>
      </c>
      <c r="F19" s="181">
        <v>20</v>
      </c>
    </row>
    <row r="20" spans="2:6" ht="12" x14ac:dyDescent="0.2">
      <c r="B20" s="57" t="str">
        <f>'Name List'!B20</f>
        <v>Gordon Fielding</v>
      </c>
      <c r="C20" s="60">
        <f>'Scores and stats'!RB20</f>
        <v>0</v>
      </c>
      <c r="D20" s="57"/>
      <c r="E20" s="180" t="str">
        <v>Kevin Tribley</v>
      </c>
      <c r="F20" s="181">
        <v>20</v>
      </c>
    </row>
    <row r="21" spans="2:6" ht="12" x14ac:dyDescent="0.2">
      <c r="B21" s="57" t="str">
        <f>'Name List'!B21</f>
        <v>Paul Fitzgerald</v>
      </c>
      <c r="C21" s="60">
        <f>'Scores and stats'!RB21</f>
        <v>20</v>
      </c>
      <c r="D21" s="57"/>
      <c r="E21" s="180" t="str">
        <v>Tom Burton</v>
      </c>
      <c r="F21" s="181">
        <v>19</v>
      </c>
    </row>
    <row r="22" spans="2:6" ht="12" x14ac:dyDescent="0.2">
      <c r="B22" s="57" t="str">
        <f>'Name List'!B22</f>
        <v>Ben Fleet</v>
      </c>
      <c r="C22" s="60">
        <f>'Scores and stats'!RB22</f>
        <v>18</v>
      </c>
      <c r="D22" s="61"/>
      <c r="E22" s="180" t="str">
        <v>Jordan Hall</v>
      </c>
      <c r="F22" s="181">
        <v>19</v>
      </c>
    </row>
    <row r="23" spans="2:6" ht="12" x14ac:dyDescent="0.2">
      <c r="B23" s="57" t="str">
        <f>'Name List'!B23</f>
        <v>Mike Forrest</v>
      </c>
      <c r="C23" s="60">
        <f>'Scores and stats'!RB23</f>
        <v>20</v>
      </c>
      <c r="D23" s="57"/>
      <c r="E23" s="180" t="str">
        <v>Andy Johnson</v>
      </c>
      <c r="F23" s="181">
        <v>19</v>
      </c>
    </row>
    <row r="24" spans="2:6" ht="12" x14ac:dyDescent="0.2">
      <c r="B24" s="57" t="str">
        <f>'Name List'!B24</f>
        <v>Tony Forsyth-James</v>
      </c>
      <c r="C24" s="60">
        <f>'Scores and stats'!RB24</f>
        <v>23</v>
      </c>
      <c r="D24" s="57"/>
      <c r="E24" s="180" t="str">
        <v>Ryan Vaughan</v>
      </c>
      <c r="F24" s="181">
        <v>19</v>
      </c>
    </row>
    <row r="25" spans="2:6" ht="12" x14ac:dyDescent="0.2">
      <c r="B25" s="57" t="str">
        <f>'Name List'!B25</f>
        <v>Archie Fraser</v>
      </c>
      <c r="C25" s="60">
        <f>'Scores and stats'!RB25</f>
        <v>21</v>
      </c>
      <c r="D25" s="57"/>
      <c r="E25" s="180" t="str">
        <v>George Clarke</v>
      </c>
      <c r="F25" s="181">
        <v>18</v>
      </c>
    </row>
    <row r="26" spans="2:6" ht="12" x14ac:dyDescent="0.2">
      <c r="B26" s="57" t="str">
        <f>'Name List'!B26</f>
        <v>Ross Fraser</v>
      </c>
      <c r="C26" s="60">
        <f>'Scores and stats'!RB26</f>
        <v>15</v>
      </c>
      <c r="D26" s="57"/>
      <c r="E26" s="180" t="str">
        <v>Paul Clarke</v>
      </c>
      <c r="F26" s="181">
        <v>18</v>
      </c>
    </row>
    <row r="27" spans="2:6" ht="12" x14ac:dyDescent="0.2">
      <c r="B27" s="57" t="str">
        <f>'Name List'!B27</f>
        <v>Nick Garner</v>
      </c>
      <c r="C27" s="60">
        <f>'Scores and stats'!RB27</f>
        <v>16</v>
      </c>
      <c r="D27" s="61"/>
      <c r="E27" s="180" t="str">
        <v>James Dunn</v>
      </c>
      <c r="F27" s="181">
        <v>18</v>
      </c>
    </row>
    <row r="28" spans="2:6" ht="12" x14ac:dyDescent="0.2">
      <c r="B28" s="57" t="str">
        <f>'Name List'!B28</f>
        <v>Stuart Gay</v>
      </c>
      <c r="C28" s="60">
        <f>'Scores and stats'!RB28</f>
        <v>0</v>
      </c>
      <c r="D28" s="57"/>
      <c r="E28" s="180" t="str">
        <v>Ben Fleet</v>
      </c>
      <c r="F28" s="181">
        <v>18</v>
      </c>
    </row>
    <row r="29" spans="2:6" ht="12" x14ac:dyDescent="0.2">
      <c r="B29" s="57" t="str">
        <f>'Name List'!B29</f>
        <v>Jordan Hall</v>
      </c>
      <c r="C29" s="60">
        <f>'Scores and stats'!RB29</f>
        <v>19</v>
      </c>
      <c r="D29" s="61"/>
      <c r="E29" s="180" t="str">
        <v>Dickie Moxham</v>
      </c>
      <c r="F29" s="181">
        <v>18</v>
      </c>
    </row>
    <row r="30" spans="2:6" ht="12" x14ac:dyDescent="0.2">
      <c r="B30" s="57" t="str">
        <f>'Name List'!B30</f>
        <v>Gary Hall</v>
      </c>
      <c r="C30" s="60">
        <f>'Scores and stats'!RB30</f>
        <v>0</v>
      </c>
      <c r="D30" s="57"/>
      <c r="E30" s="180" t="str">
        <v>Chris Smith</v>
      </c>
      <c r="F30" s="181">
        <v>18</v>
      </c>
    </row>
    <row r="31" spans="2:6" ht="12" x14ac:dyDescent="0.2">
      <c r="B31" s="57" t="str">
        <f>'Name List'!B31</f>
        <v>Anthony Harris</v>
      </c>
      <c r="C31" s="60">
        <f>'Scores and stats'!RB31</f>
        <v>20</v>
      </c>
      <c r="D31" s="57"/>
      <c r="E31" s="180" t="str">
        <v>Dan Thomas</v>
      </c>
      <c r="F31" s="181">
        <v>18</v>
      </c>
    </row>
    <row r="32" spans="2:6" ht="12" x14ac:dyDescent="0.2">
      <c r="B32" s="57" t="str">
        <f>'Name List'!B32</f>
        <v>Neil Hart</v>
      </c>
      <c r="C32" s="60">
        <f>'Scores and stats'!RB32</f>
        <v>20</v>
      </c>
      <c r="D32" s="57"/>
      <c r="E32" s="180" t="str">
        <v>Russell Turner</v>
      </c>
      <c r="F32" s="181">
        <v>18</v>
      </c>
    </row>
    <row r="33" spans="2:6" ht="12" x14ac:dyDescent="0.2">
      <c r="B33" s="57" t="str">
        <f>'Name List'!B33</f>
        <v>Tony Hearson</v>
      </c>
      <c r="C33" s="60">
        <f>'Scores and stats'!RB33</f>
        <v>0</v>
      </c>
      <c r="D33" s="57"/>
      <c r="E33" s="180" t="str">
        <v>Joe Hooper</v>
      </c>
      <c r="F33" s="181">
        <v>18</v>
      </c>
    </row>
    <row r="34" spans="2:6" ht="12" x14ac:dyDescent="0.2">
      <c r="B34" s="57" t="str">
        <f>'Name List'!B34</f>
        <v>David Hilton</v>
      </c>
      <c r="C34" s="60">
        <f>'Scores and stats'!RB34</f>
        <v>13</v>
      </c>
      <c r="D34" s="57"/>
      <c r="E34" s="180" t="str">
        <v>Harley Bishop</v>
      </c>
      <c r="F34" s="181">
        <v>17</v>
      </c>
    </row>
    <row r="35" spans="2:6" ht="12" x14ac:dyDescent="0.2">
      <c r="B35" s="57" t="str">
        <f>'Name List'!B35</f>
        <v>Eoghan Hilton</v>
      </c>
      <c r="C35" s="60">
        <f>'Scores and stats'!RB35</f>
        <v>17</v>
      </c>
      <c r="D35" s="57"/>
      <c r="E35" s="180" t="str">
        <v>Mike Chubb</v>
      </c>
      <c r="F35" s="181">
        <v>17</v>
      </c>
    </row>
    <row r="36" spans="2:6" ht="12" x14ac:dyDescent="0.2">
      <c r="B36" s="57" t="str">
        <f>'Name List'!B36</f>
        <v>Martin Holder</v>
      </c>
      <c r="C36" s="60">
        <f>'Scores and stats'!RB36</f>
        <v>0</v>
      </c>
      <c r="D36" s="57"/>
      <c r="E36" s="180" t="str">
        <v>Eoghan Hilton</v>
      </c>
      <c r="F36" s="181">
        <v>17</v>
      </c>
    </row>
    <row r="37" spans="2:6" ht="12" x14ac:dyDescent="0.2">
      <c r="B37" s="57" t="str">
        <f>'Name List'!B37</f>
        <v>Justin Hunt</v>
      </c>
      <c r="C37" s="60">
        <f>'Scores and stats'!RB37</f>
        <v>23</v>
      </c>
      <c r="D37" s="57"/>
      <c r="E37" s="180" t="str">
        <v>Edward Money</v>
      </c>
      <c r="F37" s="181">
        <v>17</v>
      </c>
    </row>
    <row r="38" spans="2:6" ht="12" x14ac:dyDescent="0.2">
      <c r="B38" s="57" t="str">
        <f>'Name List'!B38</f>
        <v>Mark Hutchinson</v>
      </c>
      <c r="C38" s="60">
        <f>'Scores and stats'!RB38</f>
        <v>0</v>
      </c>
      <c r="D38" s="57"/>
      <c r="E38" s="180" t="str">
        <v>Finn Wheeler</v>
      </c>
      <c r="F38" s="181">
        <v>17</v>
      </c>
    </row>
    <row r="39" spans="2:6" ht="12" x14ac:dyDescent="0.2">
      <c r="B39" s="57" t="str">
        <f>'Name List'!B39</f>
        <v>Andy Johnson</v>
      </c>
      <c r="C39" s="60">
        <f>'Scores and stats'!RB39</f>
        <v>19</v>
      </c>
      <c r="D39" s="57"/>
      <c r="E39" s="180" t="str">
        <v>Dominic Coughlin</v>
      </c>
      <c r="F39" s="181">
        <v>16</v>
      </c>
    </row>
    <row r="40" spans="2:6" ht="12" x14ac:dyDescent="0.2">
      <c r="B40" s="57" t="str">
        <f>'Name List'!B40</f>
        <v>Oli Lloyd</v>
      </c>
      <c r="C40" s="60">
        <f>'Scores and stats'!RB40</f>
        <v>14</v>
      </c>
      <c r="D40" s="57"/>
      <c r="E40" s="180" t="str">
        <v>Nick Garner</v>
      </c>
      <c r="F40" s="181">
        <v>16</v>
      </c>
    </row>
    <row r="41" spans="2:6" ht="12" x14ac:dyDescent="0.2">
      <c r="B41" s="57" t="str">
        <f>'Name List'!B41</f>
        <v>Andy Lucey</v>
      </c>
      <c r="C41" s="60">
        <f>'Scores and stats'!RB41</f>
        <v>0</v>
      </c>
      <c r="D41" s="57"/>
      <c r="E41" s="180" t="str">
        <v>Steve Wheeler</v>
      </c>
      <c r="F41" s="181">
        <v>16</v>
      </c>
    </row>
    <row r="42" spans="2:6" ht="12" x14ac:dyDescent="0.2">
      <c r="B42" s="57" t="str">
        <f>'Name List'!B42</f>
        <v>Paul Martin</v>
      </c>
      <c r="C42" s="60">
        <f>'Scores and stats'!RB42</f>
        <v>20</v>
      </c>
      <c r="D42" s="61"/>
      <c r="E42" s="180" t="str">
        <v>Danny Jones</v>
      </c>
      <c r="F42" s="181">
        <v>16</v>
      </c>
    </row>
    <row r="43" spans="2:6" ht="12" x14ac:dyDescent="0.2">
      <c r="B43" s="57" t="str">
        <f>'Name List'!B43</f>
        <v>Edward Money</v>
      </c>
      <c r="C43" s="60">
        <f>'Scores and stats'!RB43</f>
        <v>17</v>
      </c>
      <c r="D43" s="61"/>
      <c r="E43" s="180" t="str">
        <v>Gareth Davies</v>
      </c>
      <c r="F43" s="181">
        <v>15</v>
      </c>
    </row>
    <row r="44" spans="2:6" ht="12" x14ac:dyDescent="0.2">
      <c r="B44" s="57" t="str">
        <f>'Name List'!B44</f>
        <v>Dickie Moxham</v>
      </c>
      <c r="C44" s="60">
        <f>'Scores and stats'!RB44</f>
        <v>18</v>
      </c>
      <c r="D44" s="57"/>
      <c r="E44" s="180" t="str">
        <v>Ross Fraser</v>
      </c>
      <c r="F44" s="181">
        <v>15</v>
      </c>
    </row>
    <row r="45" spans="2:6" ht="12" x14ac:dyDescent="0.2">
      <c r="B45" s="57" t="str">
        <f>'Name List'!B45</f>
        <v>Dave Randall</v>
      </c>
      <c r="C45" s="60">
        <f>'Scores and stats'!RB45</f>
        <v>21</v>
      </c>
      <c r="D45" s="57"/>
      <c r="E45" s="180" t="str">
        <v>Terry Walker</v>
      </c>
      <c r="F45" s="181">
        <v>15</v>
      </c>
    </row>
    <row r="46" spans="2:6" ht="12" x14ac:dyDescent="0.2">
      <c r="B46" s="57" t="str">
        <f>'Name List'!B46</f>
        <v>Arron Rutherford</v>
      </c>
      <c r="C46" s="60">
        <f>'Scores and stats'!RB46</f>
        <v>14</v>
      </c>
      <c r="D46" s="57"/>
      <c r="E46" s="180" t="str">
        <v>Sam Cochrane</v>
      </c>
      <c r="F46" s="181">
        <v>15</v>
      </c>
    </row>
    <row r="47" spans="2:6" ht="12" x14ac:dyDescent="0.2">
      <c r="B47" s="57" t="str">
        <f>'Name List'!B47</f>
        <v>Terry Shoker</v>
      </c>
      <c r="C47" s="60">
        <f>'Scores and stats'!RB47</f>
        <v>0</v>
      </c>
      <c r="D47" s="57"/>
      <c r="E47" s="180" t="str">
        <v>Shaun Alexander</v>
      </c>
      <c r="F47" s="181">
        <v>15</v>
      </c>
    </row>
    <row r="48" spans="2:6" ht="12" x14ac:dyDescent="0.2">
      <c r="B48" s="57" t="str">
        <f>'Name List'!B48</f>
        <v>Chris Smith</v>
      </c>
      <c r="C48" s="60">
        <f>'Scores and stats'!RB48</f>
        <v>18</v>
      </c>
      <c r="D48" s="61"/>
      <c r="E48" s="180" t="str">
        <v>George Burton</v>
      </c>
      <c r="F48" s="181">
        <v>14</v>
      </c>
    </row>
    <row r="49" spans="2:6" ht="12" x14ac:dyDescent="0.2">
      <c r="B49" s="57" t="str">
        <f>'Name List'!B49</f>
        <v>Justin Spencer</v>
      </c>
      <c r="C49" s="60">
        <f>'Scores and stats'!RB49</f>
        <v>0</v>
      </c>
      <c r="D49" s="57"/>
      <c r="E49" s="180" t="str">
        <v>Oli Lloyd</v>
      </c>
      <c r="F49" s="181">
        <v>14</v>
      </c>
    </row>
    <row r="50" spans="2:6" ht="12" x14ac:dyDescent="0.2">
      <c r="B50" s="57" t="str">
        <f>'Name List'!B50</f>
        <v>Jake Sprosen</v>
      </c>
      <c r="C50" s="60">
        <f>'Scores and stats'!RB50</f>
        <v>0</v>
      </c>
      <c r="D50" s="57"/>
      <c r="E50" s="180" t="str">
        <v>Arron Rutherford</v>
      </c>
      <c r="F50" s="181">
        <v>14</v>
      </c>
    </row>
    <row r="51" spans="2:6" ht="12" x14ac:dyDescent="0.2">
      <c r="B51" s="57" t="str">
        <f>'Name List'!B51</f>
        <v>Tosh Sprosen</v>
      </c>
      <c r="C51" s="60">
        <f>'Scores and stats'!RB51</f>
        <v>0</v>
      </c>
      <c r="D51" s="57"/>
      <c r="E51" s="180" t="str">
        <v>Jonathan Kanareck</v>
      </c>
      <c r="F51" s="181">
        <v>14</v>
      </c>
    </row>
    <row r="52" spans="2:6" ht="12" x14ac:dyDescent="0.2">
      <c r="B52" s="57" t="str">
        <f>'Name List'!B52</f>
        <v>Bill Sutton</v>
      </c>
      <c r="C52" s="60">
        <f>'Scores and stats'!RB52</f>
        <v>0</v>
      </c>
      <c r="D52" s="57"/>
      <c r="E52" s="180" t="str">
        <v>Chris Burroughs</v>
      </c>
      <c r="F52" s="181">
        <v>13</v>
      </c>
    </row>
    <row r="53" spans="2:6" ht="12" x14ac:dyDescent="0.2">
      <c r="B53" s="57" t="str">
        <f>'Name List'!B53</f>
        <v>Dan Thomas</v>
      </c>
      <c r="C53" s="60">
        <f>'Scores and stats'!RB53</f>
        <v>18</v>
      </c>
      <c r="D53" s="57"/>
      <c r="E53" s="180" t="str">
        <v>David Hilton</v>
      </c>
      <c r="F53" s="181">
        <v>13</v>
      </c>
    </row>
    <row r="54" spans="2:6" ht="12" x14ac:dyDescent="0.2">
      <c r="B54" s="57" t="str">
        <f>'Name List'!B54</f>
        <v>Andy Thompson</v>
      </c>
      <c r="C54" s="60">
        <f>'Scores and stats'!RB54</f>
        <v>0</v>
      </c>
      <c r="D54" s="57"/>
      <c r="E54" s="180" t="str">
        <v>Dave Woodget</v>
      </c>
      <c r="F54" s="181">
        <v>13</v>
      </c>
    </row>
    <row r="55" spans="2:6" ht="12" x14ac:dyDescent="0.2">
      <c r="B55" s="57" t="str">
        <f>'Name List'!B55</f>
        <v>Rory Thompson</v>
      </c>
      <c r="C55" s="60">
        <f>'Scores and stats'!RB55</f>
        <v>0</v>
      </c>
      <c r="D55" s="57"/>
      <c r="E55" s="180" t="str">
        <v>Kyle Deane</v>
      </c>
      <c r="F55" s="181">
        <v>12</v>
      </c>
    </row>
    <row r="56" spans="2:6" ht="12" x14ac:dyDescent="0.2">
      <c r="B56" s="57" t="str">
        <f>'Name List'!B56</f>
        <v>Sonny Thompson</v>
      </c>
      <c r="C56" s="60">
        <f>'Scores and stats'!RB56</f>
        <v>0</v>
      </c>
      <c r="D56" s="57"/>
      <c r="E56" s="180" t="str">
        <v>Oliver Proud</v>
      </c>
      <c r="F56" s="181">
        <v>5</v>
      </c>
    </row>
    <row r="57" spans="2:6" ht="12" x14ac:dyDescent="0.2">
      <c r="B57" s="57" t="str">
        <f>'Name List'!B57</f>
        <v>Kevin Tribley</v>
      </c>
      <c r="C57" s="60">
        <f>'Scores and stats'!RB57</f>
        <v>20</v>
      </c>
      <c r="D57" s="57"/>
      <c r="E57" s="180" t="str">
        <v>Stuart Anderson</v>
      </c>
      <c r="F57" s="181">
        <v>0</v>
      </c>
    </row>
    <row r="58" spans="2:6" ht="12" x14ac:dyDescent="0.2">
      <c r="B58" s="57" t="str">
        <f>'Name List'!B58</f>
        <v>Russell Turner</v>
      </c>
      <c r="C58" s="60">
        <f>'Scores and stats'!RB58</f>
        <v>18</v>
      </c>
      <c r="D58" s="57"/>
      <c r="E58" s="180" t="str">
        <v>Peter Donovan</v>
      </c>
      <c r="F58" s="181">
        <v>0</v>
      </c>
    </row>
    <row r="59" spans="2:6" ht="12" x14ac:dyDescent="0.2">
      <c r="B59" s="57" t="str">
        <f>'Name List'!B59</f>
        <v>Peter Vallely</v>
      </c>
      <c r="C59" s="60">
        <f>'Scores and stats'!RB59</f>
        <v>21</v>
      </c>
      <c r="D59" s="57"/>
      <c r="E59" s="180" t="str">
        <v>Gordon Fielding</v>
      </c>
      <c r="F59" s="181">
        <v>0</v>
      </c>
    </row>
    <row r="60" spans="2:6" ht="12" x14ac:dyDescent="0.2">
      <c r="B60" s="57" t="str">
        <f>'Name List'!B60</f>
        <v>Ryan Vaughan</v>
      </c>
      <c r="C60" s="60">
        <f>'Scores and stats'!RB60</f>
        <v>19</v>
      </c>
      <c r="D60" s="57"/>
      <c r="E60" s="180" t="str">
        <v>Stuart Gay</v>
      </c>
      <c r="F60" s="181">
        <v>0</v>
      </c>
    </row>
    <row r="61" spans="2:6" ht="12" x14ac:dyDescent="0.2">
      <c r="B61" s="57" t="str">
        <f>'Name List'!B61</f>
        <v>Jason Wale</v>
      </c>
      <c r="C61" s="60">
        <f>'Scores and stats'!RB61</f>
        <v>23</v>
      </c>
      <c r="D61" s="57"/>
      <c r="E61" s="180" t="str">
        <v>Gary Hall</v>
      </c>
      <c r="F61" s="181">
        <v>0</v>
      </c>
    </row>
    <row r="62" spans="2:6" ht="12" x14ac:dyDescent="0.2">
      <c r="B62" s="57" t="str">
        <f>'Name List'!B62</f>
        <v>Terry Walker</v>
      </c>
      <c r="C62" s="60">
        <f>'Scores and stats'!RB62</f>
        <v>15</v>
      </c>
      <c r="D62" s="57"/>
      <c r="E62" s="180" t="str">
        <v>Tony Hearson</v>
      </c>
      <c r="F62" s="181">
        <v>0</v>
      </c>
    </row>
    <row r="63" spans="2:6" ht="12" x14ac:dyDescent="0.2">
      <c r="B63" s="57" t="str">
        <f>'Name List'!B63</f>
        <v>Finn Wheeler</v>
      </c>
      <c r="C63" s="60">
        <f>'Scores and stats'!RB63</f>
        <v>17</v>
      </c>
      <c r="D63" s="57"/>
      <c r="E63" s="180" t="str">
        <v>Martin Holder</v>
      </c>
      <c r="F63" s="181">
        <v>0</v>
      </c>
    </row>
    <row r="64" spans="2:6" ht="12" x14ac:dyDescent="0.2">
      <c r="B64" s="57" t="str">
        <f>'Name List'!B64</f>
        <v>Steve Wheeler</v>
      </c>
      <c r="C64" s="60">
        <f>'Scores and stats'!RB64</f>
        <v>16</v>
      </c>
      <c r="D64" s="57"/>
      <c r="E64" s="180" t="str">
        <v>Mark Hutchinson</v>
      </c>
      <c r="F64" s="181">
        <v>0</v>
      </c>
    </row>
    <row r="65" spans="2:6" ht="12" x14ac:dyDescent="0.2">
      <c r="B65" s="57" t="str">
        <f>'Name List'!B65</f>
        <v>Brad Whitehead</v>
      </c>
      <c r="C65" s="60">
        <f>'Scores and stats'!RB65</f>
        <v>22</v>
      </c>
      <c r="D65" s="57"/>
      <c r="E65" s="180" t="str">
        <v>Andy Lucey</v>
      </c>
      <c r="F65" s="181">
        <v>0</v>
      </c>
    </row>
    <row r="66" spans="2:6" ht="12" x14ac:dyDescent="0.2">
      <c r="B66" s="57" t="str">
        <f>'Name List'!B66</f>
        <v>Dave Woodget</v>
      </c>
      <c r="C66" s="60">
        <f>'Scores and stats'!RB66</f>
        <v>13</v>
      </c>
      <c r="D66" s="57"/>
      <c r="E66" s="180" t="str">
        <v>Terry Shoker</v>
      </c>
      <c r="F66" s="181">
        <v>0</v>
      </c>
    </row>
    <row r="67" spans="2:6" ht="12" x14ac:dyDescent="0.2">
      <c r="B67" s="57" t="str">
        <f>'Name List'!B67</f>
        <v>Jonathan Kanareck</v>
      </c>
      <c r="C67" s="60">
        <f>'Scores and stats'!RB67</f>
        <v>14</v>
      </c>
      <c r="D67" s="57"/>
      <c r="E67" s="180" t="str">
        <v>Justin Spencer</v>
      </c>
      <c r="F67" s="181">
        <v>0</v>
      </c>
    </row>
    <row r="68" spans="2:6" ht="12" x14ac:dyDescent="0.2">
      <c r="B68" s="57" t="str">
        <f>'Name List'!B68</f>
        <v>Oliver Proud</v>
      </c>
      <c r="C68" s="60">
        <f>'Scores and stats'!RB68</f>
        <v>5</v>
      </c>
      <c r="E68" s="180" t="str">
        <v>Jake Sprosen</v>
      </c>
      <c r="F68" s="181">
        <v>0</v>
      </c>
    </row>
    <row r="69" spans="2:6" ht="12" x14ac:dyDescent="0.2">
      <c r="B69" s="57" t="str">
        <f>'Name List'!B69</f>
        <v>Joe Hooper</v>
      </c>
      <c r="C69" s="60">
        <f>'Scores and stats'!RB69</f>
        <v>18</v>
      </c>
      <c r="E69" s="180" t="str">
        <v>Tosh Sprosen</v>
      </c>
      <c r="F69" s="181">
        <v>0</v>
      </c>
    </row>
    <row r="70" spans="2:6" ht="12" x14ac:dyDescent="0.2">
      <c r="B70" s="57" t="str">
        <f>'Name List'!B70</f>
        <v>Danny Jones</v>
      </c>
      <c r="C70" s="60">
        <f>'Scores and stats'!RB70</f>
        <v>16</v>
      </c>
      <c r="E70" s="180" t="str">
        <v>Bill Sutton</v>
      </c>
      <c r="F70" s="181">
        <v>0</v>
      </c>
    </row>
    <row r="71" spans="2:6" ht="12" x14ac:dyDescent="0.2">
      <c r="B71" s="57" t="str">
        <f>'Name List'!B71</f>
        <v>Liam Anderson</v>
      </c>
      <c r="C71" s="60">
        <f>'Scores and stats'!RB71</f>
        <v>0</v>
      </c>
      <c r="E71" s="180" t="str">
        <v>Andy Thompson</v>
      </c>
      <c r="F71" s="181">
        <v>0</v>
      </c>
    </row>
    <row r="72" spans="2:6" ht="12" x14ac:dyDescent="0.2">
      <c r="B72" s="57" t="str">
        <f>'Name List'!B72</f>
        <v>Sam Cochrane</v>
      </c>
      <c r="C72" s="60">
        <f>'Scores and stats'!RB72</f>
        <v>15</v>
      </c>
      <c r="E72" s="180" t="str">
        <v>Rory Thompson</v>
      </c>
      <c r="F72" s="181">
        <v>0</v>
      </c>
    </row>
    <row r="73" spans="2:6" ht="12" x14ac:dyDescent="0.2">
      <c r="B73" s="57" t="str">
        <f>'Name List'!B73</f>
        <v>Shaun Alexander</v>
      </c>
      <c r="C73" s="60">
        <f>'Scores and stats'!RB73</f>
        <v>15</v>
      </c>
      <c r="E73" s="180" t="str">
        <v>Sonny Thompson</v>
      </c>
      <c r="F73" s="181">
        <v>0</v>
      </c>
    </row>
    <row r="74" spans="2:6" ht="12" x14ac:dyDescent="0.2">
      <c r="B74" s="57" t="str">
        <f>'Name List'!B74</f>
        <v>Kyle Deane</v>
      </c>
      <c r="C74" s="60">
        <f>'Scores and stats'!RB74</f>
        <v>12</v>
      </c>
      <c r="E74" s="180" t="str">
        <v>Liam Anderson</v>
      </c>
      <c r="F74" s="181">
        <v>0</v>
      </c>
    </row>
    <row r="75" spans="2:6" ht="12" x14ac:dyDescent="0.2">
      <c r="B75" s="57">
        <f>'Name List'!B75</f>
        <v>1</v>
      </c>
      <c r="C75" s="60">
        <f>'Scores and stats'!RB75</f>
        <v>0</v>
      </c>
      <c r="E75" s="180">
        <v>1</v>
      </c>
      <c r="F75" s="181">
        <v>0</v>
      </c>
    </row>
    <row r="76" spans="2:6" ht="12" x14ac:dyDescent="0.2">
      <c r="B76" s="57">
        <f>'Name List'!B76</f>
        <v>2</v>
      </c>
      <c r="C76" s="60">
        <f>'Scores and stats'!RB76</f>
        <v>0</v>
      </c>
      <c r="E76" s="180">
        <v>2</v>
      </c>
      <c r="F76" s="181">
        <v>0</v>
      </c>
    </row>
    <row r="77" spans="2:6" ht="12" x14ac:dyDescent="0.2">
      <c r="B77" s="57">
        <f>'Name List'!B77</f>
        <v>3</v>
      </c>
      <c r="C77" s="60">
        <f>'Scores and stats'!RB77</f>
        <v>0</v>
      </c>
      <c r="E77" s="180">
        <v>3</v>
      </c>
      <c r="F77" s="181">
        <v>0</v>
      </c>
    </row>
    <row r="78" spans="2:6" ht="12" x14ac:dyDescent="0.2">
      <c r="B78" s="57">
        <f>'Name List'!B78</f>
        <v>4</v>
      </c>
      <c r="C78" s="60">
        <f>'Scores and stats'!RB78</f>
        <v>0</v>
      </c>
      <c r="E78" s="180">
        <v>4</v>
      </c>
      <c r="F78" s="181">
        <v>0</v>
      </c>
    </row>
    <row r="79" spans="2:6" ht="12" x14ac:dyDescent="0.2">
      <c r="B79" s="57">
        <f>'Name List'!B79</f>
        <v>5</v>
      </c>
      <c r="C79" s="60">
        <f>'Scores and stats'!RB79</f>
        <v>0</v>
      </c>
      <c r="E79" s="180">
        <v>5</v>
      </c>
      <c r="F79" s="181">
        <v>0</v>
      </c>
    </row>
    <row r="80" spans="2:6" ht="12" x14ac:dyDescent="0.2">
      <c r="B80" s="57">
        <f>'Name List'!B80</f>
        <v>6</v>
      </c>
      <c r="C80" s="60">
        <f>'Scores and stats'!RB80</f>
        <v>0</v>
      </c>
      <c r="E80" s="180">
        <v>6</v>
      </c>
      <c r="F80" s="181">
        <v>0</v>
      </c>
    </row>
    <row r="81" spans="2:6" ht="12" x14ac:dyDescent="0.2">
      <c r="B81" s="57">
        <f>'Name List'!B81</f>
        <v>7</v>
      </c>
      <c r="C81" s="60">
        <f>'Scores and stats'!RB81</f>
        <v>0</v>
      </c>
      <c r="E81" s="180">
        <v>7</v>
      </c>
      <c r="F81" s="181">
        <v>0</v>
      </c>
    </row>
    <row r="82" spans="2:6" ht="12" x14ac:dyDescent="0.2">
      <c r="B82" s="57">
        <f>'Name List'!B82</f>
        <v>8</v>
      </c>
      <c r="C82" s="60">
        <f>'Scores and stats'!RB82</f>
        <v>0</v>
      </c>
      <c r="E82" s="180">
        <v>8</v>
      </c>
      <c r="F82" s="181">
        <v>0</v>
      </c>
    </row>
    <row r="83" spans="2:6" ht="12" x14ac:dyDescent="0.2">
      <c r="B83" s="57">
        <f>'Name List'!B83</f>
        <v>9</v>
      </c>
      <c r="C83" s="60">
        <f>'Scores and stats'!RB83</f>
        <v>0</v>
      </c>
      <c r="E83" s="180">
        <v>9</v>
      </c>
      <c r="F83" s="181">
        <v>0</v>
      </c>
    </row>
    <row r="84" spans="2:6" ht="12" x14ac:dyDescent="0.2">
      <c r="B84" s="57">
        <f>'Name List'!B84</f>
        <v>10</v>
      </c>
      <c r="C84" s="60">
        <f>'Scores and stats'!RB84</f>
        <v>0</v>
      </c>
      <c r="E84" s="180">
        <v>10</v>
      </c>
      <c r="F84" s="181">
        <v>0</v>
      </c>
    </row>
    <row r="85" spans="2:6" ht="12" x14ac:dyDescent="0.2">
      <c r="B85" s="57">
        <f>'Name List'!B85</f>
        <v>11</v>
      </c>
      <c r="C85" s="60">
        <f>'Scores and stats'!RB85</f>
        <v>0</v>
      </c>
      <c r="E85" s="180">
        <v>11</v>
      </c>
      <c r="F85" s="181">
        <v>0</v>
      </c>
    </row>
    <row r="86" spans="2:6" ht="12" x14ac:dyDescent="0.2">
      <c r="B86" s="57">
        <f>'Name List'!B86</f>
        <v>12</v>
      </c>
      <c r="C86" s="60">
        <f>'Scores and stats'!RB86</f>
        <v>0</v>
      </c>
      <c r="E86" s="180">
        <v>12</v>
      </c>
      <c r="F86" s="181">
        <v>0</v>
      </c>
    </row>
    <row r="87" spans="2:6" ht="12" x14ac:dyDescent="0.2">
      <c r="B87" s="57">
        <f>'Name List'!B87</f>
        <v>13</v>
      </c>
      <c r="C87" s="60">
        <f>'Scores and stats'!RB87</f>
        <v>0</v>
      </c>
      <c r="E87" s="180">
        <v>13</v>
      </c>
      <c r="F87" s="181">
        <v>0</v>
      </c>
    </row>
    <row r="88" spans="2:6" ht="12" x14ac:dyDescent="0.2">
      <c r="B88" s="57">
        <f>'Name List'!B88</f>
        <v>14</v>
      </c>
      <c r="C88" s="60">
        <f>'Scores and stats'!RB88</f>
        <v>0</v>
      </c>
      <c r="E88" s="180">
        <v>14</v>
      </c>
      <c r="F88" s="181">
        <v>0</v>
      </c>
    </row>
    <row r="89" spans="2:6" ht="12" x14ac:dyDescent="0.2">
      <c r="B89" s="57">
        <f>'Name List'!B89</f>
        <v>15</v>
      </c>
      <c r="C89" s="60">
        <f>'Scores and stats'!RB89</f>
        <v>0</v>
      </c>
      <c r="E89" s="180">
        <v>15</v>
      </c>
      <c r="F89" s="181">
        <v>0</v>
      </c>
    </row>
    <row r="90" spans="2:6" ht="12" x14ac:dyDescent="0.2">
      <c r="B90" s="57">
        <f>'Name List'!B90</f>
        <v>16</v>
      </c>
      <c r="C90" s="60">
        <f>'Scores and stats'!RB90</f>
        <v>0</v>
      </c>
      <c r="E90" s="180">
        <v>16</v>
      </c>
      <c r="F90" s="181">
        <v>0</v>
      </c>
    </row>
    <row r="91" spans="2:6" ht="12" x14ac:dyDescent="0.2">
      <c r="B91" s="57">
        <f>'Name List'!B91</f>
        <v>17</v>
      </c>
      <c r="C91" s="60">
        <f>'Scores and stats'!RB91</f>
        <v>0</v>
      </c>
      <c r="E91" s="321">
        <v>17</v>
      </c>
      <c r="F91" s="323">
        <v>0</v>
      </c>
    </row>
    <row r="92" spans="2:6" ht="12" x14ac:dyDescent="0.2">
      <c r="B92" s="57">
        <f>'Name List'!B92</f>
        <v>18</v>
      </c>
      <c r="C92" s="60">
        <f>'Scores and stats'!RB92</f>
        <v>0</v>
      </c>
      <c r="E92" s="321">
        <v>18</v>
      </c>
      <c r="F92" s="323">
        <v>0</v>
      </c>
    </row>
    <row r="93" spans="2:6" ht="12" x14ac:dyDescent="0.2">
      <c r="B93" s="57">
        <f>'Name List'!B93</f>
        <v>19</v>
      </c>
      <c r="C93" s="60">
        <f>'Scores and stats'!RB93</f>
        <v>0</v>
      </c>
      <c r="E93" s="321">
        <v>19</v>
      </c>
      <c r="F93" s="323">
        <v>0</v>
      </c>
    </row>
    <row r="94" spans="2:6" ht="12" x14ac:dyDescent="0.2">
      <c r="B94" s="57">
        <f>'Name List'!B94</f>
        <v>20</v>
      </c>
      <c r="C94" s="60">
        <f>'Scores and stats'!RB94</f>
        <v>0</v>
      </c>
      <c r="E94" s="321">
        <v>20</v>
      </c>
      <c r="F94" s="323">
        <v>0</v>
      </c>
    </row>
    <row r="95" spans="2:6" ht="12" x14ac:dyDescent="0.2">
      <c r="B95" s="57">
        <f>'Name List'!B95</f>
        <v>21</v>
      </c>
      <c r="C95" s="60">
        <f>'Scores and stats'!RB95</f>
        <v>0</v>
      </c>
      <c r="E95" s="321">
        <v>21</v>
      </c>
      <c r="F95" s="323">
        <v>0</v>
      </c>
    </row>
    <row r="96" spans="2:6" ht="12" x14ac:dyDescent="0.2">
      <c r="B96" s="57">
        <f>'Name List'!B96</f>
        <v>22</v>
      </c>
      <c r="C96" s="60">
        <f>'Scores and stats'!RB96</f>
        <v>0</v>
      </c>
      <c r="E96" s="321">
        <v>22</v>
      </c>
      <c r="F96" s="323">
        <v>0</v>
      </c>
    </row>
    <row r="97" spans="2:6" ht="12" x14ac:dyDescent="0.2">
      <c r="B97" s="57">
        <f>'Name List'!B97</f>
        <v>23</v>
      </c>
      <c r="C97" s="60">
        <f>'Scores and stats'!RB97</f>
        <v>0</v>
      </c>
      <c r="E97" s="321">
        <v>23</v>
      </c>
      <c r="F97" s="323">
        <v>0</v>
      </c>
    </row>
    <row r="98" spans="2:6" ht="12" x14ac:dyDescent="0.2">
      <c r="B98" s="57">
        <f>'Name List'!B98</f>
        <v>24</v>
      </c>
      <c r="C98" s="60">
        <f>'Scores and stats'!RB98</f>
        <v>0</v>
      </c>
      <c r="E98" s="321">
        <v>24</v>
      </c>
      <c r="F98" s="323">
        <v>0</v>
      </c>
    </row>
    <row r="99" spans="2:6" ht="12" x14ac:dyDescent="0.2">
      <c r="B99" s="57">
        <f>'Name List'!B99</f>
        <v>25</v>
      </c>
      <c r="C99" s="60">
        <f>'Scores and stats'!RB99</f>
        <v>0</v>
      </c>
      <c r="E99" s="321">
        <v>25</v>
      </c>
      <c r="F99" s="323">
        <v>0</v>
      </c>
    </row>
    <row r="100" spans="2:6" ht="12" x14ac:dyDescent="0.2">
      <c r="B100" s="57">
        <f>'Name List'!B100</f>
        <v>26</v>
      </c>
      <c r="C100" s="60">
        <f>'Scores and stats'!RB100</f>
        <v>0</v>
      </c>
      <c r="E100" s="321">
        <v>26</v>
      </c>
      <c r="F100" s="323">
        <v>0</v>
      </c>
    </row>
    <row r="101" spans="2:6" ht="12" x14ac:dyDescent="0.2">
      <c r="B101" s="57">
        <f>'Name List'!B101</f>
        <v>27</v>
      </c>
      <c r="C101" s="60">
        <f>'Scores and stats'!RB101</f>
        <v>0</v>
      </c>
      <c r="E101" s="321">
        <v>27</v>
      </c>
      <c r="F101" s="323">
        <v>0</v>
      </c>
    </row>
    <row r="102" spans="2:6" ht="12" x14ac:dyDescent="0.2">
      <c r="B102" s="57">
        <f>'Name List'!B102</f>
        <v>28</v>
      </c>
      <c r="C102" s="60">
        <f>'Scores and stats'!RB102</f>
        <v>0</v>
      </c>
      <c r="E102" s="321">
        <v>28</v>
      </c>
      <c r="F102" s="323">
        <v>0</v>
      </c>
    </row>
    <row r="103" spans="2:6" ht="12" x14ac:dyDescent="0.2">
      <c r="B103" s="57">
        <f>'Name List'!B103</f>
        <v>29</v>
      </c>
      <c r="C103" s="60">
        <f>'Scores and stats'!RB103</f>
        <v>0</v>
      </c>
      <c r="E103" s="321">
        <v>29</v>
      </c>
      <c r="F103" s="323">
        <v>0</v>
      </c>
    </row>
    <row r="104" spans="2:6" ht="12" x14ac:dyDescent="0.2">
      <c r="B104" s="57">
        <f>'Name List'!B104</f>
        <v>30</v>
      </c>
      <c r="C104" s="60">
        <f>'Scores and stats'!RB104</f>
        <v>0</v>
      </c>
      <c r="E104" s="321">
        <v>30</v>
      </c>
      <c r="F104" s="323">
        <v>0</v>
      </c>
    </row>
    <row r="105" spans="2:6" ht="12" x14ac:dyDescent="0.2">
      <c r="B105" s="57">
        <f>'Name List'!B105</f>
        <v>31</v>
      </c>
      <c r="C105" s="60">
        <f>'Scores and stats'!RB105</f>
        <v>0</v>
      </c>
      <c r="E105" s="322">
        <v>31</v>
      </c>
      <c r="F105" s="324">
        <v>0</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C03FF-148E-43A9-8F2F-D07357B5467F}">
  <dimension ref="B2:H105"/>
  <sheetViews>
    <sheetView view="pageLayout" topLeftCell="A64" workbookViewId="0">
      <selection activeCell="C90" sqref="C90"/>
    </sheetView>
  </sheetViews>
  <sheetFormatPr defaultColWidth="9.33203125" defaultRowHeight="11.25" x14ac:dyDescent="0.2"/>
  <cols>
    <col min="2" max="2" width="23.1640625" customWidth="1"/>
    <col min="3" max="3" width="17.6640625" customWidth="1"/>
    <col min="4" max="4" width="3.5" customWidth="1"/>
    <col min="5" max="5" width="25" customWidth="1"/>
  </cols>
  <sheetData>
    <row r="2" spans="2:8" ht="12" x14ac:dyDescent="0.2">
      <c r="B2" s="57"/>
      <c r="C2" s="58"/>
      <c r="D2" s="57"/>
      <c r="E2" s="59"/>
      <c r="F2" s="59"/>
    </row>
    <row r="3" spans="2:8" ht="12" x14ac:dyDescent="0.2">
      <c r="B3" s="57"/>
      <c r="C3" s="58" t="s">
        <v>149</v>
      </c>
      <c r="D3" s="58"/>
      <c r="E3" s="731" t="str">
        <f>C3</f>
        <v>Highest Swindle SS</v>
      </c>
      <c r="F3" s="732"/>
    </row>
    <row r="4" spans="2:8" ht="12" x14ac:dyDescent="0.2">
      <c r="B4" s="57"/>
      <c r="C4" s="58"/>
      <c r="D4" s="57"/>
      <c r="E4" s="180"/>
      <c r="F4" s="181"/>
    </row>
    <row r="5" spans="2:8" ht="12" x14ac:dyDescent="0.2">
      <c r="B5" s="57"/>
      <c r="C5" s="58"/>
      <c r="D5" s="57"/>
      <c r="E5" s="180"/>
      <c r="F5" s="181"/>
    </row>
    <row r="6" spans="2:8" ht="12" x14ac:dyDescent="0.2">
      <c r="B6" s="57" t="str">
        <f>'Name List'!B6</f>
        <v>Stuart Anderson</v>
      </c>
      <c r="C6" s="60">
        <f>'Scores and stats'!RC6</f>
        <v>0</v>
      </c>
      <c r="D6" s="61"/>
      <c r="E6" s="180" t="str" cm="1">
        <f t="array" ref="E6:F105">_xlfn._xlws.SORT(B6:C105,2,-1)</f>
        <v>Justin Hunt</v>
      </c>
      <c r="F6" s="181">
        <v>42</v>
      </c>
    </row>
    <row r="7" spans="2:8" ht="12" x14ac:dyDescent="0.2">
      <c r="B7" s="57" t="str">
        <f>'Name List'!B7</f>
        <v>Max Ball</v>
      </c>
      <c r="C7" s="60">
        <f>'Scores and stats'!RC7</f>
        <v>41</v>
      </c>
      <c r="D7" s="57"/>
      <c r="E7" s="180" t="str">
        <v>Max Ball</v>
      </c>
      <c r="F7" s="181">
        <v>41</v>
      </c>
    </row>
    <row r="8" spans="2:8" ht="12" x14ac:dyDescent="0.2">
      <c r="B8" s="57" t="str">
        <f>'Name List'!B8</f>
        <v>Harley Bishop</v>
      </c>
      <c r="C8" s="60">
        <f>'Scores and stats'!RC8</f>
        <v>33</v>
      </c>
      <c r="D8" s="57"/>
      <c r="E8" s="180" t="str">
        <v>Brad Whitehead</v>
      </c>
      <c r="F8" s="181">
        <v>41</v>
      </c>
    </row>
    <row r="9" spans="2:8" ht="12" x14ac:dyDescent="0.2">
      <c r="B9" s="57" t="str">
        <f>'Name List'!B9</f>
        <v>Chris Burroughs</v>
      </c>
      <c r="C9" s="60">
        <f>'Scores and stats'!RC9</f>
        <v>29</v>
      </c>
      <c r="D9" s="57"/>
      <c r="E9" s="180" t="str">
        <v>Tony Forsyth-James</v>
      </c>
      <c r="F9" s="181">
        <v>40</v>
      </c>
    </row>
    <row r="10" spans="2:8" ht="12" x14ac:dyDescent="0.2">
      <c r="B10" s="57" t="str">
        <f>'Name List'!B10</f>
        <v>George Burton</v>
      </c>
      <c r="C10" s="60">
        <f>'Scores and stats'!RC10</f>
        <v>27</v>
      </c>
      <c r="D10" s="57"/>
      <c r="E10" s="180" t="str">
        <v>Jason Wale</v>
      </c>
      <c r="F10" s="181">
        <v>40</v>
      </c>
    </row>
    <row r="11" spans="2:8" ht="12" x14ac:dyDescent="0.2">
      <c r="B11" s="57" t="str">
        <f>'Name List'!B11</f>
        <v>Tom Burton</v>
      </c>
      <c r="C11" s="60">
        <f>'Scores and stats'!RC11</f>
        <v>36</v>
      </c>
      <c r="D11" s="57"/>
      <c r="E11" s="180" t="str">
        <v>Paul Fitzgerald</v>
      </c>
      <c r="F11" s="181">
        <v>39</v>
      </c>
    </row>
    <row r="12" spans="2:8" ht="12" x14ac:dyDescent="0.2">
      <c r="B12" s="57" t="str">
        <f>'Name List'!B12</f>
        <v>Mike Chubb</v>
      </c>
      <c r="C12" s="60">
        <f>'Scores and stats'!RC12</f>
        <v>34</v>
      </c>
      <c r="D12" s="57"/>
      <c r="E12" s="180" t="str">
        <v>Dave Randall</v>
      </c>
      <c r="F12" s="181">
        <v>39</v>
      </c>
      <c r="H12" s="8"/>
    </row>
    <row r="13" spans="2:8" ht="12" x14ac:dyDescent="0.2">
      <c r="B13" s="57" t="str">
        <f>'Name List'!B13</f>
        <v>George Clarke</v>
      </c>
      <c r="C13" s="60">
        <f>'Scores and stats'!RC13</f>
        <v>35</v>
      </c>
      <c r="D13" s="57"/>
      <c r="E13" s="180" t="str">
        <v>Peter Vallely</v>
      </c>
      <c r="F13" s="181">
        <v>39</v>
      </c>
    </row>
    <row r="14" spans="2:8" ht="12" x14ac:dyDescent="0.2">
      <c r="B14" s="57" t="str">
        <f>'Name List'!B14</f>
        <v>Paul Clarke</v>
      </c>
      <c r="C14" s="60">
        <f>'Scores and stats'!RC14</f>
        <v>37</v>
      </c>
      <c r="D14" s="57"/>
      <c r="E14" s="180" t="str">
        <v>Jordan Hall</v>
      </c>
      <c r="F14" s="181">
        <v>38</v>
      </c>
    </row>
    <row r="15" spans="2:8" ht="12" x14ac:dyDescent="0.2">
      <c r="B15" s="57" t="str">
        <f>'Name List'!B15</f>
        <v>Martin Coomber</v>
      </c>
      <c r="C15" s="60">
        <f>'Scores and stats'!RC15</f>
        <v>36</v>
      </c>
      <c r="D15" s="57"/>
      <c r="E15" s="180" t="str">
        <v>Anthony Harris</v>
      </c>
      <c r="F15" s="181">
        <v>38</v>
      </c>
    </row>
    <row r="16" spans="2:8" ht="12" x14ac:dyDescent="0.2">
      <c r="B16" s="57" t="str">
        <f>'Name List'!B16</f>
        <v>Dominic Coughlin</v>
      </c>
      <c r="C16" s="60">
        <f>'Scores and stats'!RC16</f>
        <v>19</v>
      </c>
      <c r="D16" s="57"/>
      <c r="E16" s="180" t="str">
        <v>Eoghan Hilton</v>
      </c>
      <c r="F16" s="181">
        <v>38</v>
      </c>
    </row>
    <row r="17" spans="2:6" ht="12" x14ac:dyDescent="0.2">
      <c r="B17" s="57" t="str">
        <f>'Name List'!B17</f>
        <v>Gareth Davies</v>
      </c>
      <c r="C17" s="60">
        <f>'Scores and stats'!RC17</f>
        <v>30</v>
      </c>
      <c r="D17" s="57"/>
      <c r="E17" s="180" t="str">
        <v>Andy Johnson</v>
      </c>
      <c r="F17" s="181">
        <v>38</v>
      </c>
    </row>
    <row r="18" spans="2:6" ht="12" x14ac:dyDescent="0.2">
      <c r="B18" s="57" t="str">
        <f>'Name List'!B18</f>
        <v>Peter Donovan</v>
      </c>
      <c r="C18" s="60">
        <f>'Scores and stats'!RC18</f>
        <v>0</v>
      </c>
      <c r="D18" s="57"/>
      <c r="E18" s="180" t="str">
        <v>Ryan Vaughan</v>
      </c>
      <c r="F18" s="181">
        <v>38</v>
      </c>
    </row>
    <row r="19" spans="2:6" ht="12" x14ac:dyDescent="0.2">
      <c r="B19" s="57" t="str">
        <f>'Name List'!B19</f>
        <v>James Dunn</v>
      </c>
      <c r="C19" s="60">
        <f>'Scores and stats'!RC19</f>
        <v>37</v>
      </c>
      <c r="D19" s="57"/>
      <c r="E19" s="180" t="str">
        <v>Paul Clarke</v>
      </c>
      <c r="F19" s="181">
        <v>37</v>
      </c>
    </row>
    <row r="20" spans="2:6" ht="12" x14ac:dyDescent="0.2">
      <c r="B20" s="57" t="str">
        <f>'Name List'!B20</f>
        <v>Gordon Fielding</v>
      </c>
      <c r="C20" s="60">
        <f>'Scores and stats'!RC20</f>
        <v>0</v>
      </c>
      <c r="D20" s="57"/>
      <c r="E20" s="180" t="str">
        <v>James Dunn</v>
      </c>
      <c r="F20" s="181">
        <v>37</v>
      </c>
    </row>
    <row r="21" spans="2:6" ht="12" x14ac:dyDescent="0.2">
      <c r="B21" s="57" t="str">
        <f>'Name List'!B21</f>
        <v>Paul Fitzgerald</v>
      </c>
      <c r="C21" s="60">
        <f>'Scores and stats'!RC21</f>
        <v>39</v>
      </c>
      <c r="D21" s="57"/>
      <c r="E21" s="180" t="str">
        <v>Archie Fraser</v>
      </c>
      <c r="F21" s="181">
        <v>37</v>
      </c>
    </row>
    <row r="22" spans="2:6" ht="12" x14ac:dyDescent="0.2">
      <c r="B22" s="57" t="str">
        <f>'Name List'!B22</f>
        <v>Ben Fleet</v>
      </c>
      <c r="C22" s="60">
        <f>'Scores and stats'!RC22</f>
        <v>35</v>
      </c>
      <c r="D22" s="61"/>
      <c r="E22" s="180" t="str">
        <v>Kevin Tribley</v>
      </c>
      <c r="F22" s="181">
        <v>37</v>
      </c>
    </row>
    <row r="23" spans="2:6" ht="12" x14ac:dyDescent="0.2">
      <c r="B23" s="57" t="str">
        <f>'Name List'!B23</f>
        <v>Mike Forrest</v>
      </c>
      <c r="C23" s="60">
        <f>'Scores and stats'!RC23</f>
        <v>34</v>
      </c>
      <c r="D23" s="57"/>
      <c r="E23" s="180" t="str">
        <v>Russell Turner</v>
      </c>
      <c r="F23" s="181">
        <v>37</v>
      </c>
    </row>
    <row r="24" spans="2:6" ht="12" x14ac:dyDescent="0.2">
      <c r="B24" s="57" t="str">
        <f>'Name List'!B24</f>
        <v>Tony Forsyth-James</v>
      </c>
      <c r="C24" s="60">
        <f>'Scores and stats'!RC24</f>
        <v>40</v>
      </c>
      <c r="D24" s="57"/>
      <c r="E24" s="180" t="str">
        <v>Joe Hooper</v>
      </c>
      <c r="F24" s="181">
        <v>37</v>
      </c>
    </row>
    <row r="25" spans="2:6" ht="12" x14ac:dyDescent="0.2">
      <c r="B25" s="57" t="str">
        <f>'Name List'!B25</f>
        <v>Archie Fraser</v>
      </c>
      <c r="C25" s="60">
        <f>'Scores and stats'!RC25</f>
        <v>37</v>
      </c>
      <c r="D25" s="57"/>
      <c r="E25" s="180" t="str">
        <v>Tom Burton</v>
      </c>
      <c r="F25" s="181">
        <v>36</v>
      </c>
    </row>
    <row r="26" spans="2:6" ht="12" x14ac:dyDescent="0.2">
      <c r="B26" s="57" t="str">
        <f>'Name List'!B26</f>
        <v>Ross Fraser</v>
      </c>
      <c r="C26" s="60">
        <f>'Scores and stats'!RC26</f>
        <v>31</v>
      </c>
      <c r="D26" s="57"/>
      <c r="E26" s="180" t="str">
        <v>Martin Coomber</v>
      </c>
      <c r="F26" s="181">
        <v>36</v>
      </c>
    </row>
    <row r="27" spans="2:6" ht="12" x14ac:dyDescent="0.2">
      <c r="B27" s="57" t="str">
        <f>'Name List'!B27</f>
        <v>Nick Garner</v>
      </c>
      <c r="C27" s="60">
        <f>'Scores and stats'!RC27</f>
        <v>34</v>
      </c>
      <c r="D27" s="61"/>
      <c r="E27" s="180" t="str">
        <v>Paul Martin</v>
      </c>
      <c r="F27" s="181">
        <v>36</v>
      </c>
    </row>
    <row r="28" spans="2:6" ht="12" x14ac:dyDescent="0.2">
      <c r="B28" s="57" t="str">
        <f>'Name List'!B28</f>
        <v>Stuart Gay</v>
      </c>
      <c r="C28" s="60">
        <f>'Scores and stats'!RC28</f>
        <v>0</v>
      </c>
      <c r="D28" s="57"/>
      <c r="E28" s="180" t="str">
        <v>Chris Smith</v>
      </c>
      <c r="F28" s="181">
        <v>36</v>
      </c>
    </row>
    <row r="29" spans="2:6" ht="12" x14ac:dyDescent="0.2">
      <c r="B29" s="57" t="str">
        <f>'Name List'!B29</f>
        <v>Jordan Hall</v>
      </c>
      <c r="C29" s="60">
        <f>'Scores and stats'!RC29</f>
        <v>38</v>
      </c>
      <c r="D29" s="61"/>
      <c r="E29" s="180" t="str">
        <v>George Clarke</v>
      </c>
      <c r="F29" s="181">
        <v>35</v>
      </c>
    </row>
    <row r="30" spans="2:6" ht="12" x14ac:dyDescent="0.2">
      <c r="B30" s="57" t="str">
        <f>'Name List'!B30</f>
        <v>Gary Hall</v>
      </c>
      <c r="C30" s="60">
        <f>'Scores and stats'!RC30</f>
        <v>9</v>
      </c>
      <c r="D30" s="57"/>
      <c r="E30" s="180" t="str">
        <v>Ben Fleet</v>
      </c>
      <c r="F30" s="181">
        <v>35</v>
      </c>
    </row>
    <row r="31" spans="2:6" ht="12" x14ac:dyDescent="0.2">
      <c r="B31" s="57" t="str">
        <f>'Name List'!B31</f>
        <v>Anthony Harris</v>
      </c>
      <c r="C31" s="60">
        <f>'Scores and stats'!RC31</f>
        <v>38</v>
      </c>
      <c r="D31" s="57"/>
      <c r="E31" s="180" t="str">
        <v>Neil Hart</v>
      </c>
      <c r="F31" s="181">
        <v>35</v>
      </c>
    </row>
    <row r="32" spans="2:6" ht="12" x14ac:dyDescent="0.2">
      <c r="B32" s="57" t="str">
        <f>'Name List'!B32</f>
        <v>Neil Hart</v>
      </c>
      <c r="C32" s="60">
        <f>'Scores and stats'!RC32</f>
        <v>35</v>
      </c>
      <c r="D32" s="57"/>
      <c r="E32" s="180" t="str">
        <v>Dickie Moxham</v>
      </c>
      <c r="F32" s="181">
        <v>35</v>
      </c>
    </row>
    <row r="33" spans="2:6" ht="12" x14ac:dyDescent="0.2">
      <c r="B33" s="57" t="str">
        <f>'Name List'!B33</f>
        <v>Tony Hearson</v>
      </c>
      <c r="C33" s="60">
        <f>'Scores and stats'!RC33</f>
        <v>0</v>
      </c>
      <c r="D33" s="57"/>
      <c r="E33" s="180" t="str">
        <v>Finn Wheeler</v>
      </c>
      <c r="F33" s="181">
        <v>35</v>
      </c>
    </row>
    <row r="34" spans="2:6" ht="12" x14ac:dyDescent="0.2">
      <c r="B34" s="57" t="str">
        <f>'Name List'!B34</f>
        <v>David Hilton</v>
      </c>
      <c r="C34" s="60">
        <f>'Scores and stats'!RC34</f>
        <v>27</v>
      </c>
      <c r="D34" s="57"/>
      <c r="E34" s="180" t="str">
        <v>Mike Chubb</v>
      </c>
      <c r="F34" s="181">
        <v>34</v>
      </c>
    </row>
    <row r="35" spans="2:6" ht="12" x14ac:dyDescent="0.2">
      <c r="B35" s="57" t="str">
        <f>'Name List'!B35</f>
        <v>Eoghan Hilton</v>
      </c>
      <c r="C35" s="60">
        <f>'Scores and stats'!RC35</f>
        <v>38</v>
      </c>
      <c r="D35" s="57"/>
      <c r="E35" s="180" t="str">
        <v>Mike Forrest</v>
      </c>
      <c r="F35" s="181">
        <v>34</v>
      </c>
    </row>
    <row r="36" spans="2:6" ht="12" x14ac:dyDescent="0.2">
      <c r="B36" s="57" t="str">
        <f>'Name List'!B36</f>
        <v>Martin Holder</v>
      </c>
      <c r="C36" s="60">
        <f>'Scores and stats'!RC36</f>
        <v>0</v>
      </c>
      <c r="D36" s="57"/>
      <c r="E36" s="180" t="str">
        <v>Nick Garner</v>
      </c>
      <c r="F36" s="181">
        <v>34</v>
      </c>
    </row>
    <row r="37" spans="2:6" ht="12" x14ac:dyDescent="0.2">
      <c r="B37" s="57" t="str">
        <f>'Name List'!B37</f>
        <v>Justin Hunt</v>
      </c>
      <c r="C37" s="60">
        <f>'Scores and stats'!RC37</f>
        <v>42</v>
      </c>
      <c r="D37" s="57"/>
      <c r="E37" s="180" t="str">
        <v>Harley Bishop</v>
      </c>
      <c r="F37" s="181">
        <v>33</v>
      </c>
    </row>
    <row r="38" spans="2:6" ht="12" x14ac:dyDescent="0.2">
      <c r="B38" s="57" t="str">
        <f>'Name List'!B38</f>
        <v>Mark Hutchinson</v>
      </c>
      <c r="C38" s="60">
        <f>'Scores and stats'!RC38</f>
        <v>0</v>
      </c>
      <c r="D38" s="57"/>
      <c r="E38" s="180" t="str">
        <v>Edward Money</v>
      </c>
      <c r="F38" s="181">
        <v>33</v>
      </c>
    </row>
    <row r="39" spans="2:6" ht="12" x14ac:dyDescent="0.2">
      <c r="B39" s="57" t="str">
        <f>'Name List'!B39</f>
        <v>Andy Johnson</v>
      </c>
      <c r="C39" s="60">
        <f>'Scores and stats'!RC39</f>
        <v>38</v>
      </c>
      <c r="D39" s="57"/>
      <c r="E39" s="180" t="str">
        <v>Dan Thomas</v>
      </c>
      <c r="F39" s="181">
        <v>33</v>
      </c>
    </row>
    <row r="40" spans="2:6" ht="12" x14ac:dyDescent="0.2">
      <c r="B40" s="57" t="str">
        <f>'Name List'!B40</f>
        <v>Oli Lloyd</v>
      </c>
      <c r="C40" s="60">
        <f>'Scores and stats'!RC40</f>
        <v>28</v>
      </c>
      <c r="D40" s="57"/>
      <c r="E40" s="180" t="str">
        <v>Danny Jones</v>
      </c>
      <c r="F40" s="181">
        <v>33</v>
      </c>
    </row>
    <row r="41" spans="2:6" ht="12" x14ac:dyDescent="0.2">
      <c r="B41" s="57" t="str">
        <f>'Name List'!B41</f>
        <v>Andy Lucey</v>
      </c>
      <c r="C41" s="60">
        <f>'Scores and stats'!RC41</f>
        <v>0</v>
      </c>
      <c r="D41" s="57"/>
      <c r="E41" s="180" t="str">
        <v>Sam Cochrane</v>
      </c>
      <c r="F41" s="181">
        <v>33</v>
      </c>
    </row>
    <row r="42" spans="2:6" ht="12" x14ac:dyDescent="0.2">
      <c r="B42" s="57" t="str">
        <f>'Name List'!B42</f>
        <v>Paul Martin</v>
      </c>
      <c r="C42" s="60">
        <f>'Scores and stats'!RC42</f>
        <v>36</v>
      </c>
      <c r="D42" s="61"/>
      <c r="E42" s="180" t="str">
        <v>Steve Wheeler</v>
      </c>
      <c r="F42" s="181">
        <v>32</v>
      </c>
    </row>
    <row r="43" spans="2:6" ht="12" x14ac:dyDescent="0.2">
      <c r="B43" s="57" t="str">
        <f>'Name List'!B43</f>
        <v>Edward Money</v>
      </c>
      <c r="C43" s="60">
        <f>'Scores and stats'!RC43</f>
        <v>33</v>
      </c>
      <c r="D43" s="61"/>
      <c r="E43" s="180" t="str">
        <v>Ross Fraser</v>
      </c>
      <c r="F43" s="181">
        <v>31</v>
      </c>
    </row>
    <row r="44" spans="2:6" ht="12" x14ac:dyDescent="0.2">
      <c r="B44" s="57" t="str">
        <f>'Name List'!B44</f>
        <v>Dickie Moxham</v>
      </c>
      <c r="C44" s="60">
        <f>'Scores and stats'!RC44</f>
        <v>35</v>
      </c>
      <c r="D44" s="57"/>
      <c r="E44" s="180" t="str">
        <v>Dave Woodget</v>
      </c>
      <c r="F44" s="181">
        <v>31</v>
      </c>
    </row>
    <row r="45" spans="2:6" ht="12" x14ac:dyDescent="0.2">
      <c r="B45" s="57" t="str">
        <f>'Name List'!B45</f>
        <v>Dave Randall</v>
      </c>
      <c r="C45" s="60">
        <f>'Scores and stats'!RC45</f>
        <v>39</v>
      </c>
      <c r="D45" s="57"/>
      <c r="E45" s="180" t="str">
        <v>Jonathan Kanareck</v>
      </c>
      <c r="F45" s="181">
        <v>31</v>
      </c>
    </row>
    <row r="46" spans="2:6" ht="12" x14ac:dyDescent="0.2">
      <c r="B46" s="57" t="str">
        <f>'Name List'!B46</f>
        <v>Arron Rutherford</v>
      </c>
      <c r="C46" s="60">
        <f>'Scores and stats'!RC46</f>
        <v>28</v>
      </c>
      <c r="D46" s="57"/>
      <c r="E46" s="180" t="str">
        <v>Gareth Davies</v>
      </c>
      <c r="F46" s="181">
        <v>30</v>
      </c>
    </row>
    <row r="47" spans="2:6" ht="12" x14ac:dyDescent="0.2">
      <c r="B47" s="57" t="str">
        <f>'Name List'!B47</f>
        <v>Terry Shoker</v>
      </c>
      <c r="C47" s="60">
        <f>'Scores and stats'!RC47</f>
        <v>0</v>
      </c>
      <c r="D47" s="57"/>
      <c r="E47" s="180" t="str">
        <v>Shaun Alexander</v>
      </c>
      <c r="F47" s="181">
        <v>30</v>
      </c>
    </row>
    <row r="48" spans="2:6" ht="12" x14ac:dyDescent="0.2">
      <c r="B48" s="57" t="str">
        <f>'Name List'!B48</f>
        <v>Chris Smith</v>
      </c>
      <c r="C48" s="60">
        <f>'Scores and stats'!RC48</f>
        <v>36</v>
      </c>
      <c r="D48" s="61"/>
      <c r="E48" s="180" t="str">
        <v>Chris Burroughs</v>
      </c>
      <c r="F48" s="181">
        <v>29</v>
      </c>
    </row>
    <row r="49" spans="2:6" ht="12" x14ac:dyDescent="0.2">
      <c r="B49" s="57" t="str">
        <f>'Name List'!B49</f>
        <v>Justin Spencer</v>
      </c>
      <c r="C49" s="60">
        <f>'Scores and stats'!RC49</f>
        <v>0</v>
      </c>
      <c r="D49" s="57"/>
      <c r="E49" s="180" t="str">
        <v>Oli Lloyd</v>
      </c>
      <c r="F49" s="181">
        <v>28</v>
      </c>
    </row>
    <row r="50" spans="2:6" ht="12" x14ac:dyDescent="0.2">
      <c r="B50" s="57" t="str">
        <f>'Name List'!B50</f>
        <v>Jake Sprosen</v>
      </c>
      <c r="C50" s="60">
        <f>'Scores and stats'!RC50</f>
        <v>0</v>
      </c>
      <c r="D50" s="57"/>
      <c r="E50" s="180" t="str">
        <v>Arron Rutherford</v>
      </c>
      <c r="F50" s="181">
        <v>28</v>
      </c>
    </row>
    <row r="51" spans="2:6" ht="12" x14ac:dyDescent="0.2">
      <c r="B51" s="57" t="str">
        <f>'Name List'!B51</f>
        <v>Tosh Sprosen</v>
      </c>
      <c r="C51" s="60">
        <f>'Scores and stats'!RC51</f>
        <v>0</v>
      </c>
      <c r="D51" s="57"/>
      <c r="E51" s="180" t="str">
        <v>George Burton</v>
      </c>
      <c r="F51" s="181">
        <v>27</v>
      </c>
    </row>
    <row r="52" spans="2:6" ht="12" x14ac:dyDescent="0.2">
      <c r="B52" s="57" t="str">
        <f>'Name List'!B52</f>
        <v>Bill Sutton</v>
      </c>
      <c r="C52" s="60">
        <f>'Scores and stats'!RC52</f>
        <v>0</v>
      </c>
      <c r="D52" s="57"/>
      <c r="E52" s="180" t="str">
        <v>David Hilton</v>
      </c>
      <c r="F52" s="181">
        <v>27</v>
      </c>
    </row>
    <row r="53" spans="2:6" ht="12" x14ac:dyDescent="0.2">
      <c r="B53" s="57" t="str">
        <f>'Name List'!B53</f>
        <v>Dan Thomas</v>
      </c>
      <c r="C53" s="60">
        <f>'Scores and stats'!RC53</f>
        <v>33</v>
      </c>
      <c r="D53" s="57"/>
      <c r="E53" s="180" t="str">
        <v>Terry Walker</v>
      </c>
      <c r="F53" s="181">
        <v>27</v>
      </c>
    </row>
    <row r="54" spans="2:6" ht="12" x14ac:dyDescent="0.2">
      <c r="B54" s="57" t="str">
        <f>'Name List'!B54</f>
        <v>Andy Thompson</v>
      </c>
      <c r="C54" s="60">
        <f>'Scores and stats'!RC54</f>
        <v>0</v>
      </c>
      <c r="D54" s="57"/>
      <c r="E54" s="180" t="str">
        <v>Kyle Deane</v>
      </c>
      <c r="F54" s="181">
        <v>24</v>
      </c>
    </row>
    <row r="55" spans="2:6" ht="12" x14ac:dyDescent="0.2">
      <c r="B55" s="57" t="str">
        <f>'Name List'!B55</f>
        <v>Rory Thompson</v>
      </c>
      <c r="C55" s="60">
        <f>'Scores and stats'!RC55</f>
        <v>0</v>
      </c>
      <c r="D55" s="57"/>
      <c r="E55" s="180" t="str">
        <v>Dominic Coughlin</v>
      </c>
      <c r="F55" s="181">
        <v>19</v>
      </c>
    </row>
    <row r="56" spans="2:6" ht="12" x14ac:dyDescent="0.2">
      <c r="B56" s="57" t="str">
        <f>'Name List'!B56</f>
        <v>Sonny Thompson</v>
      </c>
      <c r="C56" s="60">
        <f>'Scores and stats'!RC56</f>
        <v>0</v>
      </c>
      <c r="D56" s="57"/>
      <c r="E56" s="180" t="str">
        <v>Oliver Proud</v>
      </c>
      <c r="F56" s="181">
        <v>19</v>
      </c>
    </row>
    <row r="57" spans="2:6" ht="12" x14ac:dyDescent="0.2">
      <c r="B57" s="57" t="str">
        <f>'Name List'!B57</f>
        <v>Kevin Tribley</v>
      </c>
      <c r="C57" s="60">
        <f>'Scores and stats'!RC57</f>
        <v>37</v>
      </c>
      <c r="D57" s="57"/>
      <c r="E57" s="180" t="str">
        <v>Gary Hall</v>
      </c>
      <c r="F57" s="181">
        <v>9</v>
      </c>
    </row>
    <row r="58" spans="2:6" ht="12" x14ac:dyDescent="0.2">
      <c r="B58" s="57" t="str">
        <f>'Name List'!B58</f>
        <v>Russell Turner</v>
      </c>
      <c r="C58" s="60">
        <f>'Scores and stats'!RC58</f>
        <v>37</v>
      </c>
      <c r="D58" s="57"/>
      <c r="E58" s="180" t="str">
        <v>Stuart Anderson</v>
      </c>
      <c r="F58" s="181">
        <v>0</v>
      </c>
    </row>
    <row r="59" spans="2:6" ht="12" x14ac:dyDescent="0.2">
      <c r="B59" s="57" t="str">
        <f>'Name List'!B59</f>
        <v>Peter Vallely</v>
      </c>
      <c r="C59" s="60">
        <f>'Scores and stats'!RC59</f>
        <v>39</v>
      </c>
      <c r="D59" s="57"/>
      <c r="E59" s="180" t="str">
        <v>Peter Donovan</v>
      </c>
      <c r="F59" s="181">
        <v>0</v>
      </c>
    </row>
    <row r="60" spans="2:6" ht="12" x14ac:dyDescent="0.2">
      <c r="B60" s="57" t="str">
        <f>'Name List'!B60</f>
        <v>Ryan Vaughan</v>
      </c>
      <c r="C60" s="60">
        <f>'Scores and stats'!RC60</f>
        <v>38</v>
      </c>
      <c r="D60" s="57"/>
      <c r="E60" s="180" t="str">
        <v>Gordon Fielding</v>
      </c>
      <c r="F60" s="181">
        <v>0</v>
      </c>
    </row>
    <row r="61" spans="2:6" ht="12" x14ac:dyDescent="0.2">
      <c r="B61" s="57" t="str">
        <f>'Name List'!B61</f>
        <v>Jason Wale</v>
      </c>
      <c r="C61" s="60">
        <f>'Scores and stats'!RC61</f>
        <v>40</v>
      </c>
      <c r="D61" s="57"/>
      <c r="E61" s="180" t="str">
        <v>Stuart Gay</v>
      </c>
      <c r="F61" s="181">
        <v>0</v>
      </c>
    </row>
    <row r="62" spans="2:6" ht="12" x14ac:dyDescent="0.2">
      <c r="B62" s="57" t="str">
        <f>'Name List'!B62</f>
        <v>Terry Walker</v>
      </c>
      <c r="C62" s="60">
        <f>'Scores and stats'!RC62</f>
        <v>27</v>
      </c>
      <c r="D62" s="57"/>
      <c r="E62" s="180" t="str">
        <v>Tony Hearson</v>
      </c>
      <c r="F62" s="181">
        <v>0</v>
      </c>
    </row>
    <row r="63" spans="2:6" ht="12" x14ac:dyDescent="0.2">
      <c r="B63" s="57" t="str">
        <f>'Name List'!B63</f>
        <v>Finn Wheeler</v>
      </c>
      <c r="C63" s="60">
        <f>'Scores and stats'!RC63</f>
        <v>35</v>
      </c>
      <c r="D63" s="57"/>
      <c r="E63" s="180" t="str">
        <v>Martin Holder</v>
      </c>
      <c r="F63" s="181">
        <v>0</v>
      </c>
    </row>
    <row r="64" spans="2:6" ht="12" x14ac:dyDescent="0.2">
      <c r="B64" s="57" t="str">
        <f>'Name List'!B64</f>
        <v>Steve Wheeler</v>
      </c>
      <c r="C64" s="60">
        <f>'Scores and stats'!RC64</f>
        <v>32</v>
      </c>
      <c r="D64" s="57"/>
      <c r="E64" s="180" t="str">
        <v>Mark Hutchinson</v>
      </c>
      <c r="F64" s="181">
        <v>0</v>
      </c>
    </row>
    <row r="65" spans="2:6" ht="12" x14ac:dyDescent="0.2">
      <c r="B65" s="57" t="str">
        <f>'Name List'!B65</f>
        <v>Brad Whitehead</v>
      </c>
      <c r="C65" s="60">
        <f>'Scores and stats'!RC65</f>
        <v>41</v>
      </c>
      <c r="D65" s="57"/>
      <c r="E65" s="180" t="str">
        <v>Andy Lucey</v>
      </c>
      <c r="F65" s="181">
        <v>0</v>
      </c>
    </row>
    <row r="66" spans="2:6" ht="12" x14ac:dyDescent="0.2">
      <c r="B66" s="57" t="str">
        <f>'Name List'!B66</f>
        <v>Dave Woodget</v>
      </c>
      <c r="C66" s="60">
        <f>'Scores and stats'!RC66</f>
        <v>31</v>
      </c>
      <c r="D66" s="57"/>
      <c r="E66" s="180" t="str">
        <v>Terry Shoker</v>
      </c>
      <c r="F66" s="181">
        <v>0</v>
      </c>
    </row>
    <row r="67" spans="2:6" ht="12" x14ac:dyDescent="0.2">
      <c r="B67" s="57" t="str">
        <f>'Name List'!B67</f>
        <v>Jonathan Kanareck</v>
      </c>
      <c r="C67" s="60">
        <f>'Scores and stats'!RC67</f>
        <v>31</v>
      </c>
      <c r="D67" s="57"/>
      <c r="E67" s="180" t="str">
        <v>Justin Spencer</v>
      </c>
      <c r="F67" s="181">
        <v>0</v>
      </c>
    </row>
    <row r="68" spans="2:6" ht="12" x14ac:dyDescent="0.2">
      <c r="B68" s="57" t="str">
        <f>'Name List'!B68</f>
        <v>Oliver Proud</v>
      </c>
      <c r="C68" s="60">
        <f>'Scores and stats'!RC68</f>
        <v>19</v>
      </c>
      <c r="E68" s="180" t="str">
        <v>Jake Sprosen</v>
      </c>
      <c r="F68" s="181">
        <v>0</v>
      </c>
    </row>
    <row r="69" spans="2:6" ht="12" x14ac:dyDescent="0.2">
      <c r="B69" s="57" t="str">
        <f>'Name List'!B69</f>
        <v>Joe Hooper</v>
      </c>
      <c r="C69" s="60">
        <f>'Scores and stats'!RC69</f>
        <v>37</v>
      </c>
      <c r="E69" s="180" t="str">
        <v>Tosh Sprosen</v>
      </c>
      <c r="F69" s="181">
        <v>0</v>
      </c>
    </row>
    <row r="70" spans="2:6" ht="12" x14ac:dyDescent="0.2">
      <c r="B70" s="57" t="str">
        <f>'Name List'!B70</f>
        <v>Danny Jones</v>
      </c>
      <c r="C70" s="60">
        <f>'Scores and stats'!RC70</f>
        <v>33</v>
      </c>
      <c r="E70" s="180" t="str">
        <v>Bill Sutton</v>
      </c>
      <c r="F70" s="181">
        <v>0</v>
      </c>
    </row>
    <row r="71" spans="2:6" ht="12" x14ac:dyDescent="0.2">
      <c r="B71" s="57" t="str">
        <f>'Name List'!B71</f>
        <v>Liam Anderson</v>
      </c>
      <c r="C71" s="60">
        <f>'Scores and stats'!RC71</f>
        <v>0</v>
      </c>
      <c r="E71" s="180" t="str">
        <v>Andy Thompson</v>
      </c>
      <c r="F71" s="181">
        <v>0</v>
      </c>
    </row>
    <row r="72" spans="2:6" ht="12" x14ac:dyDescent="0.2">
      <c r="B72" s="57" t="str">
        <f>'Name List'!B72</f>
        <v>Sam Cochrane</v>
      </c>
      <c r="C72" s="60">
        <f>'Scores and stats'!RC72</f>
        <v>33</v>
      </c>
      <c r="E72" s="180" t="str">
        <v>Rory Thompson</v>
      </c>
      <c r="F72" s="181">
        <v>0</v>
      </c>
    </row>
    <row r="73" spans="2:6" ht="12" x14ac:dyDescent="0.2">
      <c r="B73" s="57" t="str">
        <f>'Name List'!B73</f>
        <v>Shaun Alexander</v>
      </c>
      <c r="C73" s="60">
        <f>'Scores and stats'!RC73</f>
        <v>30</v>
      </c>
      <c r="E73" s="180" t="str">
        <v>Sonny Thompson</v>
      </c>
      <c r="F73" s="181">
        <v>0</v>
      </c>
    </row>
    <row r="74" spans="2:6" ht="12" x14ac:dyDescent="0.2">
      <c r="B74" s="57" t="str">
        <f>'Name List'!B74</f>
        <v>Kyle Deane</v>
      </c>
      <c r="C74" s="60">
        <f>'Scores and stats'!RC74</f>
        <v>24</v>
      </c>
      <c r="E74" s="180" t="str">
        <v>Liam Anderson</v>
      </c>
      <c r="F74" s="181">
        <v>0</v>
      </c>
    </row>
    <row r="75" spans="2:6" ht="12" x14ac:dyDescent="0.2">
      <c r="B75" s="57">
        <f>'Name List'!B75</f>
        <v>1</v>
      </c>
      <c r="C75" s="60">
        <f>'Scores and stats'!RC75</f>
        <v>0</v>
      </c>
      <c r="E75" s="180">
        <v>1</v>
      </c>
      <c r="F75" s="181">
        <v>0</v>
      </c>
    </row>
    <row r="76" spans="2:6" ht="12" x14ac:dyDescent="0.2">
      <c r="B76" s="57">
        <f>'Name List'!B76</f>
        <v>2</v>
      </c>
      <c r="C76" s="60">
        <f>'Scores and stats'!RC76</f>
        <v>0</v>
      </c>
      <c r="E76" s="180">
        <v>2</v>
      </c>
      <c r="F76" s="181">
        <v>0</v>
      </c>
    </row>
    <row r="77" spans="2:6" ht="12" x14ac:dyDescent="0.2">
      <c r="B77" s="57">
        <f>'Name List'!B77</f>
        <v>3</v>
      </c>
      <c r="C77" s="60">
        <f>'Scores and stats'!RC77</f>
        <v>0</v>
      </c>
      <c r="E77" s="180">
        <v>3</v>
      </c>
      <c r="F77" s="181">
        <v>0</v>
      </c>
    </row>
    <row r="78" spans="2:6" ht="12" x14ac:dyDescent="0.2">
      <c r="B78" s="57">
        <f>'Name List'!B78</f>
        <v>4</v>
      </c>
      <c r="C78" s="60">
        <f>'Scores and stats'!RC78</f>
        <v>0</v>
      </c>
      <c r="E78" s="180">
        <v>4</v>
      </c>
      <c r="F78" s="181">
        <v>0</v>
      </c>
    </row>
    <row r="79" spans="2:6" ht="12" x14ac:dyDescent="0.2">
      <c r="B79" s="57">
        <f>'Name List'!B79</f>
        <v>5</v>
      </c>
      <c r="C79" s="60">
        <f>'Scores and stats'!RC79</f>
        <v>0</v>
      </c>
      <c r="E79" s="180">
        <v>5</v>
      </c>
      <c r="F79" s="181">
        <v>0</v>
      </c>
    </row>
    <row r="80" spans="2:6" ht="12" x14ac:dyDescent="0.2">
      <c r="B80" s="57">
        <f>'Name List'!B80</f>
        <v>6</v>
      </c>
      <c r="C80" s="60">
        <f>'Scores and stats'!RC80</f>
        <v>0</v>
      </c>
      <c r="E80" s="180">
        <v>6</v>
      </c>
      <c r="F80" s="181">
        <v>0</v>
      </c>
    </row>
    <row r="81" spans="2:6" ht="12" x14ac:dyDescent="0.2">
      <c r="B81" s="57">
        <f>'Name List'!B81</f>
        <v>7</v>
      </c>
      <c r="C81" s="60">
        <f>'Scores and stats'!RC81</f>
        <v>0</v>
      </c>
      <c r="E81" s="180">
        <v>7</v>
      </c>
      <c r="F81" s="181">
        <v>0</v>
      </c>
    </row>
    <row r="82" spans="2:6" ht="12" x14ac:dyDescent="0.2">
      <c r="B82" s="57">
        <f>'Name List'!B82</f>
        <v>8</v>
      </c>
      <c r="C82" s="60">
        <f>'Scores and stats'!RC82</f>
        <v>0</v>
      </c>
      <c r="E82" s="180">
        <v>8</v>
      </c>
      <c r="F82" s="181">
        <v>0</v>
      </c>
    </row>
    <row r="83" spans="2:6" ht="12" x14ac:dyDescent="0.2">
      <c r="B83" s="57">
        <f>'Name List'!B83</f>
        <v>9</v>
      </c>
      <c r="C83" s="60">
        <f>'Scores and stats'!RC83</f>
        <v>0</v>
      </c>
      <c r="E83" s="180">
        <v>9</v>
      </c>
      <c r="F83" s="181">
        <v>0</v>
      </c>
    </row>
    <row r="84" spans="2:6" ht="12" x14ac:dyDescent="0.2">
      <c r="B84" s="57">
        <f>'Name List'!B84</f>
        <v>10</v>
      </c>
      <c r="C84" s="60">
        <f>'Scores and stats'!RC84</f>
        <v>0</v>
      </c>
      <c r="E84" s="180">
        <v>10</v>
      </c>
      <c r="F84" s="181">
        <v>0</v>
      </c>
    </row>
    <row r="85" spans="2:6" ht="12" x14ac:dyDescent="0.2">
      <c r="B85" s="57">
        <f>'Name List'!B85</f>
        <v>11</v>
      </c>
      <c r="C85" s="60">
        <f>'Scores and stats'!RC85</f>
        <v>0</v>
      </c>
      <c r="E85" s="180">
        <v>11</v>
      </c>
      <c r="F85" s="181">
        <v>0</v>
      </c>
    </row>
    <row r="86" spans="2:6" ht="12" x14ac:dyDescent="0.2">
      <c r="B86" s="57">
        <f>'Name List'!B86</f>
        <v>12</v>
      </c>
      <c r="C86" s="60">
        <f>'Scores and stats'!RC86</f>
        <v>0</v>
      </c>
      <c r="E86" s="180">
        <v>12</v>
      </c>
      <c r="F86" s="181">
        <v>0</v>
      </c>
    </row>
    <row r="87" spans="2:6" ht="12" x14ac:dyDescent="0.2">
      <c r="B87" s="57">
        <f>'Name List'!B87</f>
        <v>13</v>
      </c>
      <c r="C87" s="60">
        <f>'Scores and stats'!RC87</f>
        <v>0</v>
      </c>
      <c r="E87" s="180">
        <v>13</v>
      </c>
      <c r="F87" s="181">
        <v>0</v>
      </c>
    </row>
    <row r="88" spans="2:6" ht="12" x14ac:dyDescent="0.2">
      <c r="B88" s="57">
        <f>'Name List'!B88</f>
        <v>14</v>
      </c>
      <c r="C88" s="60">
        <f>'Scores and stats'!RC88</f>
        <v>0</v>
      </c>
      <c r="E88" s="180">
        <v>14</v>
      </c>
      <c r="F88" s="181">
        <v>0</v>
      </c>
    </row>
    <row r="89" spans="2:6" ht="12" x14ac:dyDescent="0.2">
      <c r="B89" s="57">
        <f>'Name List'!B89</f>
        <v>15</v>
      </c>
      <c r="C89" s="60">
        <f>'Scores and stats'!RC89</f>
        <v>0</v>
      </c>
      <c r="E89" s="180">
        <v>15</v>
      </c>
      <c r="F89" s="181">
        <v>0</v>
      </c>
    </row>
    <row r="90" spans="2:6" ht="12" x14ac:dyDescent="0.2">
      <c r="B90" s="57">
        <f>'Name List'!B90</f>
        <v>16</v>
      </c>
      <c r="C90" s="60">
        <f>'Scores and stats'!RC90</f>
        <v>0</v>
      </c>
      <c r="E90" s="180">
        <v>16</v>
      </c>
      <c r="F90" s="181">
        <v>0</v>
      </c>
    </row>
    <row r="91" spans="2:6" ht="12" x14ac:dyDescent="0.2">
      <c r="B91" s="57">
        <f>'Name List'!B91</f>
        <v>17</v>
      </c>
      <c r="C91" s="60">
        <f>'Scores and stats'!RC91</f>
        <v>0</v>
      </c>
      <c r="E91" s="321">
        <v>17</v>
      </c>
      <c r="F91" s="323">
        <v>0</v>
      </c>
    </row>
    <row r="92" spans="2:6" ht="12" x14ac:dyDescent="0.2">
      <c r="B92" s="57">
        <f>'Name List'!B92</f>
        <v>18</v>
      </c>
      <c r="C92" s="60">
        <f>'Scores and stats'!RC92</f>
        <v>0</v>
      </c>
      <c r="E92" s="321">
        <v>18</v>
      </c>
      <c r="F92" s="323">
        <v>0</v>
      </c>
    </row>
    <row r="93" spans="2:6" ht="12" x14ac:dyDescent="0.2">
      <c r="B93" s="57">
        <f>'Name List'!B93</f>
        <v>19</v>
      </c>
      <c r="C93" s="60">
        <f>'Scores and stats'!RC93</f>
        <v>0</v>
      </c>
      <c r="E93" s="321">
        <v>19</v>
      </c>
      <c r="F93" s="323">
        <v>0</v>
      </c>
    </row>
    <row r="94" spans="2:6" ht="12" x14ac:dyDescent="0.2">
      <c r="B94" s="57">
        <f>'Name List'!B94</f>
        <v>20</v>
      </c>
      <c r="C94" s="60">
        <f>'Scores and stats'!RC94</f>
        <v>0</v>
      </c>
      <c r="E94" s="321">
        <v>20</v>
      </c>
      <c r="F94" s="323">
        <v>0</v>
      </c>
    </row>
    <row r="95" spans="2:6" ht="12" x14ac:dyDescent="0.2">
      <c r="B95" s="57">
        <f>'Name List'!B95</f>
        <v>21</v>
      </c>
      <c r="C95" s="60">
        <f>'Scores and stats'!RC95</f>
        <v>0</v>
      </c>
      <c r="E95" s="321">
        <v>21</v>
      </c>
      <c r="F95" s="323">
        <v>0</v>
      </c>
    </row>
    <row r="96" spans="2:6" ht="12" x14ac:dyDescent="0.2">
      <c r="B96" s="57">
        <f>'Name List'!B96</f>
        <v>22</v>
      </c>
      <c r="C96" s="60">
        <f>'Scores and stats'!RC96</f>
        <v>0</v>
      </c>
      <c r="E96" s="321">
        <v>22</v>
      </c>
      <c r="F96" s="323">
        <v>0</v>
      </c>
    </row>
    <row r="97" spans="2:6" ht="12" x14ac:dyDescent="0.2">
      <c r="B97" s="57">
        <f>'Name List'!B97</f>
        <v>23</v>
      </c>
      <c r="C97" s="60">
        <f>'Scores and stats'!RC97</f>
        <v>0</v>
      </c>
      <c r="E97" s="321">
        <v>23</v>
      </c>
      <c r="F97" s="323">
        <v>0</v>
      </c>
    </row>
    <row r="98" spans="2:6" ht="12" x14ac:dyDescent="0.2">
      <c r="B98" s="57">
        <f>'Name List'!B98</f>
        <v>24</v>
      </c>
      <c r="C98" s="60">
        <f>'Scores and stats'!RC98</f>
        <v>0</v>
      </c>
      <c r="E98" s="321">
        <v>24</v>
      </c>
      <c r="F98" s="323">
        <v>0</v>
      </c>
    </row>
    <row r="99" spans="2:6" ht="12" x14ac:dyDescent="0.2">
      <c r="B99" s="57">
        <f>'Name List'!B99</f>
        <v>25</v>
      </c>
      <c r="C99" s="60">
        <f>'Scores and stats'!RC99</f>
        <v>0</v>
      </c>
      <c r="E99" s="321">
        <v>25</v>
      </c>
      <c r="F99" s="323">
        <v>0</v>
      </c>
    </row>
    <row r="100" spans="2:6" ht="12" x14ac:dyDescent="0.2">
      <c r="B100" s="57">
        <f>'Name List'!B100</f>
        <v>26</v>
      </c>
      <c r="C100" s="60">
        <f>'Scores and stats'!RC100</f>
        <v>0</v>
      </c>
      <c r="E100" s="321">
        <v>26</v>
      </c>
      <c r="F100" s="323">
        <v>0</v>
      </c>
    </row>
    <row r="101" spans="2:6" ht="12" x14ac:dyDescent="0.2">
      <c r="B101" s="57">
        <f>'Name List'!B101</f>
        <v>27</v>
      </c>
      <c r="C101" s="60">
        <f>'Scores and stats'!RC101</f>
        <v>0</v>
      </c>
      <c r="E101" s="321">
        <v>27</v>
      </c>
      <c r="F101" s="323">
        <v>0</v>
      </c>
    </row>
    <row r="102" spans="2:6" ht="12" x14ac:dyDescent="0.2">
      <c r="B102" s="57">
        <f>'Name List'!B102</f>
        <v>28</v>
      </c>
      <c r="C102" s="60">
        <f>'Scores and stats'!RC102</f>
        <v>0</v>
      </c>
      <c r="E102" s="321">
        <v>28</v>
      </c>
      <c r="F102" s="323">
        <v>0</v>
      </c>
    </row>
    <row r="103" spans="2:6" ht="12" x14ac:dyDescent="0.2">
      <c r="B103" s="57">
        <f>'Name List'!B103</f>
        <v>29</v>
      </c>
      <c r="C103" s="60">
        <f>'Scores and stats'!RC103</f>
        <v>0</v>
      </c>
      <c r="E103" s="321">
        <v>29</v>
      </c>
      <c r="F103" s="323">
        <v>0</v>
      </c>
    </row>
    <row r="104" spans="2:6" ht="12" x14ac:dyDescent="0.2">
      <c r="B104" s="57">
        <f>'Name List'!B104</f>
        <v>30</v>
      </c>
      <c r="C104" s="60">
        <f>'Scores and stats'!RC104</f>
        <v>0</v>
      </c>
      <c r="E104" s="321">
        <v>30</v>
      </c>
      <c r="F104" s="323">
        <v>0</v>
      </c>
    </row>
    <row r="105" spans="2:6" ht="12" x14ac:dyDescent="0.2">
      <c r="B105" s="57">
        <f>'Name List'!B105</f>
        <v>31</v>
      </c>
      <c r="C105" s="60">
        <f>'Scores and stats'!RC105</f>
        <v>0</v>
      </c>
      <c r="E105" s="322">
        <v>31</v>
      </c>
      <c r="F105" s="324">
        <v>0</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4929-FFE3-4897-861E-367A25FF5E4D}">
  <dimension ref="B2:H105"/>
  <sheetViews>
    <sheetView topLeftCell="A47" workbookViewId="0">
      <selection activeCell="C90" sqref="C90"/>
    </sheetView>
  </sheetViews>
  <sheetFormatPr defaultColWidth="9.33203125" defaultRowHeight="11.25" x14ac:dyDescent="0.2"/>
  <cols>
    <col min="2" max="2" width="23.1640625" customWidth="1"/>
    <col min="3" max="3" width="23.1640625" hidden="1" customWidth="1"/>
    <col min="4" max="4" width="17.6640625" customWidth="1"/>
    <col min="5" max="5" width="3.5" customWidth="1"/>
    <col min="6" max="6" width="25" customWidth="1"/>
  </cols>
  <sheetData>
    <row r="2" spans="2:8" ht="12" x14ac:dyDescent="0.2">
      <c r="B2" s="57"/>
      <c r="C2" s="57"/>
      <c r="D2" s="58"/>
      <c r="E2" s="57"/>
      <c r="F2" s="59"/>
      <c r="G2" s="59"/>
    </row>
    <row r="3" spans="2:8" ht="12" x14ac:dyDescent="0.2">
      <c r="B3" s="57"/>
      <c r="C3" s="57"/>
      <c r="D3" s="58" t="s">
        <v>150</v>
      </c>
      <c r="E3" s="58"/>
      <c r="F3" s="731" t="str">
        <f>D3</f>
        <v>Worst Front 9</v>
      </c>
      <c r="G3" s="732"/>
    </row>
    <row r="4" spans="2:8" ht="12" x14ac:dyDescent="0.2">
      <c r="B4" s="57"/>
      <c r="C4" s="57"/>
      <c r="D4" s="58"/>
      <c r="E4" s="57"/>
      <c r="F4" s="180"/>
      <c r="G4" s="181"/>
      <c r="H4" s="198"/>
    </row>
    <row r="5" spans="2:8" ht="12" x14ac:dyDescent="0.2">
      <c r="B5" s="57"/>
      <c r="C5" s="57"/>
      <c r="D5" s="58"/>
      <c r="E5" s="57"/>
      <c r="F5" s="180"/>
      <c r="G5" s="181"/>
      <c r="H5" s="198"/>
    </row>
    <row r="6" spans="2:8" ht="12" x14ac:dyDescent="0.2">
      <c r="B6" s="57" t="str">
        <f>'Name List'!B6</f>
        <v>Stuart Anderson</v>
      </c>
      <c r="C6" s="59" t="str">
        <f t="shared" ref="C6:C37" si="0">IF(D6=0,"",D6)</f>
        <v/>
      </c>
      <c r="D6" s="60">
        <f>'Scores and stats'!RD6</f>
        <v>0</v>
      </c>
      <c r="E6" s="61"/>
      <c r="F6" s="180" t="str" cm="1">
        <f t="array" ref="F6:G105">_xlfn._xlws.SORT(B6:C105,2,1)</f>
        <v>Dominic Coughlin</v>
      </c>
      <c r="G6" s="181">
        <v>3</v>
      </c>
      <c r="H6" s="198"/>
    </row>
    <row r="7" spans="2:8" ht="12" x14ac:dyDescent="0.2">
      <c r="B7" s="57" t="str">
        <f>'Name List'!B7</f>
        <v>Max Ball</v>
      </c>
      <c r="C7" s="59">
        <f t="shared" si="0"/>
        <v>14</v>
      </c>
      <c r="D7" s="60">
        <f>'Scores and stats'!RD7</f>
        <v>14</v>
      </c>
      <c r="E7" s="57"/>
      <c r="F7" s="180" t="str">
        <v>Sam Cochrane</v>
      </c>
      <c r="G7" s="181">
        <v>6</v>
      </c>
      <c r="H7" s="198"/>
    </row>
    <row r="8" spans="2:8" ht="12" x14ac:dyDescent="0.2">
      <c r="B8" s="57" t="str">
        <f>'Name List'!B8</f>
        <v>Harley Bishop</v>
      </c>
      <c r="C8" s="59">
        <f t="shared" si="0"/>
        <v>9</v>
      </c>
      <c r="D8" s="60">
        <f>'Scores and stats'!RD8</f>
        <v>9</v>
      </c>
      <c r="E8" s="57"/>
      <c r="F8" s="180" t="str">
        <v>Harley Bishop</v>
      </c>
      <c r="G8" s="181">
        <v>9</v>
      </c>
      <c r="H8" s="198"/>
    </row>
    <row r="9" spans="2:8" ht="12" x14ac:dyDescent="0.2">
      <c r="B9" s="57" t="str">
        <f>'Name List'!B9</f>
        <v>Chris Burroughs</v>
      </c>
      <c r="C9" s="59">
        <f t="shared" si="0"/>
        <v>16</v>
      </c>
      <c r="D9" s="60">
        <f>'Scores and stats'!RD9</f>
        <v>16</v>
      </c>
      <c r="E9" s="57"/>
      <c r="F9" s="180" t="str">
        <v>Gary Hall</v>
      </c>
      <c r="G9" s="181">
        <v>9</v>
      </c>
      <c r="H9" s="198"/>
    </row>
    <row r="10" spans="2:8" ht="12" x14ac:dyDescent="0.2">
      <c r="B10" s="57" t="str">
        <f>'Name List'!B10</f>
        <v>George Burton</v>
      </c>
      <c r="C10" s="59">
        <f t="shared" si="0"/>
        <v>13</v>
      </c>
      <c r="D10" s="60">
        <f>'Scores and stats'!RD10</f>
        <v>13</v>
      </c>
      <c r="E10" s="57"/>
      <c r="F10" s="180" t="str">
        <v>Ben Fleet</v>
      </c>
      <c r="G10" s="181">
        <v>10</v>
      </c>
      <c r="H10" s="198"/>
    </row>
    <row r="11" spans="2:8" ht="12" x14ac:dyDescent="0.2">
      <c r="B11" s="57" t="str">
        <f>'Name List'!B11</f>
        <v>Tom Burton</v>
      </c>
      <c r="C11" s="59">
        <f t="shared" si="0"/>
        <v>15</v>
      </c>
      <c r="D11" s="60">
        <f>'Scores and stats'!RD11</f>
        <v>15</v>
      </c>
      <c r="E11" s="57"/>
      <c r="F11" s="180" t="str">
        <v>Tony Forsyth-James</v>
      </c>
      <c r="G11" s="181">
        <v>10</v>
      </c>
      <c r="H11" s="198"/>
    </row>
    <row r="12" spans="2:8" ht="12" x14ac:dyDescent="0.2">
      <c r="B12" s="57" t="str">
        <f>'Name List'!B12</f>
        <v>Mike Chubb</v>
      </c>
      <c r="C12" s="59">
        <f t="shared" si="0"/>
        <v>17</v>
      </c>
      <c r="D12" s="60">
        <f>'Scores and stats'!RD12</f>
        <v>17</v>
      </c>
      <c r="E12" s="57"/>
      <c r="F12" s="180" t="str">
        <v>Dave Randall</v>
      </c>
      <c r="G12" s="181">
        <v>10</v>
      </c>
      <c r="H12" s="198"/>
    </row>
    <row r="13" spans="2:8" ht="12" x14ac:dyDescent="0.2">
      <c r="B13" s="57" t="str">
        <f>'Name List'!B13</f>
        <v>George Clarke</v>
      </c>
      <c r="C13" s="59">
        <f t="shared" si="0"/>
        <v>17</v>
      </c>
      <c r="D13" s="60">
        <f>'Scores and stats'!RD13</f>
        <v>17</v>
      </c>
      <c r="E13" s="57"/>
      <c r="F13" s="180" t="str">
        <v>Steve Wheeler</v>
      </c>
      <c r="G13" s="181">
        <v>10</v>
      </c>
      <c r="H13" s="198"/>
    </row>
    <row r="14" spans="2:8" ht="12" x14ac:dyDescent="0.2">
      <c r="B14" s="57" t="str">
        <f>'Name List'!B14</f>
        <v>Paul Clarke</v>
      </c>
      <c r="C14" s="59">
        <f t="shared" si="0"/>
        <v>12</v>
      </c>
      <c r="D14" s="60">
        <f>'Scores and stats'!RD14</f>
        <v>12</v>
      </c>
      <c r="E14" s="57"/>
      <c r="F14" s="180" t="str">
        <v>Jonathan Kanareck</v>
      </c>
      <c r="G14" s="181">
        <v>10</v>
      </c>
      <c r="H14" s="198"/>
    </row>
    <row r="15" spans="2:8" ht="12" x14ac:dyDescent="0.2">
      <c r="B15" s="57" t="str">
        <f>'Name List'!B15</f>
        <v>Martin Coomber</v>
      </c>
      <c r="C15" s="59">
        <f t="shared" si="0"/>
        <v>13</v>
      </c>
      <c r="D15" s="60">
        <f>'Scores and stats'!RD15</f>
        <v>13</v>
      </c>
      <c r="E15" s="57"/>
      <c r="F15" s="180" t="str">
        <v>Gareth Davies</v>
      </c>
      <c r="G15" s="181">
        <v>11</v>
      </c>
      <c r="H15" s="198"/>
    </row>
    <row r="16" spans="2:8" ht="12" x14ac:dyDescent="0.2">
      <c r="B16" s="57" t="str">
        <f>'Name List'!B16</f>
        <v>Dominic Coughlin</v>
      </c>
      <c r="C16" s="59">
        <f t="shared" si="0"/>
        <v>3</v>
      </c>
      <c r="D16" s="60">
        <f>'Scores and stats'!RD16</f>
        <v>3</v>
      </c>
      <c r="E16" s="57"/>
      <c r="F16" s="180" t="str">
        <v>Mike Forrest</v>
      </c>
      <c r="G16" s="181">
        <v>11</v>
      </c>
      <c r="H16" s="198"/>
    </row>
    <row r="17" spans="2:8" ht="12" x14ac:dyDescent="0.2">
      <c r="B17" s="57" t="str">
        <f>'Name List'!B17</f>
        <v>Gareth Davies</v>
      </c>
      <c r="C17" s="59">
        <f t="shared" si="0"/>
        <v>11</v>
      </c>
      <c r="D17" s="60">
        <f>'Scores and stats'!RD17</f>
        <v>11</v>
      </c>
      <c r="E17" s="57"/>
      <c r="F17" s="180" t="str">
        <v>Nick Garner</v>
      </c>
      <c r="G17" s="181">
        <v>11</v>
      </c>
      <c r="H17" s="198"/>
    </row>
    <row r="18" spans="2:8" ht="12" x14ac:dyDescent="0.2">
      <c r="B18" s="57" t="str">
        <f>'Name List'!B18</f>
        <v>Peter Donovan</v>
      </c>
      <c r="C18" s="59" t="str">
        <f t="shared" si="0"/>
        <v/>
      </c>
      <c r="D18" s="60">
        <f>'Scores and stats'!RD18</f>
        <v>0</v>
      </c>
      <c r="E18" s="57"/>
      <c r="F18" s="180" t="str">
        <v>Neil Hart</v>
      </c>
      <c r="G18" s="181">
        <v>11</v>
      </c>
      <c r="H18" s="198"/>
    </row>
    <row r="19" spans="2:8" ht="12" x14ac:dyDescent="0.2">
      <c r="B19" s="57" t="str">
        <f>'Name List'!B19</f>
        <v>James Dunn</v>
      </c>
      <c r="C19" s="59">
        <f t="shared" si="0"/>
        <v>19</v>
      </c>
      <c r="D19" s="60">
        <f>'Scores and stats'!RD19</f>
        <v>19</v>
      </c>
      <c r="E19" s="57"/>
      <c r="F19" s="180" t="str">
        <v>Eoghan Hilton</v>
      </c>
      <c r="G19" s="181">
        <v>11</v>
      </c>
      <c r="H19" s="198"/>
    </row>
    <row r="20" spans="2:8" ht="12" x14ac:dyDescent="0.2">
      <c r="B20" s="57" t="str">
        <f>'Name List'!B20</f>
        <v>Gordon Fielding</v>
      </c>
      <c r="C20" s="59" t="str">
        <f t="shared" si="0"/>
        <v/>
      </c>
      <c r="D20" s="60">
        <f>'Scores and stats'!RD20</f>
        <v>0</v>
      </c>
      <c r="E20" s="57"/>
      <c r="F20" s="180" t="str">
        <v>Jason Wale</v>
      </c>
      <c r="G20" s="181">
        <v>11</v>
      </c>
      <c r="H20" s="198"/>
    </row>
    <row r="21" spans="2:8" ht="12" x14ac:dyDescent="0.2">
      <c r="B21" s="57" t="str">
        <f>'Name List'!B21</f>
        <v>Paul Fitzgerald</v>
      </c>
      <c r="C21" s="59">
        <f t="shared" si="0"/>
        <v>15</v>
      </c>
      <c r="D21" s="60">
        <f>'Scores and stats'!RD21</f>
        <v>15</v>
      </c>
      <c r="E21" s="57"/>
      <c r="F21" s="180" t="str">
        <v>Terry Walker</v>
      </c>
      <c r="G21" s="181">
        <v>11</v>
      </c>
      <c r="H21" s="198"/>
    </row>
    <row r="22" spans="2:8" ht="12" x14ac:dyDescent="0.2">
      <c r="B22" s="57" t="str">
        <f>'Name List'!B22</f>
        <v>Ben Fleet</v>
      </c>
      <c r="C22" s="59">
        <f t="shared" si="0"/>
        <v>10</v>
      </c>
      <c r="D22" s="60">
        <f>'Scores and stats'!RD22</f>
        <v>10</v>
      </c>
      <c r="E22" s="61"/>
      <c r="F22" s="180" t="str">
        <v>Brad Whitehead</v>
      </c>
      <c r="G22" s="181">
        <v>11</v>
      </c>
      <c r="H22" s="198"/>
    </row>
    <row r="23" spans="2:8" ht="12" x14ac:dyDescent="0.2">
      <c r="B23" s="57" t="str">
        <f>'Name List'!B23</f>
        <v>Mike Forrest</v>
      </c>
      <c r="C23" s="59">
        <f t="shared" si="0"/>
        <v>11</v>
      </c>
      <c r="D23" s="60">
        <f>'Scores and stats'!RD23</f>
        <v>11</v>
      </c>
      <c r="E23" s="57"/>
      <c r="F23" s="180" t="str">
        <v>Paul Clarke</v>
      </c>
      <c r="G23" s="181">
        <v>12</v>
      </c>
      <c r="H23" s="198"/>
    </row>
    <row r="24" spans="2:8" ht="12" x14ac:dyDescent="0.2">
      <c r="B24" s="57" t="str">
        <f>'Name List'!B24</f>
        <v>Tony Forsyth-James</v>
      </c>
      <c r="C24" s="59">
        <f t="shared" si="0"/>
        <v>10</v>
      </c>
      <c r="D24" s="60">
        <f>'Scores and stats'!RD24</f>
        <v>10</v>
      </c>
      <c r="E24" s="57"/>
      <c r="F24" s="180" t="str">
        <v>Arron Rutherford</v>
      </c>
      <c r="G24" s="181">
        <v>12</v>
      </c>
      <c r="H24" s="198"/>
    </row>
    <row r="25" spans="2:8" ht="12" x14ac:dyDescent="0.2">
      <c r="B25" s="57" t="str">
        <f>'Name List'!B25</f>
        <v>Archie Fraser</v>
      </c>
      <c r="C25" s="59">
        <f t="shared" si="0"/>
        <v>15</v>
      </c>
      <c r="D25" s="60">
        <f>'Scores and stats'!RD25</f>
        <v>15</v>
      </c>
      <c r="E25" s="57"/>
      <c r="F25" s="180" t="str">
        <v>Kevin Tribley</v>
      </c>
      <c r="G25" s="181">
        <v>12</v>
      </c>
      <c r="H25" s="198"/>
    </row>
    <row r="26" spans="2:8" ht="12" x14ac:dyDescent="0.2">
      <c r="B26" s="57" t="str">
        <f>'Name List'!B26</f>
        <v>Ross Fraser</v>
      </c>
      <c r="C26" s="59">
        <f t="shared" si="0"/>
        <v>14</v>
      </c>
      <c r="D26" s="60">
        <f>'Scores and stats'!RD26</f>
        <v>14</v>
      </c>
      <c r="E26" s="57"/>
      <c r="F26" s="180" t="str">
        <v>Shaun Alexander</v>
      </c>
      <c r="G26" s="181">
        <v>12</v>
      </c>
      <c r="H26" s="198"/>
    </row>
    <row r="27" spans="2:8" ht="12" x14ac:dyDescent="0.2">
      <c r="B27" s="57" t="str">
        <f>'Name List'!B27</f>
        <v>Nick Garner</v>
      </c>
      <c r="C27" s="59">
        <f t="shared" si="0"/>
        <v>11</v>
      </c>
      <c r="D27" s="60">
        <f>'Scores and stats'!RD27</f>
        <v>11</v>
      </c>
      <c r="E27" s="61"/>
      <c r="F27" s="180" t="str">
        <v>Kyle Deane</v>
      </c>
      <c r="G27" s="181">
        <v>12</v>
      </c>
      <c r="H27" s="198"/>
    </row>
    <row r="28" spans="2:8" ht="12" x14ac:dyDescent="0.2">
      <c r="B28" s="57" t="str">
        <f>'Name List'!B28</f>
        <v>Stuart Gay</v>
      </c>
      <c r="C28" s="59" t="str">
        <f t="shared" si="0"/>
        <v/>
      </c>
      <c r="D28" s="60">
        <f>'Scores and stats'!RD28</f>
        <v>0</v>
      </c>
      <c r="E28" s="57"/>
      <c r="F28" s="180" t="str">
        <v>George Burton</v>
      </c>
      <c r="G28" s="181">
        <v>13</v>
      </c>
      <c r="H28" s="198"/>
    </row>
    <row r="29" spans="2:8" ht="12" x14ac:dyDescent="0.2">
      <c r="B29" s="57" t="str">
        <f>'Name List'!B29</f>
        <v>Jordan Hall</v>
      </c>
      <c r="C29" s="59">
        <f t="shared" si="0"/>
        <v>19</v>
      </c>
      <c r="D29" s="60">
        <f>'Scores and stats'!RD29</f>
        <v>19</v>
      </c>
      <c r="E29" s="61"/>
      <c r="F29" s="180" t="str">
        <v>Martin Coomber</v>
      </c>
      <c r="G29" s="181">
        <v>13</v>
      </c>
      <c r="H29" s="198"/>
    </row>
    <row r="30" spans="2:8" ht="12" x14ac:dyDescent="0.2">
      <c r="B30" s="57" t="str">
        <f>'Name List'!B30</f>
        <v>Gary Hall</v>
      </c>
      <c r="C30" s="59">
        <f t="shared" si="0"/>
        <v>9</v>
      </c>
      <c r="D30" s="60">
        <f>'Scores and stats'!RD30</f>
        <v>9</v>
      </c>
      <c r="E30" s="57"/>
      <c r="F30" s="180" t="str">
        <v>Peter Vallely</v>
      </c>
      <c r="G30" s="181">
        <v>13</v>
      </c>
      <c r="H30" s="198"/>
    </row>
    <row r="31" spans="2:8" ht="12" x14ac:dyDescent="0.2">
      <c r="B31" s="57" t="str">
        <f>'Name List'!B31</f>
        <v>Anthony Harris</v>
      </c>
      <c r="C31" s="59">
        <f t="shared" si="0"/>
        <v>17</v>
      </c>
      <c r="D31" s="60">
        <f>'Scores and stats'!RD31</f>
        <v>17</v>
      </c>
      <c r="E31" s="57"/>
      <c r="F31" s="180" t="str">
        <v>Max Ball</v>
      </c>
      <c r="G31" s="181">
        <v>14</v>
      </c>
      <c r="H31" s="198"/>
    </row>
    <row r="32" spans="2:8" ht="12" x14ac:dyDescent="0.2">
      <c r="B32" s="57" t="str">
        <f>'Name List'!B32</f>
        <v>Neil Hart</v>
      </c>
      <c r="C32" s="59">
        <f t="shared" si="0"/>
        <v>11</v>
      </c>
      <c r="D32" s="60">
        <f>'Scores and stats'!RD32</f>
        <v>11</v>
      </c>
      <c r="E32" s="57"/>
      <c r="F32" s="180" t="str">
        <v>Ross Fraser</v>
      </c>
      <c r="G32" s="181">
        <v>14</v>
      </c>
      <c r="H32" s="198"/>
    </row>
    <row r="33" spans="2:8" ht="12" x14ac:dyDescent="0.2">
      <c r="B33" s="57" t="str">
        <f>'Name List'!B33</f>
        <v>Tony Hearson</v>
      </c>
      <c r="C33" s="59" t="str">
        <f t="shared" si="0"/>
        <v/>
      </c>
      <c r="D33" s="60">
        <f>'Scores and stats'!RD33</f>
        <v>0</v>
      </c>
      <c r="E33" s="57"/>
      <c r="F33" s="180" t="str">
        <v>David Hilton</v>
      </c>
      <c r="G33" s="181">
        <v>14</v>
      </c>
      <c r="H33" s="198"/>
    </row>
    <row r="34" spans="2:8" ht="12" x14ac:dyDescent="0.2">
      <c r="B34" s="57" t="str">
        <f>'Name List'!B34</f>
        <v>David Hilton</v>
      </c>
      <c r="C34" s="59">
        <f t="shared" si="0"/>
        <v>14</v>
      </c>
      <c r="D34" s="60">
        <f>'Scores and stats'!RD34</f>
        <v>14</v>
      </c>
      <c r="E34" s="57"/>
      <c r="F34" s="180" t="str">
        <v>Justin Hunt</v>
      </c>
      <c r="G34" s="181">
        <v>14</v>
      </c>
      <c r="H34" s="198"/>
    </row>
    <row r="35" spans="2:8" ht="12" x14ac:dyDescent="0.2">
      <c r="B35" s="57" t="str">
        <f>'Name List'!B35</f>
        <v>Eoghan Hilton</v>
      </c>
      <c r="C35" s="59">
        <f t="shared" si="0"/>
        <v>11</v>
      </c>
      <c r="D35" s="60">
        <f>'Scores and stats'!RD35</f>
        <v>11</v>
      </c>
      <c r="E35" s="57"/>
      <c r="F35" s="180" t="str">
        <v>Andy Johnson</v>
      </c>
      <c r="G35" s="181">
        <v>14</v>
      </c>
      <c r="H35" s="198"/>
    </row>
    <row r="36" spans="2:8" ht="12" x14ac:dyDescent="0.2">
      <c r="B36" s="57" t="str">
        <f>'Name List'!B36</f>
        <v>Martin Holder</v>
      </c>
      <c r="C36" s="59" t="str">
        <f t="shared" si="0"/>
        <v/>
      </c>
      <c r="D36" s="60">
        <f>'Scores and stats'!RD36</f>
        <v>0</v>
      </c>
      <c r="E36" s="57"/>
      <c r="F36" s="180" t="str">
        <v>Oli Lloyd</v>
      </c>
      <c r="G36" s="181">
        <v>14</v>
      </c>
      <c r="H36" s="198"/>
    </row>
    <row r="37" spans="2:8" ht="12" x14ac:dyDescent="0.2">
      <c r="B37" s="57" t="str">
        <f>'Name List'!B37</f>
        <v>Justin Hunt</v>
      </c>
      <c r="C37" s="59">
        <f t="shared" si="0"/>
        <v>14</v>
      </c>
      <c r="D37" s="60">
        <f>'Scores and stats'!RD37</f>
        <v>14</v>
      </c>
      <c r="E37" s="57"/>
      <c r="F37" s="180" t="str">
        <v>Chris Smith</v>
      </c>
      <c r="G37" s="181">
        <v>14</v>
      </c>
      <c r="H37" s="198"/>
    </row>
    <row r="38" spans="2:8" ht="12" x14ac:dyDescent="0.2">
      <c r="B38" s="57" t="str">
        <f>'Name List'!B38</f>
        <v>Mark Hutchinson</v>
      </c>
      <c r="C38" s="59" t="str">
        <f t="shared" ref="C38:C69" si="1">IF(D38=0,"",D38)</f>
        <v/>
      </c>
      <c r="D38" s="60">
        <f>'Scores and stats'!RD38</f>
        <v>0</v>
      </c>
      <c r="E38" s="57"/>
      <c r="F38" s="180" t="str">
        <v>Finn Wheeler</v>
      </c>
      <c r="G38" s="181">
        <v>14</v>
      </c>
      <c r="H38" s="198"/>
    </row>
    <row r="39" spans="2:8" ht="12" x14ac:dyDescent="0.2">
      <c r="B39" s="57" t="str">
        <f>'Name List'!B39</f>
        <v>Andy Johnson</v>
      </c>
      <c r="C39" s="59">
        <f t="shared" si="1"/>
        <v>14</v>
      </c>
      <c r="D39" s="60">
        <f>'Scores and stats'!RD39</f>
        <v>14</v>
      </c>
      <c r="E39" s="57"/>
      <c r="F39" s="180" t="str">
        <v>Oliver Proud</v>
      </c>
      <c r="G39" s="181">
        <v>14</v>
      </c>
      <c r="H39" s="198"/>
    </row>
    <row r="40" spans="2:8" ht="12" x14ac:dyDescent="0.2">
      <c r="B40" s="57" t="str">
        <f>'Name List'!B40</f>
        <v>Oli Lloyd</v>
      </c>
      <c r="C40" s="59">
        <f t="shared" si="1"/>
        <v>14</v>
      </c>
      <c r="D40" s="60">
        <f>'Scores and stats'!RD40</f>
        <v>14</v>
      </c>
      <c r="E40" s="57"/>
      <c r="F40" s="180" t="str">
        <v>Tom Burton</v>
      </c>
      <c r="G40" s="181">
        <v>15</v>
      </c>
      <c r="H40" s="198"/>
    </row>
    <row r="41" spans="2:8" ht="12" x14ac:dyDescent="0.2">
      <c r="B41" s="57" t="str">
        <f>'Name List'!B41</f>
        <v>Andy Lucey</v>
      </c>
      <c r="C41" s="59" t="str">
        <f t="shared" si="1"/>
        <v/>
      </c>
      <c r="D41" s="60">
        <f>'Scores and stats'!RD41</f>
        <v>0</v>
      </c>
      <c r="E41" s="57"/>
      <c r="F41" s="180" t="str">
        <v>Paul Fitzgerald</v>
      </c>
      <c r="G41" s="181">
        <v>15</v>
      </c>
      <c r="H41" s="198"/>
    </row>
    <row r="42" spans="2:8" ht="12" x14ac:dyDescent="0.2">
      <c r="B42" s="57" t="str">
        <f>'Name List'!B42</f>
        <v>Paul Martin</v>
      </c>
      <c r="C42" s="59">
        <f t="shared" si="1"/>
        <v>16</v>
      </c>
      <c r="D42" s="60">
        <f>'Scores and stats'!RD42</f>
        <v>16</v>
      </c>
      <c r="E42" s="61"/>
      <c r="F42" s="180" t="str">
        <v>Archie Fraser</v>
      </c>
      <c r="G42" s="181">
        <v>15</v>
      </c>
      <c r="H42" s="198"/>
    </row>
    <row r="43" spans="2:8" ht="12" x14ac:dyDescent="0.2">
      <c r="B43" s="57" t="str">
        <f>'Name List'!B43</f>
        <v>Edward Money</v>
      </c>
      <c r="C43" s="59">
        <f t="shared" si="1"/>
        <v>15</v>
      </c>
      <c r="D43" s="60">
        <f>'Scores and stats'!RD43</f>
        <v>15</v>
      </c>
      <c r="E43" s="61"/>
      <c r="F43" s="180" t="str">
        <v>Edward Money</v>
      </c>
      <c r="G43" s="181">
        <v>15</v>
      </c>
      <c r="H43" s="198"/>
    </row>
    <row r="44" spans="2:8" ht="12" x14ac:dyDescent="0.2">
      <c r="B44" s="57" t="str">
        <f>'Name List'!B44</f>
        <v>Dickie Moxham</v>
      </c>
      <c r="C44" s="59">
        <f t="shared" si="1"/>
        <v>16</v>
      </c>
      <c r="D44" s="60">
        <f>'Scores and stats'!RD44</f>
        <v>16</v>
      </c>
      <c r="E44" s="57"/>
      <c r="F44" s="180" t="str">
        <v>Dan Thomas</v>
      </c>
      <c r="G44" s="181">
        <v>15</v>
      </c>
      <c r="H44" s="198"/>
    </row>
    <row r="45" spans="2:8" ht="12" x14ac:dyDescent="0.2">
      <c r="B45" s="57" t="str">
        <f>'Name List'!B45</f>
        <v>Dave Randall</v>
      </c>
      <c r="C45" s="59">
        <f t="shared" si="1"/>
        <v>10</v>
      </c>
      <c r="D45" s="60">
        <f>'Scores and stats'!RD45</f>
        <v>10</v>
      </c>
      <c r="E45" s="57"/>
      <c r="F45" s="180" t="str">
        <v>Joe Hooper</v>
      </c>
      <c r="G45" s="181">
        <v>15</v>
      </c>
      <c r="H45" s="198"/>
    </row>
    <row r="46" spans="2:8" ht="12" x14ac:dyDescent="0.2">
      <c r="B46" s="57" t="str">
        <f>'Name List'!B46</f>
        <v>Arron Rutherford</v>
      </c>
      <c r="C46" s="59">
        <f t="shared" si="1"/>
        <v>12</v>
      </c>
      <c r="D46" s="60">
        <f>'Scores and stats'!RD46</f>
        <v>12</v>
      </c>
      <c r="E46" s="57"/>
      <c r="F46" s="180" t="str">
        <v>Chris Burroughs</v>
      </c>
      <c r="G46" s="181">
        <v>16</v>
      </c>
      <c r="H46" s="198"/>
    </row>
    <row r="47" spans="2:8" ht="12" x14ac:dyDescent="0.2">
      <c r="B47" s="57" t="str">
        <f>'Name List'!B47</f>
        <v>Terry Shoker</v>
      </c>
      <c r="C47" s="59" t="str">
        <f t="shared" si="1"/>
        <v/>
      </c>
      <c r="D47" s="60">
        <f>'Scores and stats'!RD47</f>
        <v>0</v>
      </c>
      <c r="E47" s="57"/>
      <c r="F47" s="180" t="str">
        <v>Paul Martin</v>
      </c>
      <c r="G47" s="181">
        <v>16</v>
      </c>
      <c r="H47" s="198"/>
    </row>
    <row r="48" spans="2:8" ht="12" x14ac:dyDescent="0.2">
      <c r="B48" s="57" t="str">
        <f>'Name List'!B48</f>
        <v>Chris Smith</v>
      </c>
      <c r="C48" s="59">
        <f t="shared" si="1"/>
        <v>14</v>
      </c>
      <c r="D48" s="60">
        <f>'Scores and stats'!RD48</f>
        <v>14</v>
      </c>
      <c r="E48" s="61"/>
      <c r="F48" s="180" t="str">
        <v>Dickie Moxham</v>
      </c>
      <c r="G48" s="181">
        <v>16</v>
      </c>
      <c r="H48" s="198"/>
    </row>
    <row r="49" spans="2:8" ht="12" x14ac:dyDescent="0.2">
      <c r="B49" s="57" t="str">
        <f>'Name List'!B49</f>
        <v>Justin Spencer</v>
      </c>
      <c r="C49" s="59" t="str">
        <f t="shared" si="1"/>
        <v/>
      </c>
      <c r="D49" s="60">
        <f>'Scores and stats'!RD49</f>
        <v>0</v>
      </c>
      <c r="E49" s="57"/>
      <c r="F49" s="180" t="str">
        <v>Mike Chubb</v>
      </c>
      <c r="G49" s="181">
        <v>17</v>
      </c>
      <c r="H49" s="198"/>
    </row>
    <row r="50" spans="2:8" ht="12" x14ac:dyDescent="0.2">
      <c r="B50" s="57" t="str">
        <f>'Name List'!B50</f>
        <v>Jake Sprosen</v>
      </c>
      <c r="C50" s="59" t="str">
        <f t="shared" si="1"/>
        <v/>
      </c>
      <c r="D50" s="60">
        <f>'Scores and stats'!RD50</f>
        <v>0</v>
      </c>
      <c r="E50" s="57"/>
      <c r="F50" s="180" t="str">
        <v>George Clarke</v>
      </c>
      <c r="G50" s="181">
        <v>17</v>
      </c>
      <c r="H50" s="198"/>
    </row>
    <row r="51" spans="2:8" ht="12" x14ac:dyDescent="0.2">
      <c r="B51" s="57" t="str">
        <f>'Name List'!B51</f>
        <v>Tosh Sprosen</v>
      </c>
      <c r="C51" s="59" t="str">
        <f t="shared" si="1"/>
        <v/>
      </c>
      <c r="D51" s="60">
        <f>'Scores and stats'!RD51</f>
        <v>0</v>
      </c>
      <c r="E51" s="57"/>
      <c r="F51" s="180" t="str">
        <v>Anthony Harris</v>
      </c>
      <c r="G51" s="181">
        <v>17</v>
      </c>
      <c r="H51" s="198"/>
    </row>
    <row r="52" spans="2:8" ht="12" x14ac:dyDescent="0.2">
      <c r="B52" s="57" t="str">
        <f>'Name List'!B52</f>
        <v>Bill Sutton</v>
      </c>
      <c r="C52" s="59" t="str">
        <f t="shared" si="1"/>
        <v/>
      </c>
      <c r="D52" s="60">
        <f>'Scores and stats'!RD52</f>
        <v>0</v>
      </c>
      <c r="E52" s="57"/>
      <c r="F52" s="180" t="str">
        <v>Ryan Vaughan</v>
      </c>
      <c r="G52" s="181">
        <v>17</v>
      </c>
      <c r="H52" s="198"/>
    </row>
    <row r="53" spans="2:8" ht="12" x14ac:dyDescent="0.2">
      <c r="B53" s="57" t="str">
        <f>'Name List'!B53</f>
        <v>Dan Thomas</v>
      </c>
      <c r="C53" s="59">
        <f t="shared" si="1"/>
        <v>15</v>
      </c>
      <c r="D53" s="60">
        <f>'Scores and stats'!RD53</f>
        <v>15</v>
      </c>
      <c r="E53" s="57"/>
      <c r="F53" s="180" t="str">
        <v>Danny Jones</v>
      </c>
      <c r="G53" s="181">
        <v>17</v>
      </c>
      <c r="H53" s="198"/>
    </row>
    <row r="54" spans="2:8" ht="12" x14ac:dyDescent="0.2">
      <c r="B54" s="57" t="str">
        <f>'Name List'!B54</f>
        <v>Andy Thompson</v>
      </c>
      <c r="C54" s="59" t="str">
        <f t="shared" si="1"/>
        <v/>
      </c>
      <c r="D54" s="60">
        <f>'Scores and stats'!RD54</f>
        <v>0</v>
      </c>
      <c r="E54" s="57"/>
      <c r="F54" s="180" t="str">
        <v>Russell Turner</v>
      </c>
      <c r="G54" s="181">
        <v>18</v>
      </c>
      <c r="H54" s="198"/>
    </row>
    <row r="55" spans="2:8" ht="12" x14ac:dyDescent="0.2">
      <c r="B55" s="57" t="str">
        <f>'Name List'!B55</f>
        <v>Rory Thompson</v>
      </c>
      <c r="C55" s="59" t="str">
        <f t="shared" si="1"/>
        <v/>
      </c>
      <c r="D55" s="60">
        <f>'Scores and stats'!RD55</f>
        <v>0</v>
      </c>
      <c r="E55" s="57"/>
      <c r="F55" s="180" t="str">
        <v>Dave Woodget</v>
      </c>
      <c r="G55" s="181">
        <v>18</v>
      </c>
      <c r="H55" s="198"/>
    </row>
    <row r="56" spans="2:8" ht="12" x14ac:dyDescent="0.2">
      <c r="B56" s="57" t="str">
        <f>'Name List'!B56</f>
        <v>Sonny Thompson</v>
      </c>
      <c r="C56" s="59" t="str">
        <f t="shared" si="1"/>
        <v/>
      </c>
      <c r="D56" s="60">
        <f>'Scores and stats'!RD56</f>
        <v>0</v>
      </c>
      <c r="E56" s="57"/>
      <c r="F56" s="180" t="str">
        <v>James Dunn</v>
      </c>
      <c r="G56" s="181">
        <v>19</v>
      </c>
      <c r="H56" s="198"/>
    </row>
    <row r="57" spans="2:8" ht="12" x14ac:dyDescent="0.2">
      <c r="B57" s="57" t="str">
        <f>'Name List'!B57</f>
        <v>Kevin Tribley</v>
      </c>
      <c r="C57" s="59">
        <f t="shared" si="1"/>
        <v>12</v>
      </c>
      <c r="D57" s="60">
        <f>'Scores and stats'!RD57</f>
        <v>12</v>
      </c>
      <c r="E57" s="57"/>
      <c r="F57" s="180" t="str">
        <v>Jordan Hall</v>
      </c>
      <c r="G57" s="181">
        <v>19</v>
      </c>
      <c r="H57" s="198"/>
    </row>
    <row r="58" spans="2:8" ht="12" x14ac:dyDescent="0.2">
      <c r="B58" s="57" t="str">
        <f>'Name List'!B58</f>
        <v>Russell Turner</v>
      </c>
      <c r="C58" s="59">
        <f t="shared" si="1"/>
        <v>18</v>
      </c>
      <c r="D58" s="60">
        <f>'Scores and stats'!RD58</f>
        <v>18</v>
      </c>
      <c r="E58" s="57"/>
      <c r="F58" s="180" t="str">
        <v>Stuart Anderson</v>
      </c>
      <c r="G58" s="181" t="str">
        <v/>
      </c>
      <c r="H58" s="198"/>
    </row>
    <row r="59" spans="2:8" ht="12" x14ac:dyDescent="0.2">
      <c r="B59" s="57" t="str">
        <f>'Name List'!B59</f>
        <v>Peter Vallely</v>
      </c>
      <c r="C59" s="59">
        <f t="shared" si="1"/>
        <v>13</v>
      </c>
      <c r="D59" s="60">
        <f>'Scores and stats'!RD59</f>
        <v>13</v>
      </c>
      <c r="E59" s="57"/>
      <c r="F59" s="180" t="str">
        <v>Peter Donovan</v>
      </c>
      <c r="G59" s="181" t="str">
        <v/>
      </c>
      <c r="H59" s="198"/>
    </row>
    <row r="60" spans="2:8" ht="12" x14ac:dyDescent="0.2">
      <c r="B60" s="57" t="str">
        <f>'Name List'!B60</f>
        <v>Ryan Vaughan</v>
      </c>
      <c r="C60" s="59">
        <f t="shared" si="1"/>
        <v>17</v>
      </c>
      <c r="D60" s="60">
        <f>'Scores and stats'!RD60</f>
        <v>17</v>
      </c>
      <c r="E60" s="57"/>
      <c r="F60" s="180" t="str">
        <v>Gordon Fielding</v>
      </c>
      <c r="G60" s="181" t="str">
        <v/>
      </c>
      <c r="H60" s="198"/>
    </row>
    <row r="61" spans="2:8" ht="12" x14ac:dyDescent="0.2">
      <c r="B61" s="57" t="str">
        <f>'Name List'!B61</f>
        <v>Jason Wale</v>
      </c>
      <c r="C61" s="59">
        <f t="shared" si="1"/>
        <v>11</v>
      </c>
      <c r="D61" s="60">
        <f>'Scores and stats'!RD61</f>
        <v>11</v>
      </c>
      <c r="E61" s="57"/>
      <c r="F61" s="180" t="str">
        <v>Stuart Gay</v>
      </c>
      <c r="G61" s="181" t="str">
        <v/>
      </c>
      <c r="H61" s="198"/>
    </row>
    <row r="62" spans="2:8" ht="12" x14ac:dyDescent="0.2">
      <c r="B62" s="57" t="str">
        <f>'Name List'!B62</f>
        <v>Terry Walker</v>
      </c>
      <c r="C62" s="59">
        <f t="shared" si="1"/>
        <v>11</v>
      </c>
      <c r="D62" s="60">
        <f>'Scores and stats'!RD62</f>
        <v>11</v>
      </c>
      <c r="E62" s="57"/>
      <c r="F62" s="180" t="str">
        <v>Tony Hearson</v>
      </c>
      <c r="G62" s="181" t="str">
        <v/>
      </c>
      <c r="H62" s="198"/>
    </row>
    <row r="63" spans="2:8" ht="12" x14ac:dyDescent="0.2">
      <c r="B63" s="57" t="str">
        <f>'Name List'!B63</f>
        <v>Finn Wheeler</v>
      </c>
      <c r="C63" s="59">
        <f t="shared" si="1"/>
        <v>14</v>
      </c>
      <c r="D63" s="60">
        <f>'Scores and stats'!RD63</f>
        <v>14</v>
      </c>
      <c r="E63" s="57"/>
      <c r="F63" s="180" t="str">
        <v>Martin Holder</v>
      </c>
      <c r="G63" s="181" t="str">
        <v/>
      </c>
      <c r="H63" s="198"/>
    </row>
    <row r="64" spans="2:8" ht="12" x14ac:dyDescent="0.2">
      <c r="B64" s="57" t="str">
        <f>'Name List'!B64</f>
        <v>Steve Wheeler</v>
      </c>
      <c r="C64" s="59">
        <f t="shared" si="1"/>
        <v>10</v>
      </c>
      <c r="D64" s="60">
        <f>'Scores and stats'!RD64</f>
        <v>10</v>
      </c>
      <c r="E64" s="57"/>
      <c r="F64" s="180" t="str">
        <v>Mark Hutchinson</v>
      </c>
      <c r="G64" s="181" t="str">
        <v/>
      </c>
      <c r="H64" s="198"/>
    </row>
    <row r="65" spans="2:8" ht="12" x14ac:dyDescent="0.2">
      <c r="B65" s="57" t="str">
        <f>'Name List'!B65</f>
        <v>Brad Whitehead</v>
      </c>
      <c r="C65" s="59">
        <f t="shared" si="1"/>
        <v>11</v>
      </c>
      <c r="D65" s="60">
        <f>'Scores and stats'!RD65</f>
        <v>11</v>
      </c>
      <c r="E65" s="57"/>
      <c r="F65" s="180" t="str">
        <v>Andy Lucey</v>
      </c>
      <c r="G65" s="181" t="str">
        <v/>
      </c>
      <c r="H65" s="198"/>
    </row>
    <row r="66" spans="2:8" ht="12" x14ac:dyDescent="0.2">
      <c r="B66" s="57" t="str">
        <f>'Name List'!B66</f>
        <v>Dave Woodget</v>
      </c>
      <c r="C66" s="59">
        <f t="shared" si="1"/>
        <v>18</v>
      </c>
      <c r="D66" s="60">
        <f>'Scores and stats'!RD66</f>
        <v>18</v>
      </c>
      <c r="E66" s="57"/>
      <c r="F66" s="180" t="str">
        <v>Terry Shoker</v>
      </c>
      <c r="G66" s="181" t="str">
        <v/>
      </c>
      <c r="H66" s="198"/>
    </row>
    <row r="67" spans="2:8" ht="12" x14ac:dyDescent="0.2">
      <c r="B67" s="57" t="str">
        <f>'Name List'!B67</f>
        <v>Jonathan Kanareck</v>
      </c>
      <c r="C67" s="59">
        <f t="shared" si="1"/>
        <v>10</v>
      </c>
      <c r="D67" s="60">
        <f>'Scores and stats'!RD67</f>
        <v>10</v>
      </c>
      <c r="E67" s="57"/>
      <c r="F67" s="180" t="str">
        <v>Justin Spencer</v>
      </c>
      <c r="G67" s="181" t="str">
        <v/>
      </c>
      <c r="H67" s="198"/>
    </row>
    <row r="68" spans="2:8" ht="12" x14ac:dyDescent="0.2">
      <c r="B68" s="57" t="str">
        <f>'Name List'!B68</f>
        <v>Oliver Proud</v>
      </c>
      <c r="C68" s="59">
        <f t="shared" si="1"/>
        <v>14</v>
      </c>
      <c r="D68" s="60">
        <f>'Scores and stats'!RD68</f>
        <v>14</v>
      </c>
      <c r="F68" s="180" t="str">
        <v>Jake Sprosen</v>
      </c>
      <c r="G68" s="181" t="str">
        <v/>
      </c>
      <c r="H68" s="198"/>
    </row>
    <row r="69" spans="2:8" ht="12" x14ac:dyDescent="0.2">
      <c r="B69" s="57" t="str">
        <f>'Name List'!B69</f>
        <v>Joe Hooper</v>
      </c>
      <c r="C69" s="59">
        <f t="shared" si="1"/>
        <v>15</v>
      </c>
      <c r="D69" s="60">
        <f>'Scores and stats'!RD69</f>
        <v>15</v>
      </c>
      <c r="F69" s="180" t="str">
        <v>Tosh Sprosen</v>
      </c>
      <c r="G69" s="181" t="str">
        <v/>
      </c>
      <c r="H69" s="198"/>
    </row>
    <row r="70" spans="2:8" ht="12" x14ac:dyDescent="0.2">
      <c r="B70" s="57" t="str">
        <f>'Name List'!B70</f>
        <v>Danny Jones</v>
      </c>
      <c r="C70" s="59">
        <f t="shared" ref="C70:C74" si="2">IF(D70=0,"",D70)</f>
        <v>17</v>
      </c>
      <c r="D70" s="60">
        <f>'Scores and stats'!RD70</f>
        <v>17</v>
      </c>
      <c r="F70" s="180" t="str">
        <v>Bill Sutton</v>
      </c>
      <c r="G70" s="181" t="str">
        <v/>
      </c>
      <c r="H70" s="198"/>
    </row>
    <row r="71" spans="2:8" ht="12" x14ac:dyDescent="0.2">
      <c r="B71" s="57" t="str">
        <f>'Name List'!B71</f>
        <v>Liam Anderson</v>
      </c>
      <c r="C71" s="59" t="str">
        <f t="shared" si="2"/>
        <v/>
      </c>
      <c r="D71" s="60">
        <f>'Scores and stats'!RD71</f>
        <v>0</v>
      </c>
      <c r="F71" s="180" t="str">
        <v>Andy Thompson</v>
      </c>
      <c r="G71" s="181" t="str">
        <v/>
      </c>
      <c r="H71" s="198"/>
    </row>
    <row r="72" spans="2:8" ht="12" x14ac:dyDescent="0.2">
      <c r="B72" s="57" t="str">
        <f>'Name List'!B72</f>
        <v>Sam Cochrane</v>
      </c>
      <c r="C72" s="59">
        <f t="shared" si="2"/>
        <v>6</v>
      </c>
      <c r="D72" s="60">
        <f>'Scores and stats'!RD72</f>
        <v>6</v>
      </c>
      <c r="F72" s="180" t="str">
        <v>Rory Thompson</v>
      </c>
      <c r="G72" s="181" t="str">
        <v/>
      </c>
      <c r="H72" s="198"/>
    </row>
    <row r="73" spans="2:8" ht="12" x14ac:dyDescent="0.2">
      <c r="B73" s="57" t="str">
        <f>'Name List'!B73</f>
        <v>Shaun Alexander</v>
      </c>
      <c r="C73" s="59">
        <f t="shared" si="2"/>
        <v>12</v>
      </c>
      <c r="D73" s="60">
        <f>'Scores and stats'!RD73</f>
        <v>12</v>
      </c>
      <c r="F73" s="180" t="str">
        <v>Sonny Thompson</v>
      </c>
      <c r="G73" s="181" t="str">
        <v/>
      </c>
      <c r="H73" s="198"/>
    </row>
    <row r="74" spans="2:8" ht="12" x14ac:dyDescent="0.2">
      <c r="B74" s="57" t="str">
        <f>'Name List'!B74</f>
        <v>Kyle Deane</v>
      </c>
      <c r="C74" s="59">
        <f t="shared" si="2"/>
        <v>12</v>
      </c>
      <c r="D74" s="60">
        <f>'Scores and stats'!RD74</f>
        <v>12</v>
      </c>
      <c r="F74" s="180" t="str">
        <v>Liam Anderson</v>
      </c>
      <c r="G74" s="181" t="str">
        <v/>
      </c>
      <c r="H74" s="198"/>
    </row>
    <row r="75" spans="2:8" ht="12" x14ac:dyDescent="0.2">
      <c r="B75" s="57">
        <f>'Name List'!B75</f>
        <v>1</v>
      </c>
      <c r="C75" s="59" t="str">
        <f t="shared" ref="C75:C105" si="3">IF(D75=0,"",D75)</f>
        <v/>
      </c>
      <c r="D75" s="60">
        <f>'Scores and stats'!RD75</f>
        <v>0</v>
      </c>
      <c r="F75" s="180">
        <v>1</v>
      </c>
      <c r="G75" s="181" t="str">
        <v/>
      </c>
      <c r="H75" s="198"/>
    </row>
    <row r="76" spans="2:8" ht="12" x14ac:dyDescent="0.2">
      <c r="B76" s="57">
        <f>'Name List'!B76</f>
        <v>2</v>
      </c>
      <c r="C76" s="59" t="str">
        <f t="shared" si="3"/>
        <v/>
      </c>
      <c r="D76" s="60">
        <f>'Scores and stats'!RD76</f>
        <v>0</v>
      </c>
      <c r="F76" s="180">
        <v>2</v>
      </c>
      <c r="G76" s="181" t="str">
        <v/>
      </c>
      <c r="H76" s="198"/>
    </row>
    <row r="77" spans="2:8" ht="12" x14ac:dyDescent="0.2">
      <c r="B77" s="57">
        <f>'Name List'!B77</f>
        <v>3</v>
      </c>
      <c r="C77" s="59" t="str">
        <f t="shared" si="3"/>
        <v/>
      </c>
      <c r="D77" s="60">
        <f>'Scores and stats'!RD77</f>
        <v>0</v>
      </c>
      <c r="F77" s="180">
        <v>3</v>
      </c>
      <c r="G77" s="181" t="str">
        <v/>
      </c>
      <c r="H77" s="198"/>
    </row>
    <row r="78" spans="2:8" ht="12" x14ac:dyDescent="0.2">
      <c r="B78" s="57">
        <f>'Name List'!B78</f>
        <v>4</v>
      </c>
      <c r="C78" s="59" t="str">
        <f t="shared" si="3"/>
        <v/>
      </c>
      <c r="D78" s="60">
        <f>'Scores and stats'!RD78</f>
        <v>0</v>
      </c>
      <c r="F78" s="180">
        <v>4</v>
      </c>
      <c r="G78" s="181" t="str">
        <v/>
      </c>
      <c r="H78" s="198"/>
    </row>
    <row r="79" spans="2:8" ht="12" x14ac:dyDescent="0.2">
      <c r="B79" s="57">
        <f>'Name List'!B79</f>
        <v>5</v>
      </c>
      <c r="C79" s="59" t="str">
        <f t="shared" si="3"/>
        <v/>
      </c>
      <c r="D79" s="60">
        <f>'Scores and stats'!RD79</f>
        <v>0</v>
      </c>
      <c r="F79" s="180">
        <v>5</v>
      </c>
      <c r="G79" s="181" t="str">
        <v/>
      </c>
      <c r="H79" s="198"/>
    </row>
    <row r="80" spans="2:8" ht="12" x14ac:dyDescent="0.2">
      <c r="B80" s="57">
        <f>'Name List'!B80</f>
        <v>6</v>
      </c>
      <c r="C80" s="59" t="str">
        <f t="shared" si="3"/>
        <v/>
      </c>
      <c r="D80" s="60">
        <f>'Scores and stats'!RD80</f>
        <v>0</v>
      </c>
      <c r="F80" s="180">
        <v>6</v>
      </c>
      <c r="G80" s="181" t="str">
        <v/>
      </c>
      <c r="H80" s="198"/>
    </row>
    <row r="81" spans="2:8" ht="12" x14ac:dyDescent="0.2">
      <c r="B81" s="57">
        <f>'Name List'!B81</f>
        <v>7</v>
      </c>
      <c r="C81" s="59" t="str">
        <f t="shared" si="3"/>
        <v/>
      </c>
      <c r="D81" s="60">
        <f>'Scores and stats'!RD81</f>
        <v>0</v>
      </c>
      <c r="F81" s="180">
        <v>7</v>
      </c>
      <c r="G81" s="181" t="str">
        <v/>
      </c>
      <c r="H81" s="198"/>
    </row>
    <row r="82" spans="2:8" ht="12" x14ac:dyDescent="0.2">
      <c r="B82" s="57">
        <f>'Name List'!B82</f>
        <v>8</v>
      </c>
      <c r="C82" s="59" t="str">
        <f t="shared" si="3"/>
        <v/>
      </c>
      <c r="D82" s="60">
        <f>'Scores and stats'!RD82</f>
        <v>0</v>
      </c>
      <c r="F82" s="180">
        <v>8</v>
      </c>
      <c r="G82" s="181" t="str">
        <v/>
      </c>
      <c r="H82" s="198"/>
    </row>
    <row r="83" spans="2:8" ht="12" x14ac:dyDescent="0.2">
      <c r="B83" s="57">
        <f>'Name List'!B83</f>
        <v>9</v>
      </c>
      <c r="C83" s="59" t="str">
        <f t="shared" si="3"/>
        <v/>
      </c>
      <c r="D83" s="60">
        <f>'Scores and stats'!RD83</f>
        <v>0</v>
      </c>
      <c r="F83" s="180">
        <v>9</v>
      </c>
      <c r="G83" s="181" t="str">
        <v/>
      </c>
      <c r="H83" s="198"/>
    </row>
    <row r="84" spans="2:8" ht="12" x14ac:dyDescent="0.2">
      <c r="B84" s="57">
        <f>'Name List'!B84</f>
        <v>10</v>
      </c>
      <c r="C84" s="59" t="str">
        <f t="shared" si="3"/>
        <v/>
      </c>
      <c r="D84" s="60">
        <f>'Scores and stats'!RD84</f>
        <v>0</v>
      </c>
      <c r="F84" s="180">
        <v>10</v>
      </c>
      <c r="G84" s="181" t="str">
        <v/>
      </c>
      <c r="H84" s="198"/>
    </row>
    <row r="85" spans="2:8" ht="12" x14ac:dyDescent="0.2">
      <c r="B85" s="57">
        <f>'Name List'!B85</f>
        <v>11</v>
      </c>
      <c r="C85" s="59" t="str">
        <f t="shared" si="3"/>
        <v/>
      </c>
      <c r="D85" s="60">
        <f>'Scores and stats'!RD85</f>
        <v>0</v>
      </c>
      <c r="F85" s="180">
        <v>11</v>
      </c>
      <c r="G85" s="181" t="str">
        <v/>
      </c>
      <c r="H85" s="198"/>
    </row>
    <row r="86" spans="2:8" ht="12" x14ac:dyDescent="0.2">
      <c r="B86" s="57">
        <f>'Name List'!B86</f>
        <v>12</v>
      </c>
      <c r="C86" s="59" t="str">
        <f t="shared" si="3"/>
        <v/>
      </c>
      <c r="D86" s="60">
        <f>'Scores and stats'!RD86</f>
        <v>0</v>
      </c>
      <c r="F86" s="180">
        <v>12</v>
      </c>
      <c r="G86" s="181" t="str">
        <v/>
      </c>
      <c r="H86" s="198"/>
    </row>
    <row r="87" spans="2:8" ht="12" x14ac:dyDescent="0.2">
      <c r="B87" s="57">
        <f>'Name List'!B87</f>
        <v>13</v>
      </c>
      <c r="C87" s="59" t="str">
        <f t="shared" si="3"/>
        <v/>
      </c>
      <c r="D87" s="60">
        <f>'Scores and stats'!RD87</f>
        <v>0</v>
      </c>
      <c r="F87" s="180">
        <v>13</v>
      </c>
      <c r="G87" s="181" t="str">
        <v/>
      </c>
      <c r="H87" s="198"/>
    </row>
    <row r="88" spans="2:8" ht="12" x14ac:dyDescent="0.2">
      <c r="B88" s="57">
        <f>'Name List'!B88</f>
        <v>14</v>
      </c>
      <c r="C88" s="59" t="str">
        <f t="shared" si="3"/>
        <v/>
      </c>
      <c r="D88" s="60">
        <f>'Scores and stats'!RD88</f>
        <v>0</v>
      </c>
      <c r="F88" s="180">
        <v>14</v>
      </c>
      <c r="G88" s="181" t="str">
        <v/>
      </c>
      <c r="H88" s="198"/>
    </row>
    <row r="89" spans="2:8" ht="12" x14ac:dyDescent="0.2">
      <c r="B89" s="57">
        <f>'Name List'!B89</f>
        <v>15</v>
      </c>
      <c r="C89" s="59" t="str">
        <f t="shared" si="3"/>
        <v/>
      </c>
      <c r="D89" s="60">
        <f>'Scores and stats'!RD89</f>
        <v>0</v>
      </c>
      <c r="F89" s="180">
        <v>15</v>
      </c>
      <c r="G89" s="181" t="str">
        <v/>
      </c>
      <c r="H89" s="198"/>
    </row>
    <row r="90" spans="2:8" ht="12" x14ac:dyDescent="0.2">
      <c r="B90" s="57">
        <f>'Name List'!B90</f>
        <v>16</v>
      </c>
      <c r="C90" s="59" t="str">
        <f t="shared" si="3"/>
        <v/>
      </c>
      <c r="D90" s="60">
        <f>'Scores and stats'!RD90</f>
        <v>0</v>
      </c>
      <c r="F90" s="180">
        <v>16</v>
      </c>
      <c r="G90" s="181" t="str">
        <v/>
      </c>
      <c r="H90" s="198"/>
    </row>
    <row r="91" spans="2:8" ht="12" x14ac:dyDescent="0.2">
      <c r="B91" s="57">
        <f>'Name List'!B91</f>
        <v>17</v>
      </c>
      <c r="C91" s="59" t="str">
        <f t="shared" si="3"/>
        <v/>
      </c>
      <c r="D91" s="60">
        <f>'Scores and stats'!RD91</f>
        <v>0</v>
      </c>
      <c r="F91" s="321">
        <v>17</v>
      </c>
      <c r="G91" s="323" t="str">
        <v/>
      </c>
      <c r="H91" s="198"/>
    </row>
    <row r="92" spans="2:8" ht="12" x14ac:dyDescent="0.2">
      <c r="B92" s="57">
        <f>'Name List'!B92</f>
        <v>18</v>
      </c>
      <c r="C92" s="59" t="str">
        <f t="shared" si="3"/>
        <v/>
      </c>
      <c r="D92" s="60">
        <f>'Scores and stats'!RD92</f>
        <v>0</v>
      </c>
      <c r="F92" s="321">
        <v>18</v>
      </c>
      <c r="G92" s="323" t="str">
        <v/>
      </c>
    </row>
    <row r="93" spans="2:8" ht="12" x14ac:dyDescent="0.2">
      <c r="B93" s="57">
        <f>'Name List'!B93</f>
        <v>19</v>
      </c>
      <c r="C93" s="59" t="str">
        <f t="shared" si="3"/>
        <v/>
      </c>
      <c r="D93" s="60">
        <f>'Scores and stats'!RD93</f>
        <v>0</v>
      </c>
      <c r="F93" s="321">
        <v>19</v>
      </c>
      <c r="G93" s="323" t="str">
        <v/>
      </c>
    </row>
    <row r="94" spans="2:8" ht="12" x14ac:dyDescent="0.2">
      <c r="B94" s="57">
        <f>'Name List'!B94</f>
        <v>20</v>
      </c>
      <c r="C94" s="59" t="str">
        <f t="shared" si="3"/>
        <v/>
      </c>
      <c r="D94" s="60">
        <f>'Scores and stats'!RD94</f>
        <v>0</v>
      </c>
      <c r="F94" s="321">
        <v>20</v>
      </c>
      <c r="G94" s="323" t="str">
        <v/>
      </c>
    </row>
    <row r="95" spans="2:8" ht="12" x14ac:dyDescent="0.2">
      <c r="B95" s="57">
        <f>'Name List'!B95</f>
        <v>21</v>
      </c>
      <c r="C95" s="59" t="str">
        <f t="shared" si="3"/>
        <v/>
      </c>
      <c r="D95" s="60">
        <f>'Scores and stats'!RD95</f>
        <v>0</v>
      </c>
      <c r="F95" s="321">
        <v>21</v>
      </c>
      <c r="G95" s="323" t="str">
        <v/>
      </c>
    </row>
    <row r="96" spans="2:8" ht="12" x14ac:dyDescent="0.2">
      <c r="B96" s="57">
        <f>'Name List'!B96</f>
        <v>22</v>
      </c>
      <c r="C96" s="59" t="str">
        <f t="shared" si="3"/>
        <v/>
      </c>
      <c r="D96" s="60">
        <f>'Scores and stats'!RD96</f>
        <v>0</v>
      </c>
      <c r="F96" s="321">
        <v>22</v>
      </c>
      <c r="G96" s="323" t="str">
        <v/>
      </c>
    </row>
    <row r="97" spans="2:7" ht="12" x14ac:dyDescent="0.2">
      <c r="B97" s="57">
        <f>'Name List'!B97</f>
        <v>23</v>
      </c>
      <c r="C97" s="59" t="str">
        <f t="shared" si="3"/>
        <v/>
      </c>
      <c r="D97" s="60">
        <f>'Scores and stats'!RD97</f>
        <v>0</v>
      </c>
      <c r="F97" s="321">
        <v>23</v>
      </c>
      <c r="G97" s="323" t="str">
        <v/>
      </c>
    </row>
    <row r="98" spans="2:7" ht="12" x14ac:dyDescent="0.2">
      <c r="B98" s="57">
        <f>'Name List'!B98</f>
        <v>24</v>
      </c>
      <c r="C98" s="59" t="str">
        <f t="shared" si="3"/>
        <v/>
      </c>
      <c r="D98" s="60">
        <f>'Scores and stats'!RD98</f>
        <v>0</v>
      </c>
      <c r="F98" s="321">
        <v>24</v>
      </c>
      <c r="G98" s="323" t="str">
        <v/>
      </c>
    </row>
    <row r="99" spans="2:7" ht="12" x14ac:dyDescent="0.2">
      <c r="B99" s="57">
        <f>'Name List'!B99</f>
        <v>25</v>
      </c>
      <c r="C99" s="59" t="str">
        <f t="shared" si="3"/>
        <v/>
      </c>
      <c r="D99" s="60">
        <f>'Scores and stats'!RD99</f>
        <v>0</v>
      </c>
      <c r="F99" s="321">
        <v>25</v>
      </c>
      <c r="G99" s="323" t="str">
        <v/>
      </c>
    </row>
    <row r="100" spans="2:7" ht="12" x14ac:dyDescent="0.2">
      <c r="B100" s="57">
        <f>'Name List'!B100</f>
        <v>26</v>
      </c>
      <c r="C100" s="59" t="str">
        <f t="shared" si="3"/>
        <v/>
      </c>
      <c r="D100" s="60">
        <f>'Scores and stats'!RD100</f>
        <v>0</v>
      </c>
      <c r="F100" s="321">
        <v>26</v>
      </c>
      <c r="G100" s="323" t="str">
        <v/>
      </c>
    </row>
    <row r="101" spans="2:7" ht="12" x14ac:dyDescent="0.2">
      <c r="B101" s="57">
        <f>'Name List'!B101</f>
        <v>27</v>
      </c>
      <c r="C101" s="59" t="str">
        <f t="shared" si="3"/>
        <v/>
      </c>
      <c r="D101" s="60">
        <f>'Scores and stats'!RD101</f>
        <v>0</v>
      </c>
      <c r="F101" s="321">
        <v>27</v>
      </c>
      <c r="G101" s="323" t="str">
        <v/>
      </c>
    </row>
    <row r="102" spans="2:7" ht="12" x14ac:dyDescent="0.2">
      <c r="B102" s="57">
        <f>'Name List'!B102</f>
        <v>28</v>
      </c>
      <c r="C102" s="59" t="str">
        <f t="shared" si="3"/>
        <v/>
      </c>
      <c r="D102" s="60">
        <f>'Scores and stats'!RD102</f>
        <v>0</v>
      </c>
      <c r="F102" s="321">
        <v>28</v>
      </c>
      <c r="G102" s="323" t="str">
        <v/>
      </c>
    </row>
    <row r="103" spans="2:7" ht="12" x14ac:dyDescent="0.2">
      <c r="B103" s="57">
        <f>'Name List'!B103</f>
        <v>29</v>
      </c>
      <c r="C103" s="59" t="str">
        <f t="shared" si="3"/>
        <v/>
      </c>
      <c r="D103" s="60">
        <f>'Scores and stats'!RD103</f>
        <v>0</v>
      </c>
      <c r="F103" s="321">
        <v>29</v>
      </c>
      <c r="G103" s="323" t="str">
        <v/>
      </c>
    </row>
    <row r="104" spans="2:7" ht="12" x14ac:dyDescent="0.2">
      <c r="B104" s="57">
        <f>'Name List'!B104</f>
        <v>30</v>
      </c>
      <c r="C104" s="59" t="str">
        <f t="shared" si="3"/>
        <v/>
      </c>
      <c r="D104" s="60">
        <f>'Scores and stats'!RD104</f>
        <v>0</v>
      </c>
      <c r="F104" s="321">
        <v>30</v>
      </c>
      <c r="G104" s="323" t="str">
        <v/>
      </c>
    </row>
    <row r="105" spans="2:7" ht="12" x14ac:dyDescent="0.2">
      <c r="B105" s="57">
        <f>'Name List'!B105</f>
        <v>31</v>
      </c>
      <c r="C105" s="59" t="str">
        <f t="shared" si="3"/>
        <v/>
      </c>
      <c r="D105" s="60">
        <f>'Scores and stats'!RD105</f>
        <v>0</v>
      </c>
      <c r="F105" s="322">
        <v>31</v>
      </c>
      <c r="G105" s="324" t="str">
        <v/>
      </c>
    </row>
  </sheetData>
  <mergeCells count="1">
    <mergeCell ref="F3:G3"/>
  </mergeCells>
  <pageMargins left="0.7" right="0.7" top="0.75" bottom="0.75" header="0.3" footer="0.3"/>
  <pageSetup paperSize="9" orientation="portrait" r:id="rId1"/>
  <headerFooter>
    <oddFooter>&amp;C&amp;1#&amp;"Calibri"&amp;10&amp;K000000PUBLIC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CD53-133B-4039-BF6D-1D3EADCAD502}">
  <dimension ref="B2:H105"/>
  <sheetViews>
    <sheetView view="pageLayout" workbookViewId="0">
      <selection activeCell="C90" sqref="C90"/>
    </sheetView>
  </sheetViews>
  <sheetFormatPr defaultColWidth="9.33203125" defaultRowHeight="11.25" x14ac:dyDescent="0.2"/>
  <cols>
    <col min="2" max="2" width="23.1640625" customWidth="1"/>
    <col min="3" max="3" width="23.1640625" hidden="1" customWidth="1"/>
    <col min="4" max="4" width="17.6640625" customWidth="1"/>
    <col min="5" max="5" width="3.5" customWidth="1"/>
    <col min="6" max="6" width="25" customWidth="1"/>
  </cols>
  <sheetData>
    <row r="2" spans="2:8" ht="12" x14ac:dyDescent="0.2">
      <c r="B2" s="57"/>
      <c r="C2" s="57"/>
      <c r="D2" s="58"/>
      <c r="E2" s="57"/>
      <c r="F2" s="59"/>
      <c r="G2" s="59"/>
    </row>
    <row r="3" spans="2:8" ht="12" x14ac:dyDescent="0.2">
      <c r="B3" s="57"/>
      <c r="C3" s="57"/>
      <c r="D3" s="58" t="s">
        <v>151</v>
      </c>
      <c r="E3" s="58"/>
      <c r="F3" s="731" t="str">
        <f>D3</f>
        <v>Worst Back 9</v>
      </c>
      <c r="G3" s="732"/>
    </row>
    <row r="4" spans="2:8" ht="12" x14ac:dyDescent="0.2">
      <c r="B4" s="57"/>
      <c r="C4" s="57"/>
      <c r="D4" s="58"/>
      <c r="E4" s="57"/>
      <c r="F4" s="180"/>
      <c r="G4" s="181"/>
      <c r="H4" s="198"/>
    </row>
    <row r="5" spans="2:8" ht="12" x14ac:dyDescent="0.2">
      <c r="B5" s="57"/>
      <c r="C5" s="57"/>
      <c r="D5" s="58"/>
      <c r="E5" s="57"/>
      <c r="F5" s="180"/>
      <c r="G5" s="181"/>
      <c r="H5" s="198"/>
    </row>
    <row r="6" spans="2:8" ht="12" x14ac:dyDescent="0.2">
      <c r="B6" s="57" t="str">
        <f>'Name List'!B6</f>
        <v>Stuart Anderson</v>
      </c>
      <c r="C6" s="59" t="str">
        <f t="shared" ref="C6:C37" si="0">IF(D6=0,"",D6)</f>
        <v/>
      </c>
      <c r="D6" s="60">
        <f>'Scores and stats'!RE6</f>
        <v>0</v>
      </c>
      <c r="E6" s="61"/>
      <c r="F6" s="180" t="str" cm="1">
        <f t="array" ref="F6:G105">_xlfn._xlws.SORT(B6:C105,2,1)</f>
        <v>Paul Clarke</v>
      </c>
      <c r="G6" s="361">
        <v>4</v>
      </c>
      <c r="H6" s="198"/>
    </row>
    <row r="7" spans="2:8" ht="12" x14ac:dyDescent="0.2">
      <c r="B7" s="57" t="str">
        <f>'Name List'!B7</f>
        <v>Max Ball</v>
      </c>
      <c r="C7" s="59">
        <f t="shared" si="0"/>
        <v>15</v>
      </c>
      <c r="D7" s="60">
        <f>'Scores and stats'!RE7</f>
        <v>15</v>
      </c>
      <c r="E7" s="57"/>
      <c r="F7" s="180" t="str">
        <v>Oliver Proud</v>
      </c>
      <c r="G7" s="181">
        <v>5</v>
      </c>
      <c r="H7" s="198"/>
    </row>
    <row r="8" spans="2:8" ht="12" x14ac:dyDescent="0.2">
      <c r="B8" s="57" t="str">
        <f>'Name List'!B8</f>
        <v>Harley Bishop</v>
      </c>
      <c r="C8" s="59">
        <f t="shared" si="0"/>
        <v>9</v>
      </c>
      <c r="D8" s="60">
        <f>'Scores and stats'!RE8</f>
        <v>9</v>
      </c>
      <c r="E8" s="57"/>
      <c r="F8" s="180" t="str">
        <v>Sam Cochrane</v>
      </c>
      <c r="G8" s="181">
        <v>8</v>
      </c>
      <c r="H8" s="198"/>
    </row>
    <row r="9" spans="2:8" ht="12" x14ac:dyDescent="0.2">
      <c r="B9" s="57" t="str">
        <f>'Name List'!B9</f>
        <v>Chris Burroughs</v>
      </c>
      <c r="C9" s="59">
        <f t="shared" si="0"/>
        <v>13</v>
      </c>
      <c r="D9" s="60">
        <f>'Scores and stats'!RE9</f>
        <v>13</v>
      </c>
      <c r="E9" s="57"/>
      <c r="F9" s="180" t="str">
        <v>Harley Bishop</v>
      </c>
      <c r="G9" s="181">
        <v>9</v>
      </c>
      <c r="H9" s="198"/>
    </row>
    <row r="10" spans="2:8" ht="12" x14ac:dyDescent="0.2">
      <c r="B10" s="57" t="str">
        <f>'Name List'!B10</f>
        <v>George Burton</v>
      </c>
      <c r="C10" s="59">
        <f t="shared" si="0"/>
        <v>14</v>
      </c>
      <c r="D10" s="60">
        <f>'Scores and stats'!RE10</f>
        <v>14</v>
      </c>
      <c r="E10" s="57"/>
      <c r="F10" s="180" t="str">
        <v>Tony Forsyth-James</v>
      </c>
      <c r="G10" s="181">
        <v>10</v>
      </c>
      <c r="H10" s="198"/>
    </row>
    <row r="11" spans="2:8" ht="12" x14ac:dyDescent="0.2">
      <c r="B11" s="57" t="str">
        <f>'Name List'!B11</f>
        <v>Tom Burton</v>
      </c>
      <c r="C11" s="59">
        <f t="shared" si="0"/>
        <v>13</v>
      </c>
      <c r="D11" s="60">
        <f>'Scores and stats'!RE11</f>
        <v>13</v>
      </c>
      <c r="E11" s="57"/>
      <c r="F11" s="180" t="str">
        <v>Neil Hart</v>
      </c>
      <c r="G11" s="181">
        <v>10</v>
      </c>
      <c r="H11" s="198"/>
    </row>
    <row r="12" spans="2:8" ht="12" x14ac:dyDescent="0.2">
      <c r="B12" s="57" t="str">
        <f>'Name List'!B12</f>
        <v>Mike Chubb</v>
      </c>
      <c r="C12" s="59">
        <f t="shared" si="0"/>
        <v>17</v>
      </c>
      <c r="D12" s="60">
        <f>'Scores and stats'!RE12</f>
        <v>17</v>
      </c>
      <c r="E12" s="57"/>
      <c r="F12" s="180" t="str">
        <v>Finn Wheeler</v>
      </c>
      <c r="G12" s="181">
        <v>10</v>
      </c>
      <c r="H12" s="198"/>
    </row>
    <row r="13" spans="2:8" ht="12" x14ac:dyDescent="0.2">
      <c r="B13" s="57" t="str">
        <f>'Name List'!B13</f>
        <v>George Clarke</v>
      </c>
      <c r="C13" s="59">
        <f t="shared" si="0"/>
        <v>18</v>
      </c>
      <c r="D13" s="60">
        <f>'Scores and stats'!RE13</f>
        <v>18</v>
      </c>
      <c r="E13" s="57"/>
      <c r="F13" s="180" t="str">
        <v>Ben Fleet</v>
      </c>
      <c r="G13" s="181">
        <v>11</v>
      </c>
      <c r="H13" s="198"/>
    </row>
    <row r="14" spans="2:8" ht="12" x14ac:dyDescent="0.2">
      <c r="B14" s="57" t="str">
        <f>'Name List'!B14</f>
        <v>Paul Clarke</v>
      </c>
      <c r="C14" s="59">
        <f t="shared" si="0"/>
        <v>4</v>
      </c>
      <c r="D14" s="60">
        <f>'Scores and stats'!RE14</f>
        <v>4</v>
      </c>
      <c r="E14" s="57"/>
      <c r="F14" s="180" t="str">
        <v>Edward Money</v>
      </c>
      <c r="G14" s="181">
        <v>11</v>
      </c>
      <c r="H14" s="198"/>
    </row>
    <row r="15" spans="2:8" ht="12" x14ac:dyDescent="0.2">
      <c r="B15" s="57" t="str">
        <f>'Name List'!B15</f>
        <v>Martin Coomber</v>
      </c>
      <c r="C15" s="59">
        <f t="shared" si="0"/>
        <v>14</v>
      </c>
      <c r="D15" s="60">
        <f>'Scores and stats'!RE15</f>
        <v>14</v>
      </c>
      <c r="E15" s="57"/>
      <c r="F15" s="180" t="str">
        <v>Dave Randall</v>
      </c>
      <c r="G15" s="181">
        <v>11</v>
      </c>
      <c r="H15" s="198"/>
    </row>
    <row r="16" spans="2:8" ht="12" x14ac:dyDescent="0.2">
      <c r="B16" s="57" t="str">
        <f>'Name List'!B16</f>
        <v>Dominic Coughlin</v>
      </c>
      <c r="C16" s="59">
        <f t="shared" si="0"/>
        <v>16</v>
      </c>
      <c r="D16" s="60">
        <f>'Scores and stats'!RE16</f>
        <v>16</v>
      </c>
      <c r="E16" s="57"/>
      <c r="F16" s="180" t="str">
        <v>Jason Wale</v>
      </c>
      <c r="G16" s="181">
        <v>11</v>
      </c>
      <c r="H16" s="198"/>
    </row>
    <row r="17" spans="2:8" ht="12" x14ac:dyDescent="0.2">
      <c r="B17" s="57" t="str">
        <f>'Name List'!B17</f>
        <v>Gareth Davies</v>
      </c>
      <c r="C17" s="59">
        <f t="shared" si="0"/>
        <v>12</v>
      </c>
      <c r="D17" s="60">
        <f>'Scores and stats'!RE17</f>
        <v>12</v>
      </c>
      <c r="E17" s="57"/>
      <c r="F17" s="180" t="str">
        <v>Brad Whitehead</v>
      </c>
      <c r="G17" s="181">
        <v>11</v>
      </c>
      <c r="H17" s="198"/>
    </row>
    <row r="18" spans="2:8" ht="12" x14ac:dyDescent="0.2">
      <c r="B18" s="57" t="str">
        <f>'Name List'!B18</f>
        <v>Peter Donovan</v>
      </c>
      <c r="C18" s="59" t="str">
        <f t="shared" si="0"/>
        <v/>
      </c>
      <c r="D18" s="60">
        <f>'Scores and stats'!RE18</f>
        <v>0</v>
      </c>
      <c r="E18" s="57"/>
      <c r="F18" s="180" t="str">
        <v>Gareth Davies</v>
      </c>
      <c r="G18" s="181">
        <v>12</v>
      </c>
      <c r="H18" s="198"/>
    </row>
    <row r="19" spans="2:8" ht="12" x14ac:dyDescent="0.2">
      <c r="B19" s="57" t="str">
        <f>'Name List'!B19</f>
        <v>James Dunn</v>
      </c>
      <c r="C19" s="59">
        <f t="shared" si="0"/>
        <v>18</v>
      </c>
      <c r="D19" s="60">
        <f>'Scores and stats'!RE19</f>
        <v>18</v>
      </c>
      <c r="E19" s="57"/>
      <c r="F19" s="180" t="str">
        <v>Paul Fitzgerald</v>
      </c>
      <c r="G19" s="181">
        <v>12</v>
      </c>
      <c r="H19" s="198"/>
    </row>
    <row r="20" spans="2:8" ht="12" x14ac:dyDescent="0.2">
      <c r="B20" s="57" t="str">
        <f>'Name List'!B20</f>
        <v>Gordon Fielding</v>
      </c>
      <c r="C20" s="59" t="str">
        <f t="shared" si="0"/>
        <v/>
      </c>
      <c r="D20" s="60">
        <f>'Scores and stats'!RE20</f>
        <v>0</v>
      </c>
      <c r="E20" s="57"/>
      <c r="F20" s="180" t="str">
        <v>Mike Forrest</v>
      </c>
      <c r="G20" s="181">
        <v>12</v>
      </c>
      <c r="H20" s="198"/>
    </row>
    <row r="21" spans="2:8" ht="12" x14ac:dyDescent="0.2">
      <c r="B21" s="57" t="str">
        <f>'Name List'!B21</f>
        <v>Paul Fitzgerald</v>
      </c>
      <c r="C21" s="59">
        <f t="shared" si="0"/>
        <v>12</v>
      </c>
      <c r="D21" s="60">
        <f>'Scores and stats'!RE21</f>
        <v>12</v>
      </c>
      <c r="E21" s="57"/>
      <c r="F21" s="180" t="str">
        <v>Justin Hunt</v>
      </c>
      <c r="G21" s="181">
        <v>12</v>
      </c>
      <c r="H21" s="198"/>
    </row>
    <row r="22" spans="2:8" ht="12" x14ac:dyDescent="0.2">
      <c r="B22" s="57" t="str">
        <f>'Name List'!B22</f>
        <v>Ben Fleet</v>
      </c>
      <c r="C22" s="59">
        <f t="shared" si="0"/>
        <v>11</v>
      </c>
      <c r="D22" s="60">
        <f>'Scores and stats'!RE22</f>
        <v>11</v>
      </c>
      <c r="E22" s="61"/>
      <c r="F22" s="180" t="str">
        <v>Andy Johnson</v>
      </c>
      <c r="G22" s="181">
        <v>12</v>
      </c>
      <c r="H22" s="198"/>
    </row>
    <row r="23" spans="2:8" ht="12" x14ac:dyDescent="0.2">
      <c r="B23" s="57" t="str">
        <f>'Name List'!B23</f>
        <v>Mike Forrest</v>
      </c>
      <c r="C23" s="59">
        <f t="shared" si="0"/>
        <v>12</v>
      </c>
      <c r="D23" s="60">
        <f>'Scores and stats'!RE23</f>
        <v>12</v>
      </c>
      <c r="E23" s="57"/>
      <c r="F23" s="180" t="str">
        <v>Kevin Tribley</v>
      </c>
      <c r="G23" s="181">
        <v>12</v>
      </c>
      <c r="H23" s="198"/>
    </row>
    <row r="24" spans="2:8" ht="12" x14ac:dyDescent="0.2">
      <c r="B24" s="57" t="str">
        <f>'Name List'!B24</f>
        <v>Tony Forsyth-James</v>
      </c>
      <c r="C24" s="59">
        <f t="shared" si="0"/>
        <v>10</v>
      </c>
      <c r="D24" s="60">
        <f>'Scores and stats'!RE24</f>
        <v>10</v>
      </c>
      <c r="E24" s="57"/>
      <c r="F24" s="180" t="str">
        <v>Jonathan Kanareck</v>
      </c>
      <c r="G24" s="181">
        <v>12</v>
      </c>
      <c r="H24" s="198"/>
    </row>
    <row r="25" spans="2:8" ht="12" x14ac:dyDescent="0.2">
      <c r="B25" s="57" t="str">
        <f>'Name List'!B25</f>
        <v>Archie Fraser</v>
      </c>
      <c r="C25" s="59">
        <f t="shared" si="0"/>
        <v>18</v>
      </c>
      <c r="D25" s="60">
        <f>'Scores and stats'!RE25</f>
        <v>18</v>
      </c>
      <c r="E25" s="57"/>
      <c r="F25" s="180" t="str">
        <v>Shaun Alexander</v>
      </c>
      <c r="G25" s="181">
        <v>12</v>
      </c>
      <c r="H25" s="198"/>
    </row>
    <row r="26" spans="2:8" ht="12" x14ac:dyDescent="0.2">
      <c r="B26" s="57" t="str">
        <f>'Name List'!B26</f>
        <v>Ross Fraser</v>
      </c>
      <c r="C26" s="59">
        <f t="shared" si="0"/>
        <v>14</v>
      </c>
      <c r="D26" s="60">
        <f>'Scores and stats'!RE26</f>
        <v>14</v>
      </c>
      <c r="E26" s="57"/>
      <c r="F26" s="180" t="str">
        <v>Kyle Deane</v>
      </c>
      <c r="G26" s="181">
        <v>12</v>
      </c>
      <c r="H26" s="198"/>
    </row>
    <row r="27" spans="2:8" ht="12" x14ac:dyDescent="0.2">
      <c r="B27" s="57" t="str">
        <f>'Name List'!B27</f>
        <v>Nick Garner</v>
      </c>
      <c r="C27" s="59">
        <f t="shared" si="0"/>
        <v>14</v>
      </c>
      <c r="D27" s="60">
        <f>'Scores and stats'!RE27</f>
        <v>14</v>
      </c>
      <c r="E27" s="61"/>
      <c r="F27" s="180" t="str">
        <v>Chris Burroughs</v>
      </c>
      <c r="G27" s="181">
        <v>13</v>
      </c>
      <c r="H27" s="198"/>
    </row>
    <row r="28" spans="2:8" ht="12" x14ac:dyDescent="0.2">
      <c r="B28" s="57" t="str">
        <f>'Name List'!B28</f>
        <v>Stuart Gay</v>
      </c>
      <c r="C28" s="59" t="str">
        <f t="shared" si="0"/>
        <v/>
      </c>
      <c r="D28" s="60">
        <f>'Scores and stats'!RE28</f>
        <v>0</v>
      </c>
      <c r="E28" s="57"/>
      <c r="F28" s="180" t="str">
        <v>Tom Burton</v>
      </c>
      <c r="G28" s="181">
        <v>13</v>
      </c>
      <c r="H28" s="198"/>
    </row>
    <row r="29" spans="2:8" ht="12" x14ac:dyDescent="0.2">
      <c r="B29" s="57" t="str">
        <f>'Name List'!B29</f>
        <v>Jordan Hall</v>
      </c>
      <c r="C29" s="59">
        <f t="shared" si="0"/>
        <v>19</v>
      </c>
      <c r="D29" s="60">
        <f>'Scores and stats'!RE29</f>
        <v>19</v>
      </c>
      <c r="E29" s="61"/>
      <c r="F29" s="180" t="str">
        <v>Anthony Harris</v>
      </c>
      <c r="G29" s="181">
        <v>13</v>
      </c>
      <c r="H29" s="198"/>
    </row>
    <row r="30" spans="2:8" ht="12" x14ac:dyDescent="0.2">
      <c r="B30" s="57" t="str">
        <f>'Name List'!B30</f>
        <v>Gary Hall</v>
      </c>
      <c r="C30" s="59" t="str">
        <f t="shared" si="0"/>
        <v/>
      </c>
      <c r="D30" s="60">
        <f>'Scores and stats'!RE30</f>
        <v>0</v>
      </c>
      <c r="E30" s="57"/>
      <c r="F30" s="180" t="str">
        <v>David Hilton</v>
      </c>
      <c r="G30" s="181">
        <v>13</v>
      </c>
      <c r="H30" s="198"/>
    </row>
    <row r="31" spans="2:8" ht="12" x14ac:dyDescent="0.2">
      <c r="B31" s="57" t="str">
        <f>'Name List'!B31</f>
        <v>Anthony Harris</v>
      </c>
      <c r="C31" s="59">
        <f t="shared" si="0"/>
        <v>13</v>
      </c>
      <c r="D31" s="60">
        <f>'Scores and stats'!RE31</f>
        <v>13</v>
      </c>
      <c r="E31" s="57"/>
      <c r="F31" s="180" t="str">
        <v>Dave Woodget</v>
      </c>
      <c r="G31" s="181">
        <v>13</v>
      </c>
      <c r="H31" s="198"/>
    </row>
    <row r="32" spans="2:8" ht="12" x14ac:dyDescent="0.2">
      <c r="B32" s="57" t="str">
        <f>'Name List'!B32</f>
        <v>Neil Hart</v>
      </c>
      <c r="C32" s="59">
        <f t="shared" si="0"/>
        <v>10</v>
      </c>
      <c r="D32" s="60">
        <f>'Scores and stats'!RE32</f>
        <v>10</v>
      </c>
      <c r="E32" s="57"/>
      <c r="F32" s="180" t="str">
        <v>Joe Hooper</v>
      </c>
      <c r="G32" s="181">
        <v>13</v>
      </c>
      <c r="H32" s="198"/>
    </row>
    <row r="33" spans="2:8" ht="12" x14ac:dyDescent="0.2">
      <c r="B33" s="57" t="str">
        <f>'Name List'!B33</f>
        <v>Tony Hearson</v>
      </c>
      <c r="C33" s="59" t="str">
        <f t="shared" si="0"/>
        <v/>
      </c>
      <c r="D33" s="60">
        <f>'Scores and stats'!RE33</f>
        <v>0</v>
      </c>
      <c r="E33" s="57"/>
      <c r="F33" s="180" t="str">
        <v>George Burton</v>
      </c>
      <c r="G33" s="181">
        <v>14</v>
      </c>
      <c r="H33" s="198"/>
    </row>
    <row r="34" spans="2:8" ht="12" x14ac:dyDescent="0.2">
      <c r="B34" s="57" t="str">
        <f>'Name List'!B34</f>
        <v>David Hilton</v>
      </c>
      <c r="C34" s="59">
        <f t="shared" si="0"/>
        <v>13</v>
      </c>
      <c r="D34" s="60">
        <f>'Scores and stats'!RE34</f>
        <v>13</v>
      </c>
      <c r="E34" s="57"/>
      <c r="F34" s="180" t="str">
        <v>Martin Coomber</v>
      </c>
      <c r="G34" s="181">
        <v>14</v>
      </c>
      <c r="H34" s="198"/>
    </row>
    <row r="35" spans="2:8" ht="12" x14ac:dyDescent="0.2">
      <c r="B35" s="57" t="str">
        <f>'Name List'!B35</f>
        <v>Eoghan Hilton</v>
      </c>
      <c r="C35" s="59">
        <f t="shared" si="0"/>
        <v>14</v>
      </c>
      <c r="D35" s="60">
        <f>'Scores and stats'!RE35</f>
        <v>14</v>
      </c>
      <c r="E35" s="57"/>
      <c r="F35" s="180" t="str">
        <v>Ross Fraser</v>
      </c>
      <c r="G35" s="181">
        <v>14</v>
      </c>
      <c r="H35" s="198"/>
    </row>
    <row r="36" spans="2:8" ht="12" x14ac:dyDescent="0.2">
      <c r="B36" s="57" t="str">
        <f>'Name List'!B36</f>
        <v>Martin Holder</v>
      </c>
      <c r="C36" s="59" t="str">
        <f t="shared" si="0"/>
        <v/>
      </c>
      <c r="D36" s="60">
        <f>'Scores and stats'!RE36</f>
        <v>0</v>
      </c>
      <c r="E36" s="57"/>
      <c r="F36" s="180" t="str">
        <v>Nick Garner</v>
      </c>
      <c r="G36" s="181">
        <v>14</v>
      </c>
      <c r="H36" s="198"/>
    </row>
    <row r="37" spans="2:8" ht="12" x14ac:dyDescent="0.2">
      <c r="B37" s="57" t="str">
        <f>'Name List'!B37</f>
        <v>Justin Hunt</v>
      </c>
      <c r="C37" s="59">
        <f t="shared" si="0"/>
        <v>12</v>
      </c>
      <c r="D37" s="60">
        <f>'Scores and stats'!RE37</f>
        <v>12</v>
      </c>
      <c r="E37" s="57"/>
      <c r="F37" s="180" t="str">
        <v>Eoghan Hilton</v>
      </c>
      <c r="G37" s="181">
        <v>14</v>
      </c>
      <c r="H37" s="198"/>
    </row>
    <row r="38" spans="2:8" ht="12" x14ac:dyDescent="0.2">
      <c r="B38" s="57" t="str">
        <f>'Name List'!B38</f>
        <v>Mark Hutchinson</v>
      </c>
      <c r="C38" s="59" t="str">
        <f t="shared" ref="C38:C69" si="1">IF(D38=0,"",D38)</f>
        <v/>
      </c>
      <c r="D38" s="60">
        <f>'Scores and stats'!RE38</f>
        <v>0</v>
      </c>
      <c r="E38" s="57"/>
      <c r="F38" s="180" t="str">
        <v>Oli Lloyd</v>
      </c>
      <c r="G38" s="181">
        <v>14</v>
      </c>
      <c r="H38" s="198"/>
    </row>
    <row r="39" spans="2:8" ht="12" x14ac:dyDescent="0.2">
      <c r="B39" s="57" t="str">
        <f>'Name List'!B39</f>
        <v>Andy Johnson</v>
      </c>
      <c r="C39" s="59">
        <f t="shared" si="1"/>
        <v>12</v>
      </c>
      <c r="D39" s="60">
        <f>'Scores and stats'!RE39</f>
        <v>12</v>
      </c>
      <c r="E39" s="57"/>
      <c r="F39" s="180" t="str">
        <v>Arron Rutherford</v>
      </c>
      <c r="G39" s="181">
        <v>14</v>
      </c>
      <c r="H39" s="198"/>
    </row>
    <row r="40" spans="2:8" ht="12" x14ac:dyDescent="0.2">
      <c r="B40" s="57" t="str">
        <f>'Name List'!B40</f>
        <v>Oli Lloyd</v>
      </c>
      <c r="C40" s="59">
        <f t="shared" si="1"/>
        <v>14</v>
      </c>
      <c r="D40" s="60">
        <f>'Scores and stats'!RE40</f>
        <v>14</v>
      </c>
      <c r="E40" s="57"/>
      <c r="F40" s="180" t="str">
        <v>Chris Smith</v>
      </c>
      <c r="G40" s="181">
        <v>14</v>
      </c>
      <c r="H40" s="198"/>
    </row>
    <row r="41" spans="2:8" ht="12" x14ac:dyDescent="0.2">
      <c r="B41" s="57" t="str">
        <f>'Name List'!B41</f>
        <v>Andy Lucey</v>
      </c>
      <c r="C41" s="59" t="str">
        <f t="shared" si="1"/>
        <v/>
      </c>
      <c r="D41" s="60">
        <f>'Scores and stats'!RE41</f>
        <v>0</v>
      </c>
      <c r="E41" s="57"/>
      <c r="F41" s="180" t="str">
        <v>Steve Wheeler</v>
      </c>
      <c r="G41" s="181">
        <v>14</v>
      </c>
      <c r="H41" s="198"/>
    </row>
    <row r="42" spans="2:8" ht="12" x14ac:dyDescent="0.2">
      <c r="B42" s="57" t="str">
        <f>'Name List'!B42</f>
        <v>Paul Martin</v>
      </c>
      <c r="C42" s="59">
        <f t="shared" si="1"/>
        <v>15</v>
      </c>
      <c r="D42" s="60">
        <f>'Scores and stats'!RE42</f>
        <v>15</v>
      </c>
      <c r="E42" s="61"/>
      <c r="F42" s="180" t="str">
        <v>Max Ball</v>
      </c>
      <c r="G42" s="181">
        <v>15</v>
      </c>
      <c r="H42" s="198"/>
    </row>
    <row r="43" spans="2:8" ht="12" x14ac:dyDescent="0.2">
      <c r="B43" s="57" t="str">
        <f>'Name List'!B43</f>
        <v>Edward Money</v>
      </c>
      <c r="C43" s="59">
        <f t="shared" si="1"/>
        <v>11</v>
      </c>
      <c r="D43" s="60">
        <f>'Scores and stats'!RE43</f>
        <v>11</v>
      </c>
      <c r="E43" s="61"/>
      <c r="F43" s="180" t="str">
        <v>Paul Martin</v>
      </c>
      <c r="G43" s="181">
        <v>15</v>
      </c>
      <c r="H43" s="198"/>
    </row>
    <row r="44" spans="2:8" ht="12" x14ac:dyDescent="0.2">
      <c r="B44" s="57" t="str">
        <f>'Name List'!B44</f>
        <v>Dickie Moxham</v>
      </c>
      <c r="C44" s="59">
        <f t="shared" si="1"/>
        <v>15</v>
      </c>
      <c r="D44" s="60">
        <f>'Scores and stats'!RE44</f>
        <v>15</v>
      </c>
      <c r="E44" s="57"/>
      <c r="F44" s="180" t="str">
        <v>Dickie Moxham</v>
      </c>
      <c r="G44" s="181">
        <v>15</v>
      </c>
      <c r="H44" s="198"/>
    </row>
    <row r="45" spans="2:8" ht="12" x14ac:dyDescent="0.2">
      <c r="B45" s="57" t="str">
        <f>'Name List'!B45</f>
        <v>Dave Randall</v>
      </c>
      <c r="C45" s="59">
        <f t="shared" si="1"/>
        <v>11</v>
      </c>
      <c r="D45" s="60">
        <f>'Scores and stats'!RE45</f>
        <v>11</v>
      </c>
      <c r="E45" s="57"/>
      <c r="F45" s="180" t="str">
        <v>Terry Walker</v>
      </c>
      <c r="G45" s="181">
        <v>15</v>
      </c>
      <c r="H45" s="198"/>
    </row>
    <row r="46" spans="2:8" ht="12" x14ac:dyDescent="0.2">
      <c r="B46" s="57" t="str">
        <f>'Name List'!B46</f>
        <v>Arron Rutherford</v>
      </c>
      <c r="C46" s="59">
        <f t="shared" si="1"/>
        <v>14</v>
      </c>
      <c r="D46" s="60">
        <f>'Scores and stats'!RE46</f>
        <v>14</v>
      </c>
      <c r="E46" s="57"/>
      <c r="F46" s="180" t="str">
        <v>Dominic Coughlin</v>
      </c>
      <c r="G46" s="181">
        <v>16</v>
      </c>
      <c r="H46" s="198"/>
    </row>
    <row r="47" spans="2:8" ht="12" x14ac:dyDescent="0.2">
      <c r="B47" s="57" t="str">
        <f>'Name List'!B47</f>
        <v>Terry Shoker</v>
      </c>
      <c r="C47" s="59" t="str">
        <f t="shared" si="1"/>
        <v/>
      </c>
      <c r="D47" s="60">
        <f>'Scores and stats'!RE47</f>
        <v>0</v>
      </c>
      <c r="E47" s="57"/>
      <c r="F47" s="180" t="str">
        <v>Peter Vallely</v>
      </c>
      <c r="G47" s="181">
        <v>16</v>
      </c>
      <c r="H47" s="198"/>
    </row>
    <row r="48" spans="2:8" ht="12" x14ac:dyDescent="0.2">
      <c r="B48" s="57" t="str">
        <f>'Name List'!B48</f>
        <v>Chris Smith</v>
      </c>
      <c r="C48" s="59">
        <f t="shared" si="1"/>
        <v>14</v>
      </c>
      <c r="D48" s="60">
        <f>'Scores and stats'!RE48</f>
        <v>14</v>
      </c>
      <c r="E48" s="61"/>
      <c r="F48" s="180" t="str">
        <v>Danny Jones</v>
      </c>
      <c r="G48" s="181">
        <v>16</v>
      </c>
      <c r="H48" s="198"/>
    </row>
    <row r="49" spans="2:8" ht="12" x14ac:dyDescent="0.2">
      <c r="B49" s="57" t="str">
        <f>'Name List'!B49</f>
        <v>Justin Spencer</v>
      </c>
      <c r="C49" s="59" t="str">
        <f t="shared" si="1"/>
        <v/>
      </c>
      <c r="D49" s="60">
        <f>'Scores and stats'!RE49</f>
        <v>0</v>
      </c>
      <c r="E49" s="57"/>
      <c r="F49" s="180" t="str">
        <v>Mike Chubb</v>
      </c>
      <c r="G49" s="181">
        <v>17</v>
      </c>
      <c r="H49" s="198"/>
    </row>
    <row r="50" spans="2:8" ht="12" x14ac:dyDescent="0.2">
      <c r="B50" s="57" t="str">
        <f>'Name List'!B50</f>
        <v>Jake Sprosen</v>
      </c>
      <c r="C50" s="59" t="str">
        <f t="shared" si="1"/>
        <v/>
      </c>
      <c r="D50" s="60">
        <f>'Scores and stats'!RE50</f>
        <v>0</v>
      </c>
      <c r="E50" s="57"/>
      <c r="F50" s="180" t="str">
        <v>Russell Turner</v>
      </c>
      <c r="G50" s="181">
        <v>17</v>
      </c>
      <c r="H50" s="198"/>
    </row>
    <row r="51" spans="2:8" ht="12" x14ac:dyDescent="0.2">
      <c r="B51" s="57" t="str">
        <f>'Name List'!B51</f>
        <v>Tosh Sprosen</v>
      </c>
      <c r="C51" s="59" t="str">
        <f t="shared" si="1"/>
        <v/>
      </c>
      <c r="D51" s="60">
        <f>'Scores and stats'!RE51</f>
        <v>0</v>
      </c>
      <c r="E51" s="57"/>
      <c r="F51" s="180" t="str">
        <v>Ryan Vaughan</v>
      </c>
      <c r="G51" s="181">
        <v>17</v>
      </c>
      <c r="H51" s="198"/>
    </row>
    <row r="52" spans="2:8" ht="12" x14ac:dyDescent="0.2">
      <c r="B52" s="57" t="str">
        <f>'Name List'!B52</f>
        <v>Bill Sutton</v>
      </c>
      <c r="C52" s="59" t="str">
        <f t="shared" si="1"/>
        <v/>
      </c>
      <c r="D52" s="60">
        <f>'Scores and stats'!RE52</f>
        <v>0</v>
      </c>
      <c r="E52" s="57"/>
      <c r="F52" s="180" t="str">
        <v>George Clarke</v>
      </c>
      <c r="G52" s="181">
        <v>18</v>
      </c>
      <c r="H52" s="198"/>
    </row>
    <row r="53" spans="2:8" ht="12" x14ac:dyDescent="0.2">
      <c r="B53" s="57" t="str">
        <f>'Name List'!B53</f>
        <v>Dan Thomas</v>
      </c>
      <c r="C53" s="59">
        <f t="shared" si="1"/>
        <v>18</v>
      </c>
      <c r="D53" s="60">
        <f>'Scores and stats'!RE53</f>
        <v>18</v>
      </c>
      <c r="E53" s="57"/>
      <c r="F53" s="180" t="str">
        <v>James Dunn</v>
      </c>
      <c r="G53" s="181">
        <v>18</v>
      </c>
      <c r="H53" s="198"/>
    </row>
    <row r="54" spans="2:8" ht="12" x14ac:dyDescent="0.2">
      <c r="B54" s="57" t="str">
        <f>'Name List'!B54</f>
        <v>Andy Thompson</v>
      </c>
      <c r="C54" s="59" t="str">
        <f t="shared" si="1"/>
        <v/>
      </c>
      <c r="D54" s="60">
        <f>'Scores and stats'!RE54</f>
        <v>0</v>
      </c>
      <c r="E54" s="57"/>
      <c r="F54" s="180" t="str">
        <v>Archie Fraser</v>
      </c>
      <c r="G54" s="181">
        <v>18</v>
      </c>
      <c r="H54" s="198"/>
    </row>
    <row r="55" spans="2:8" ht="12" x14ac:dyDescent="0.2">
      <c r="B55" s="57" t="str">
        <f>'Name List'!B55</f>
        <v>Rory Thompson</v>
      </c>
      <c r="C55" s="59" t="str">
        <f t="shared" si="1"/>
        <v/>
      </c>
      <c r="D55" s="60">
        <f>'Scores and stats'!RE55</f>
        <v>0</v>
      </c>
      <c r="E55" s="57"/>
      <c r="F55" s="180" t="str">
        <v>Dan Thomas</v>
      </c>
      <c r="G55" s="181">
        <v>18</v>
      </c>
      <c r="H55" s="198"/>
    </row>
    <row r="56" spans="2:8" ht="12" x14ac:dyDescent="0.2">
      <c r="B56" s="57" t="str">
        <f>'Name List'!B56</f>
        <v>Sonny Thompson</v>
      </c>
      <c r="C56" s="59" t="str">
        <f t="shared" si="1"/>
        <v/>
      </c>
      <c r="D56" s="60">
        <f>'Scores and stats'!RE56</f>
        <v>0</v>
      </c>
      <c r="E56" s="57"/>
      <c r="F56" s="180" t="str">
        <v>Jordan Hall</v>
      </c>
      <c r="G56" s="181">
        <v>19</v>
      </c>
      <c r="H56" s="198"/>
    </row>
    <row r="57" spans="2:8" ht="12" x14ac:dyDescent="0.2">
      <c r="B57" s="57" t="str">
        <f>'Name List'!B57</f>
        <v>Kevin Tribley</v>
      </c>
      <c r="C57" s="59">
        <f t="shared" si="1"/>
        <v>12</v>
      </c>
      <c r="D57" s="362">
        <f>'Scores and stats'!RE57</f>
        <v>12</v>
      </c>
      <c r="E57" s="57"/>
      <c r="F57" s="180" t="str">
        <v>Stuart Anderson</v>
      </c>
      <c r="G57" s="181" t="str">
        <v/>
      </c>
      <c r="H57" s="198"/>
    </row>
    <row r="58" spans="2:8" ht="12" x14ac:dyDescent="0.2">
      <c r="B58" s="57" t="str">
        <f>'Name List'!B58</f>
        <v>Russell Turner</v>
      </c>
      <c r="C58" s="59">
        <f t="shared" si="1"/>
        <v>17</v>
      </c>
      <c r="D58" s="60">
        <f>'Scores and stats'!RE58</f>
        <v>17</v>
      </c>
      <c r="E58" s="57"/>
      <c r="F58" s="180" t="str">
        <v>Peter Donovan</v>
      </c>
      <c r="G58" s="181" t="str">
        <v/>
      </c>
      <c r="H58" s="198"/>
    </row>
    <row r="59" spans="2:8" ht="12" x14ac:dyDescent="0.2">
      <c r="B59" s="57" t="str">
        <f>'Name List'!B59</f>
        <v>Peter Vallely</v>
      </c>
      <c r="C59" s="59">
        <f t="shared" si="1"/>
        <v>16</v>
      </c>
      <c r="D59" s="60">
        <f>'Scores and stats'!RE59</f>
        <v>16</v>
      </c>
      <c r="E59" s="57"/>
      <c r="F59" s="180" t="str">
        <v>Gordon Fielding</v>
      </c>
      <c r="G59" s="181" t="str">
        <v/>
      </c>
      <c r="H59" s="198"/>
    </row>
    <row r="60" spans="2:8" ht="12" x14ac:dyDescent="0.2">
      <c r="B60" s="57" t="str">
        <f>'Name List'!B60</f>
        <v>Ryan Vaughan</v>
      </c>
      <c r="C60" s="59">
        <f t="shared" si="1"/>
        <v>17</v>
      </c>
      <c r="D60" s="60">
        <f>'Scores and stats'!RE60</f>
        <v>17</v>
      </c>
      <c r="E60" s="57"/>
      <c r="F60" s="180" t="str">
        <v>Stuart Gay</v>
      </c>
      <c r="G60" s="181" t="str">
        <v/>
      </c>
      <c r="H60" s="198"/>
    </row>
    <row r="61" spans="2:8" ht="12" x14ac:dyDescent="0.2">
      <c r="B61" s="57" t="str">
        <f>'Name List'!B61</f>
        <v>Jason Wale</v>
      </c>
      <c r="C61" s="59">
        <f t="shared" si="1"/>
        <v>11</v>
      </c>
      <c r="D61" s="60">
        <f>'Scores and stats'!RE61</f>
        <v>11</v>
      </c>
      <c r="E61" s="57"/>
      <c r="F61" s="180" t="str">
        <v>Gary Hall</v>
      </c>
      <c r="G61" s="181" t="str">
        <v/>
      </c>
      <c r="H61" s="198"/>
    </row>
    <row r="62" spans="2:8" ht="12" x14ac:dyDescent="0.2">
      <c r="B62" s="57" t="str">
        <f>'Name List'!B62</f>
        <v>Terry Walker</v>
      </c>
      <c r="C62" s="59">
        <f t="shared" si="1"/>
        <v>15</v>
      </c>
      <c r="D62" s="60">
        <f>'Scores and stats'!RE62</f>
        <v>15</v>
      </c>
      <c r="E62" s="57"/>
      <c r="F62" s="180" t="str">
        <v>Tony Hearson</v>
      </c>
      <c r="G62" s="181" t="str">
        <v/>
      </c>
      <c r="H62" s="198"/>
    </row>
    <row r="63" spans="2:8" ht="12" x14ac:dyDescent="0.2">
      <c r="B63" s="57" t="str">
        <f>'Name List'!B63</f>
        <v>Finn Wheeler</v>
      </c>
      <c r="C63" s="59">
        <f t="shared" si="1"/>
        <v>10</v>
      </c>
      <c r="D63" s="60">
        <f>'Scores and stats'!RE63</f>
        <v>10</v>
      </c>
      <c r="E63" s="57"/>
      <c r="F63" s="180" t="str">
        <v>Martin Holder</v>
      </c>
      <c r="G63" s="181" t="str">
        <v/>
      </c>
      <c r="H63" s="198"/>
    </row>
    <row r="64" spans="2:8" ht="12" x14ac:dyDescent="0.2">
      <c r="B64" s="57" t="str">
        <f>'Name List'!B64</f>
        <v>Steve Wheeler</v>
      </c>
      <c r="C64" s="59">
        <f t="shared" si="1"/>
        <v>14</v>
      </c>
      <c r="D64" s="60">
        <f>'Scores and stats'!RE64</f>
        <v>14</v>
      </c>
      <c r="E64" s="57"/>
      <c r="F64" s="180" t="str">
        <v>Mark Hutchinson</v>
      </c>
      <c r="G64" s="181" t="str">
        <v/>
      </c>
      <c r="H64" s="198"/>
    </row>
    <row r="65" spans="2:8" ht="12" x14ac:dyDescent="0.2">
      <c r="B65" s="57" t="str">
        <f>'Name List'!B65</f>
        <v>Brad Whitehead</v>
      </c>
      <c r="C65" s="59">
        <f t="shared" si="1"/>
        <v>11</v>
      </c>
      <c r="D65" s="60">
        <f>'Scores and stats'!RE65</f>
        <v>11</v>
      </c>
      <c r="E65" s="57"/>
      <c r="F65" s="180" t="str">
        <v>Andy Lucey</v>
      </c>
      <c r="G65" s="181" t="str">
        <v/>
      </c>
      <c r="H65" s="198"/>
    </row>
    <row r="66" spans="2:8" ht="12" x14ac:dyDescent="0.2">
      <c r="B66" s="57" t="str">
        <f>'Name List'!B66</f>
        <v>Dave Woodget</v>
      </c>
      <c r="C66" s="59">
        <f t="shared" si="1"/>
        <v>13</v>
      </c>
      <c r="D66" s="60">
        <f>'Scores and stats'!RE66</f>
        <v>13</v>
      </c>
      <c r="E66" s="57"/>
      <c r="F66" s="180" t="str">
        <v>Terry Shoker</v>
      </c>
      <c r="G66" s="181" t="str">
        <v/>
      </c>
      <c r="H66" s="198"/>
    </row>
    <row r="67" spans="2:8" ht="12" x14ac:dyDescent="0.2">
      <c r="B67" s="57" t="str">
        <f>'Name List'!B67</f>
        <v>Jonathan Kanareck</v>
      </c>
      <c r="C67" s="59">
        <f t="shared" si="1"/>
        <v>12</v>
      </c>
      <c r="D67" s="60">
        <f>'Scores and stats'!RE67</f>
        <v>12</v>
      </c>
      <c r="E67" s="57"/>
      <c r="F67" s="180" t="str">
        <v>Justin Spencer</v>
      </c>
      <c r="G67" s="181" t="str">
        <v/>
      </c>
      <c r="H67" s="198"/>
    </row>
    <row r="68" spans="2:8" ht="12" x14ac:dyDescent="0.2">
      <c r="B68" s="57" t="str">
        <f>'Name List'!B68</f>
        <v>Oliver Proud</v>
      </c>
      <c r="C68" s="59">
        <f t="shared" si="1"/>
        <v>5</v>
      </c>
      <c r="D68" s="60">
        <f>'Scores and stats'!RE68</f>
        <v>5</v>
      </c>
      <c r="F68" s="180" t="str">
        <v>Jake Sprosen</v>
      </c>
      <c r="G68" s="181" t="str">
        <v/>
      </c>
      <c r="H68" s="198"/>
    </row>
    <row r="69" spans="2:8" ht="12" x14ac:dyDescent="0.2">
      <c r="B69" s="57" t="str">
        <f>'Name List'!B69</f>
        <v>Joe Hooper</v>
      </c>
      <c r="C69" s="59">
        <f t="shared" si="1"/>
        <v>13</v>
      </c>
      <c r="D69" s="60">
        <f>'Scores and stats'!RE69</f>
        <v>13</v>
      </c>
      <c r="F69" s="180" t="str">
        <v>Tosh Sprosen</v>
      </c>
      <c r="G69" s="181" t="str">
        <v/>
      </c>
      <c r="H69" s="198"/>
    </row>
    <row r="70" spans="2:8" ht="12" x14ac:dyDescent="0.2">
      <c r="B70" s="57" t="str">
        <f>'Name List'!B70</f>
        <v>Danny Jones</v>
      </c>
      <c r="C70" s="59">
        <f t="shared" ref="C70:C74" si="2">IF(D70=0,"",D70)</f>
        <v>16</v>
      </c>
      <c r="D70" s="60">
        <f>'Scores and stats'!RE70</f>
        <v>16</v>
      </c>
      <c r="F70" s="180" t="str">
        <v>Bill Sutton</v>
      </c>
      <c r="G70" s="181" t="str">
        <v/>
      </c>
      <c r="H70" s="198"/>
    </row>
    <row r="71" spans="2:8" ht="12" x14ac:dyDescent="0.2">
      <c r="B71" s="57" t="str">
        <f>'Name List'!B71</f>
        <v>Liam Anderson</v>
      </c>
      <c r="C71" s="59" t="str">
        <f t="shared" si="2"/>
        <v/>
      </c>
      <c r="D71" s="60">
        <f>'Scores and stats'!RE71</f>
        <v>0</v>
      </c>
      <c r="F71" s="180" t="str">
        <v>Andy Thompson</v>
      </c>
      <c r="G71" s="181" t="str">
        <v/>
      </c>
      <c r="H71" s="198"/>
    </row>
    <row r="72" spans="2:8" ht="12" x14ac:dyDescent="0.2">
      <c r="B72" s="57" t="str">
        <f>'Name List'!B72</f>
        <v>Sam Cochrane</v>
      </c>
      <c r="C72" s="59">
        <f t="shared" si="2"/>
        <v>8</v>
      </c>
      <c r="D72" s="60">
        <f>'Scores and stats'!RE72</f>
        <v>8</v>
      </c>
      <c r="F72" s="180" t="str">
        <v>Rory Thompson</v>
      </c>
      <c r="G72" s="181" t="str">
        <v/>
      </c>
      <c r="H72" s="198"/>
    </row>
    <row r="73" spans="2:8" ht="12" x14ac:dyDescent="0.2">
      <c r="B73" s="57" t="str">
        <f>'Name List'!B73</f>
        <v>Shaun Alexander</v>
      </c>
      <c r="C73" s="59">
        <f t="shared" si="2"/>
        <v>12</v>
      </c>
      <c r="D73" s="60">
        <f>'Scores and stats'!RE73</f>
        <v>12</v>
      </c>
      <c r="F73" s="180" t="str">
        <v>Sonny Thompson</v>
      </c>
      <c r="G73" s="181" t="str">
        <v/>
      </c>
      <c r="H73" s="198"/>
    </row>
    <row r="74" spans="2:8" ht="12" x14ac:dyDescent="0.2">
      <c r="B74" s="57" t="str">
        <f>'Name List'!B74</f>
        <v>Kyle Deane</v>
      </c>
      <c r="C74" s="59">
        <f t="shared" si="2"/>
        <v>12</v>
      </c>
      <c r="D74" s="60">
        <f>'Scores and stats'!RE74</f>
        <v>12</v>
      </c>
      <c r="F74" s="180" t="str">
        <v>Liam Anderson</v>
      </c>
      <c r="G74" s="181" t="str">
        <v/>
      </c>
      <c r="H74" s="198"/>
    </row>
    <row r="75" spans="2:8" ht="12" x14ac:dyDescent="0.2">
      <c r="B75" s="57">
        <f>'Name List'!B75</f>
        <v>1</v>
      </c>
      <c r="C75" s="59" t="str">
        <f t="shared" ref="C75:C105" si="3">IF(D75=0,"",D75)</f>
        <v/>
      </c>
      <c r="D75" s="60">
        <f>'Scores and stats'!RE75</f>
        <v>0</v>
      </c>
      <c r="F75" s="180">
        <v>1</v>
      </c>
      <c r="G75" s="181" t="str">
        <v/>
      </c>
      <c r="H75" s="198"/>
    </row>
    <row r="76" spans="2:8" ht="12" x14ac:dyDescent="0.2">
      <c r="B76" s="57">
        <f>'Name List'!B76</f>
        <v>2</v>
      </c>
      <c r="C76" s="59" t="str">
        <f t="shared" si="3"/>
        <v/>
      </c>
      <c r="D76" s="60">
        <f>'Scores and stats'!RE76</f>
        <v>0</v>
      </c>
      <c r="F76" s="180">
        <v>2</v>
      </c>
      <c r="G76" s="181" t="str">
        <v/>
      </c>
      <c r="H76" s="198"/>
    </row>
    <row r="77" spans="2:8" ht="12" x14ac:dyDescent="0.2">
      <c r="B77" s="57">
        <f>'Name List'!B77</f>
        <v>3</v>
      </c>
      <c r="C77" s="59" t="str">
        <f t="shared" si="3"/>
        <v/>
      </c>
      <c r="D77" s="60">
        <f>'Scores and stats'!RE77</f>
        <v>0</v>
      </c>
      <c r="F77" s="180">
        <v>3</v>
      </c>
      <c r="G77" s="181" t="str">
        <v/>
      </c>
      <c r="H77" s="198"/>
    </row>
    <row r="78" spans="2:8" ht="12" x14ac:dyDescent="0.2">
      <c r="B78" s="57">
        <f>'Name List'!B78</f>
        <v>4</v>
      </c>
      <c r="C78" s="59" t="str">
        <f t="shared" si="3"/>
        <v/>
      </c>
      <c r="D78" s="60">
        <f>'Scores and stats'!RE78</f>
        <v>0</v>
      </c>
      <c r="F78" s="180">
        <v>4</v>
      </c>
      <c r="G78" s="181" t="str">
        <v/>
      </c>
      <c r="H78" s="198"/>
    </row>
    <row r="79" spans="2:8" ht="12" x14ac:dyDescent="0.2">
      <c r="B79" s="57">
        <f>'Name List'!B79</f>
        <v>5</v>
      </c>
      <c r="C79" s="59" t="str">
        <f t="shared" si="3"/>
        <v/>
      </c>
      <c r="D79" s="60">
        <f>'Scores and stats'!RE79</f>
        <v>0</v>
      </c>
      <c r="F79" s="180">
        <v>5</v>
      </c>
      <c r="G79" s="181" t="str">
        <v/>
      </c>
      <c r="H79" s="198"/>
    </row>
    <row r="80" spans="2:8" ht="12" x14ac:dyDescent="0.2">
      <c r="B80" s="57">
        <f>'Name List'!B80</f>
        <v>6</v>
      </c>
      <c r="C80" s="59" t="str">
        <f t="shared" si="3"/>
        <v/>
      </c>
      <c r="D80" s="60">
        <f>'Scores and stats'!RE80</f>
        <v>0</v>
      </c>
      <c r="F80" s="180">
        <v>6</v>
      </c>
      <c r="G80" s="181" t="str">
        <v/>
      </c>
      <c r="H80" s="198"/>
    </row>
    <row r="81" spans="2:8" ht="12" x14ac:dyDescent="0.2">
      <c r="B81" s="57">
        <f>'Name List'!B81</f>
        <v>7</v>
      </c>
      <c r="C81" s="59" t="str">
        <f t="shared" si="3"/>
        <v/>
      </c>
      <c r="D81" s="60">
        <f>'Scores and stats'!RE81</f>
        <v>0</v>
      </c>
      <c r="F81" s="180">
        <v>7</v>
      </c>
      <c r="G81" s="181" t="str">
        <v/>
      </c>
      <c r="H81" s="198"/>
    </row>
    <row r="82" spans="2:8" ht="12" x14ac:dyDescent="0.2">
      <c r="B82" s="57">
        <f>'Name List'!B82</f>
        <v>8</v>
      </c>
      <c r="C82" s="59" t="str">
        <f t="shared" si="3"/>
        <v/>
      </c>
      <c r="D82" s="60">
        <f>'Scores and stats'!RE82</f>
        <v>0</v>
      </c>
      <c r="F82" s="180">
        <v>8</v>
      </c>
      <c r="G82" s="181" t="str">
        <v/>
      </c>
      <c r="H82" s="198"/>
    </row>
    <row r="83" spans="2:8" ht="12" x14ac:dyDescent="0.2">
      <c r="B83" s="57">
        <f>'Name List'!B83</f>
        <v>9</v>
      </c>
      <c r="C83" s="59" t="str">
        <f t="shared" si="3"/>
        <v/>
      </c>
      <c r="D83" s="60">
        <f>'Scores and stats'!RE83</f>
        <v>0</v>
      </c>
      <c r="F83" s="180">
        <v>9</v>
      </c>
      <c r="G83" s="181" t="str">
        <v/>
      </c>
      <c r="H83" s="198"/>
    </row>
    <row r="84" spans="2:8" ht="12" x14ac:dyDescent="0.2">
      <c r="B84" s="57">
        <f>'Name List'!B84</f>
        <v>10</v>
      </c>
      <c r="C84" s="59" t="str">
        <f t="shared" si="3"/>
        <v/>
      </c>
      <c r="D84" s="60">
        <f>'Scores and stats'!RE84</f>
        <v>0</v>
      </c>
      <c r="F84" s="180">
        <v>10</v>
      </c>
      <c r="G84" s="181" t="str">
        <v/>
      </c>
      <c r="H84" s="198"/>
    </row>
    <row r="85" spans="2:8" ht="12" x14ac:dyDescent="0.2">
      <c r="B85" s="57">
        <f>'Name List'!B85</f>
        <v>11</v>
      </c>
      <c r="C85" s="59" t="str">
        <f t="shared" si="3"/>
        <v/>
      </c>
      <c r="D85" s="60">
        <f>'Scores and stats'!RE85</f>
        <v>0</v>
      </c>
      <c r="F85" s="180">
        <v>11</v>
      </c>
      <c r="G85" s="181" t="str">
        <v/>
      </c>
      <c r="H85" s="198"/>
    </row>
    <row r="86" spans="2:8" ht="12" x14ac:dyDescent="0.2">
      <c r="B86" s="57">
        <f>'Name List'!B86</f>
        <v>12</v>
      </c>
      <c r="C86" s="59" t="str">
        <f t="shared" si="3"/>
        <v/>
      </c>
      <c r="D86" s="60">
        <f>'Scores and stats'!RE86</f>
        <v>0</v>
      </c>
      <c r="F86" s="180">
        <v>12</v>
      </c>
      <c r="G86" s="181" t="str">
        <v/>
      </c>
      <c r="H86" s="198"/>
    </row>
    <row r="87" spans="2:8" ht="12" x14ac:dyDescent="0.2">
      <c r="B87" s="57">
        <f>'Name List'!B87</f>
        <v>13</v>
      </c>
      <c r="C87" s="59" t="str">
        <f t="shared" si="3"/>
        <v/>
      </c>
      <c r="D87" s="60">
        <f>'Scores and stats'!RE87</f>
        <v>0</v>
      </c>
      <c r="F87" s="180">
        <v>13</v>
      </c>
      <c r="G87" s="181" t="str">
        <v/>
      </c>
      <c r="H87" s="198"/>
    </row>
    <row r="88" spans="2:8" ht="12" x14ac:dyDescent="0.2">
      <c r="B88" s="57">
        <f>'Name List'!B88</f>
        <v>14</v>
      </c>
      <c r="C88" s="59" t="str">
        <f t="shared" si="3"/>
        <v/>
      </c>
      <c r="D88" s="60">
        <f>'Scores and stats'!RE88</f>
        <v>0</v>
      </c>
      <c r="F88" s="180">
        <v>14</v>
      </c>
      <c r="G88" s="181" t="str">
        <v/>
      </c>
      <c r="H88" s="198"/>
    </row>
    <row r="89" spans="2:8" ht="12" x14ac:dyDescent="0.2">
      <c r="B89" s="57">
        <f>'Name List'!B89</f>
        <v>15</v>
      </c>
      <c r="C89" s="59" t="str">
        <f t="shared" si="3"/>
        <v/>
      </c>
      <c r="D89" s="60">
        <f>'Scores and stats'!RE89</f>
        <v>0</v>
      </c>
      <c r="F89" s="180">
        <v>15</v>
      </c>
      <c r="G89" s="181" t="str">
        <v/>
      </c>
      <c r="H89" s="198"/>
    </row>
    <row r="90" spans="2:8" ht="12" x14ac:dyDescent="0.2">
      <c r="B90" s="57">
        <f>'Name List'!B90</f>
        <v>16</v>
      </c>
      <c r="C90" s="59" t="str">
        <f t="shared" si="3"/>
        <v/>
      </c>
      <c r="D90" s="60">
        <f>'Scores and stats'!RE90</f>
        <v>0</v>
      </c>
      <c r="F90" s="180">
        <v>16</v>
      </c>
      <c r="G90" s="181" t="str">
        <v/>
      </c>
      <c r="H90" s="198"/>
    </row>
    <row r="91" spans="2:8" ht="12" x14ac:dyDescent="0.2">
      <c r="B91" s="57">
        <f>'Name List'!B91</f>
        <v>17</v>
      </c>
      <c r="C91" s="59" t="str">
        <f t="shared" si="3"/>
        <v/>
      </c>
      <c r="D91" s="60">
        <f>'Scores and stats'!RE91</f>
        <v>0</v>
      </c>
      <c r="F91" s="321">
        <v>17</v>
      </c>
      <c r="G91" s="323" t="str">
        <v/>
      </c>
      <c r="H91" s="198"/>
    </row>
    <row r="92" spans="2:8" ht="12" x14ac:dyDescent="0.2">
      <c r="B92" s="57">
        <f>'Name List'!B92</f>
        <v>18</v>
      </c>
      <c r="C92" s="59" t="str">
        <f t="shared" si="3"/>
        <v/>
      </c>
      <c r="D92" s="60">
        <f>'Scores and stats'!RE92</f>
        <v>0</v>
      </c>
      <c r="F92" s="321">
        <v>18</v>
      </c>
      <c r="G92" s="323" t="str">
        <v/>
      </c>
    </row>
    <row r="93" spans="2:8" ht="12" x14ac:dyDescent="0.2">
      <c r="B93" s="57">
        <f>'Name List'!B93</f>
        <v>19</v>
      </c>
      <c r="C93" s="59" t="str">
        <f t="shared" si="3"/>
        <v/>
      </c>
      <c r="D93" s="60">
        <f>'Scores and stats'!RE93</f>
        <v>0</v>
      </c>
      <c r="F93" s="321">
        <v>19</v>
      </c>
      <c r="G93" s="323" t="str">
        <v/>
      </c>
    </row>
    <row r="94" spans="2:8" ht="12" x14ac:dyDescent="0.2">
      <c r="B94" s="57">
        <f>'Name List'!B94</f>
        <v>20</v>
      </c>
      <c r="C94" s="59" t="str">
        <f t="shared" si="3"/>
        <v/>
      </c>
      <c r="D94" s="60">
        <f>'Scores and stats'!RE94</f>
        <v>0</v>
      </c>
      <c r="F94" s="321">
        <v>20</v>
      </c>
      <c r="G94" s="323" t="str">
        <v/>
      </c>
    </row>
    <row r="95" spans="2:8" ht="12" x14ac:dyDescent="0.2">
      <c r="B95" s="57">
        <f>'Name List'!B95</f>
        <v>21</v>
      </c>
      <c r="C95" s="59" t="str">
        <f t="shared" si="3"/>
        <v/>
      </c>
      <c r="D95" s="60">
        <f>'Scores and stats'!RE95</f>
        <v>0</v>
      </c>
      <c r="F95" s="321">
        <v>21</v>
      </c>
      <c r="G95" s="323" t="str">
        <v/>
      </c>
    </row>
    <row r="96" spans="2:8" ht="12" x14ac:dyDescent="0.2">
      <c r="B96" s="57">
        <f>'Name List'!B96</f>
        <v>22</v>
      </c>
      <c r="C96" s="59" t="str">
        <f t="shared" si="3"/>
        <v/>
      </c>
      <c r="D96" s="60">
        <f>'Scores and stats'!RE96</f>
        <v>0</v>
      </c>
      <c r="F96" s="321">
        <v>22</v>
      </c>
      <c r="G96" s="323" t="str">
        <v/>
      </c>
    </row>
    <row r="97" spans="2:7" ht="12" x14ac:dyDescent="0.2">
      <c r="B97" s="57">
        <f>'Name List'!B97</f>
        <v>23</v>
      </c>
      <c r="C97" s="59" t="str">
        <f t="shared" si="3"/>
        <v/>
      </c>
      <c r="D97" s="60">
        <f>'Scores and stats'!RE97</f>
        <v>0</v>
      </c>
      <c r="F97" s="321">
        <v>23</v>
      </c>
      <c r="G97" s="323" t="str">
        <v/>
      </c>
    </row>
    <row r="98" spans="2:7" ht="12" x14ac:dyDescent="0.2">
      <c r="B98" s="57">
        <f>'Name List'!B98</f>
        <v>24</v>
      </c>
      <c r="C98" s="59" t="str">
        <f t="shared" si="3"/>
        <v/>
      </c>
      <c r="D98" s="60">
        <f>'Scores and stats'!RE98</f>
        <v>0</v>
      </c>
      <c r="F98" s="321">
        <v>24</v>
      </c>
      <c r="G98" s="323" t="str">
        <v/>
      </c>
    </row>
    <row r="99" spans="2:7" ht="12" x14ac:dyDescent="0.2">
      <c r="B99" s="57">
        <f>'Name List'!B99</f>
        <v>25</v>
      </c>
      <c r="C99" s="59" t="str">
        <f t="shared" si="3"/>
        <v/>
      </c>
      <c r="D99" s="60">
        <f>'Scores and stats'!RE99</f>
        <v>0</v>
      </c>
      <c r="F99" s="321">
        <v>25</v>
      </c>
      <c r="G99" s="323" t="str">
        <v/>
      </c>
    </row>
    <row r="100" spans="2:7" ht="12" x14ac:dyDescent="0.2">
      <c r="B100" s="57">
        <f>'Name List'!B100</f>
        <v>26</v>
      </c>
      <c r="C100" s="59" t="str">
        <f t="shared" si="3"/>
        <v/>
      </c>
      <c r="D100" s="60">
        <f>'Scores and stats'!RE100</f>
        <v>0</v>
      </c>
      <c r="F100" s="321">
        <v>26</v>
      </c>
      <c r="G100" s="323" t="str">
        <v/>
      </c>
    </row>
    <row r="101" spans="2:7" ht="12" x14ac:dyDescent="0.2">
      <c r="B101" s="57">
        <f>'Name List'!B101</f>
        <v>27</v>
      </c>
      <c r="C101" s="59" t="str">
        <f t="shared" si="3"/>
        <v/>
      </c>
      <c r="D101" s="60">
        <f>'Scores and stats'!RE101</f>
        <v>0</v>
      </c>
      <c r="F101" s="321">
        <v>27</v>
      </c>
      <c r="G101" s="323" t="str">
        <v/>
      </c>
    </row>
    <row r="102" spans="2:7" ht="12" x14ac:dyDescent="0.2">
      <c r="B102" s="57">
        <f>'Name List'!B102</f>
        <v>28</v>
      </c>
      <c r="C102" s="59" t="str">
        <f t="shared" si="3"/>
        <v/>
      </c>
      <c r="D102" s="60">
        <f>'Scores and stats'!RE102</f>
        <v>0</v>
      </c>
      <c r="F102" s="321">
        <v>28</v>
      </c>
      <c r="G102" s="323" t="str">
        <v/>
      </c>
    </row>
    <row r="103" spans="2:7" ht="12" x14ac:dyDescent="0.2">
      <c r="B103" s="57">
        <f>'Name List'!B103</f>
        <v>29</v>
      </c>
      <c r="C103" s="59" t="str">
        <f t="shared" si="3"/>
        <v/>
      </c>
      <c r="D103" s="60">
        <f>'Scores and stats'!RE103</f>
        <v>0</v>
      </c>
      <c r="F103" s="321">
        <v>29</v>
      </c>
      <c r="G103" s="323" t="str">
        <v/>
      </c>
    </row>
    <row r="104" spans="2:7" ht="12" x14ac:dyDescent="0.2">
      <c r="B104" s="57">
        <f>'Name List'!B104</f>
        <v>30</v>
      </c>
      <c r="C104" s="59" t="str">
        <f t="shared" si="3"/>
        <v/>
      </c>
      <c r="D104" s="60">
        <f>'Scores and stats'!RE104</f>
        <v>0</v>
      </c>
      <c r="F104" s="321">
        <v>30</v>
      </c>
      <c r="G104" s="323" t="str">
        <v/>
      </c>
    </row>
    <row r="105" spans="2:7" ht="12" x14ac:dyDescent="0.2">
      <c r="B105" s="57">
        <f>'Name List'!B105</f>
        <v>31</v>
      </c>
      <c r="C105" s="59" t="str">
        <f t="shared" si="3"/>
        <v/>
      </c>
      <c r="D105" s="60">
        <f>'Scores and stats'!RE105</f>
        <v>0</v>
      </c>
      <c r="F105" s="322">
        <v>31</v>
      </c>
      <c r="G105" s="324" t="str">
        <v/>
      </c>
    </row>
  </sheetData>
  <mergeCells count="1">
    <mergeCell ref="F3:G3"/>
  </mergeCells>
  <pageMargins left="0.7" right="0.7" top="0.75" bottom="0.75" header="0.3" footer="0.3"/>
  <pageSetup paperSize="9" orientation="portrait" r:id="rId1"/>
  <headerFooter>
    <oddFooter>&amp;C&amp;1#&amp;"Calibri"&amp;10&amp;K000000PUBLIC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0F0A-3F85-4FEA-A2B4-03FC352DE2A8}">
  <dimension ref="B2:H105"/>
  <sheetViews>
    <sheetView view="pageLayout" workbookViewId="0">
      <selection activeCell="C90" sqref="C90"/>
    </sheetView>
  </sheetViews>
  <sheetFormatPr defaultColWidth="9.33203125" defaultRowHeight="11.25" x14ac:dyDescent="0.2"/>
  <cols>
    <col min="2" max="2" width="23.1640625" customWidth="1"/>
    <col min="3" max="3" width="23.1640625" hidden="1" customWidth="1"/>
    <col min="4" max="4" width="17.6640625" customWidth="1"/>
    <col min="5" max="5" width="3.5" customWidth="1"/>
    <col min="6" max="6" width="25" customWidth="1"/>
  </cols>
  <sheetData>
    <row r="2" spans="2:8" ht="12" x14ac:dyDescent="0.2">
      <c r="B2" s="57"/>
      <c r="C2" s="57"/>
      <c r="D2" s="58"/>
      <c r="E2" s="57"/>
      <c r="F2" s="59"/>
      <c r="G2" s="59"/>
    </row>
    <row r="3" spans="2:8" ht="12" x14ac:dyDescent="0.2">
      <c r="B3" s="57"/>
      <c r="C3" s="57"/>
      <c r="D3" s="58" t="s">
        <v>163</v>
      </c>
      <c r="E3" s="58"/>
      <c r="F3" s="731" t="str">
        <f>D3</f>
        <v>Worst Overall</v>
      </c>
      <c r="G3" s="732"/>
    </row>
    <row r="4" spans="2:8" ht="12" x14ac:dyDescent="0.2">
      <c r="B4" s="57"/>
      <c r="C4" s="57"/>
      <c r="D4" s="58"/>
      <c r="E4" s="57"/>
      <c r="F4" s="180"/>
      <c r="G4" s="181"/>
      <c r="H4" s="198"/>
    </row>
    <row r="5" spans="2:8" ht="12" x14ac:dyDescent="0.2">
      <c r="B5" s="57"/>
      <c r="C5" s="57"/>
      <c r="D5" s="58"/>
      <c r="E5" s="57"/>
      <c r="F5" s="180"/>
      <c r="G5" s="181"/>
      <c r="H5" s="198"/>
    </row>
    <row r="6" spans="2:8" ht="12" x14ac:dyDescent="0.2">
      <c r="B6" s="57" t="str">
        <f>'Name List'!B6</f>
        <v>Stuart Anderson</v>
      </c>
      <c r="C6" s="59" t="str">
        <f t="shared" ref="C6:C37" si="0">IF(D6=0,"",D6)</f>
        <v/>
      </c>
      <c r="D6" s="60">
        <f>'Scores and stats'!RF6</f>
        <v>0</v>
      </c>
      <c r="E6" s="61"/>
      <c r="F6" s="180" t="str" cm="1">
        <f t="array" ref="F6:G105">_xlfn._xlws.SORT(B6:C105,2,1)</f>
        <v>Gary Hall</v>
      </c>
      <c r="G6" s="363">
        <v>9</v>
      </c>
      <c r="H6" s="198"/>
    </row>
    <row r="7" spans="2:8" ht="12" x14ac:dyDescent="0.2">
      <c r="B7" s="57" t="str">
        <f>'Name List'!B7</f>
        <v>Max Ball</v>
      </c>
      <c r="C7" s="59">
        <f t="shared" si="0"/>
        <v>34</v>
      </c>
      <c r="D7" s="60">
        <f>'Scores and stats'!RF7</f>
        <v>34</v>
      </c>
      <c r="E7" s="57"/>
      <c r="F7" s="180" t="str">
        <v>Sam Cochrane</v>
      </c>
      <c r="G7" s="181">
        <v>16</v>
      </c>
      <c r="H7" s="198"/>
    </row>
    <row r="8" spans="2:8" ht="12" x14ac:dyDescent="0.2">
      <c r="B8" s="57" t="str">
        <f>'Name List'!B8</f>
        <v>Harley Bishop</v>
      </c>
      <c r="C8" s="59">
        <f t="shared" si="0"/>
        <v>26</v>
      </c>
      <c r="D8" s="60">
        <f>'Scores and stats'!RF8</f>
        <v>26</v>
      </c>
      <c r="E8" s="57"/>
      <c r="F8" s="180" t="str">
        <v>Paul Clarke</v>
      </c>
      <c r="G8" s="181">
        <v>19</v>
      </c>
      <c r="H8" s="198"/>
    </row>
    <row r="9" spans="2:8" ht="12" x14ac:dyDescent="0.2">
      <c r="B9" s="57" t="str">
        <f>'Name List'!B9</f>
        <v>Chris Burroughs</v>
      </c>
      <c r="C9" s="59">
        <f t="shared" si="0"/>
        <v>29</v>
      </c>
      <c r="D9" s="60">
        <f>'Scores and stats'!RF9</f>
        <v>29</v>
      </c>
      <c r="E9" s="57"/>
      <c r="F9" s="180" t="str">
        <v>Dominic Coughlin</v>
      </c>
      <c r="G9" s="181">
        <v>19</v>
      </c>
      <c r="H9" s="198"/>
    </row>
    <row r="10" spans="2:8" ht="12" x14ac:dyDescent="0.2">
      <c r="B10" s="57" t="str">
        <f>'Name List'!B10</f>
        <v>George Burton</v>
      </c>
      <c r="C10" s="59">
        <f t="shared" si="0"/>
        <v>27</v>
      </c>
      <c r="D10" s="60">
        <f>'Scores and stats'!RF10</f>
        <v>27</v>
      </c>
      <c r="E10" s="57"/>
      <c r="F10" s="180" t="str">
        <v>Oliver Proud</v>
      </c>
      <c r="G10" s="181">
        <v>19</v>
      </c>
      <c r="H10" s="198"/>
    </row>
    <row r="11" spans="2:8" ht="12" x14ac:dyDescent="0.2">
      <c r="B11" s="57" t="str">
        <f>'Name List'!B11</f>
        <v>Tom Burton</v>
      </c>
      <c r="C11" s="59">
        <f t="shared" si="0"/>
        <v>29</v>
      </c>
      <c r="D11" s="60">
        <f>'Scores and stats'!RF11</f>
        <v>29</v>
      </c>
      <c r="E11" s="57"/>
      <c r="F11" s="180" t="str">
        <v>Mike Forrest</v>
      </c>
      <c r="G11" s="181">
        <v>23</v>
      </c>
      <c r="H11" s="198"/>
    </row>
    <row r="12" spans="2:8" ht="12" x14ac:dyDescent="0.2">
      <c r="B12" s="57" t="str">
        <f>'Name List'!B12</f>
        <v>Mike Chubb</v>
      </c>
      <c r="C12" s="59">
        <f t="shared" si="0"/>
        <v>34</v>
      </c>
      <c r="D12" s="60">
        <f>'Scores and stats'!RF12</f>
        <v>34</v>
      </c>
      <c r="E12" s="57"/>
      <c r="F12" s="180" t="str">
        <v>Tony Forsyth-James</v>
      </c>
      <c r="G12" s="181">
        <v>23</v>
      </c>
      <c r="H12" s="198"/>
    </row>
    <row r="13" spans="2:8" ht="12" x14ac:dyDescent="0.2">
      <c r="B13" s="57" t="str">
        <f>'Name List'!B13</f>
        <v>George Clarke</v>
      </c>
      <c r="C13" s="59">
        <f t="shared" si="0"/>
        <v>35</v>
      </c>
      <c r="D13" s="60">
        <f>'Scores and stats'!RF13</f>
        <v>35</v>
      </c>
      <c r="E13" s="57"/>
      <c r="F13" s="180" t="str">
        <v>Brad Whitehead</v>
      </c>
      <c r="G13" s="181">
        <v>23</v>
      </c>
      <c r="H13" s="198"/>
    </row>
    <row r="14" spans="2:8" ht="12" x14ac:dyDescent="0.2">
      <c r="B14" s="57" t="str">
        <f>'Name List'!B14</f>
        <v>Paul Clarke</v>
      </c>
      <c r="C14" s="59">
        <f t="shared" si="0"/>
        <v>19</v>
      </c>
      <c r="D14" s="60">
        <f>'Scores and stats'!RF14</f>
        <v>19</v>
      </c>
      <c r="E14" s="57"/>
      <c r="F14" s="180" t="str">
        <v>Ben Fleet</v>
      </c>
      <c r="G14" s="181">
        <v>24</v>
      </c>
      <c r="H14" s="198"/>
    </row>
    <row r="15" spans="2:8" ht="12" x14ac:dyDescent="0.2">
      <c r="B15" s="57" t="str">
        <f>'Name List'!B15</f>
        <v>Martin Coomber</v>
      </c>
      <c r="C15" s="59">
        <f t="shared" si="0"/>
        <v>29</v>
      </c>
      <c r="D15" s="60">
        <f>'Scores and stats'!RF15</f>
        <v>29</v>
      </c>
      <c r="E15" s="57"/>
      <c r="F15" s="180" t="str">
        <v>Finn Wheeler</v>
      </c>
      <c r="G15" s="181">
        <v>24</v>
      </c>
      <c r="H15" s="198"/>
    </row>
    <row r="16" spans="2:8" ht="12" x14ac:dyDescent="0.2">
      <c r="B16" s="57" t="str">
        <f>'Name List'!B16</f>
        <v>Dominic Coughlin</v>
      </c>
      <c r="C16" s="59">
        <f t="shared" si="0"/>
        <v>19</v>
      </c>
      <c r="D16" s="60">
        <f>'Scores and stats'!RF16</f>
        <v>19</v>
      </c>
      <c r="E16" s="57"/>
      <c r="F16" s="180" t="str">
        <v>Steve Wheeler</v>
      </c>
      <c r="G16" s="181">
        <v>24</v>
      </c>
      <c r="H16" s="198"/>
    </row>
    <row r="17" spans="2:8" ht="12" x14ac:dyDescent="0.2">
      <c r="B17" s="57" t="str">
        <f>'Name List'!B17</f>
        <v>Gareth Davies</v>
      </c>
      <c r="C17" s="59">
        <f t="shared" si="0"/>
        <v>26</v>
      </c>
      <c r="D17" s="60">
        <f>'Scores and stats'!RF17</f>
        <v>26</v>
      </c>
      <c r="E17" s="57"/>
      <c r="F17" s="180" t="str">
        <v>Jonathan Kanareck</v>
      </c>
      <c r="G17" s="181">
        <v>24</v>
      </c>
      <c r="H17" s="198"/>
    </row>
    <row r="18" spans="2:8" ht="12" x14ac:dyDescent="0.2">
      <c r="B18" s="57" t="str">
        <f>'Name List'!B18</f>
        <v>Peter Donovan</v>
      </c>
      <c r="C18" s="59" t="str">
        <f t="shared" si="0"/>
        <v/>
      </c>
      <c r="D18" s="60">
        <f>'Scores and stats'!RF18</f>
        <v>0</v>
      </c>
      <c r="E18" s="57"/>
      <c r="F18" s="180" t="str">
        <v>Kyle Deane</v>
      </c>
      <c r="G18" s="181">
        <v>24</v>
      </c>
      <c r="H18" s="198"/>
    </row>
    <row r="19" spans="2:8" ht="12" x14ac:dyDescent="0.2">
      <c r="B19" s="57" t="str">
        <f>'Name List'!B19</f>
        <v>James Dunn</v>
      </c>
      <c r="C19" s="59">
        <f t="shared" si="0"/>
        <v>37</v>
      </c>
      <c r="D19" s="60">
        <f>'Scores and stats'!RF19</f>
        <v>37</v>
      </c>
      <c r="E19" s="57"/>
      <c r="F19" s="180" t="str">
        <v>Nick Garner</v>
      </c>
      <c r="G19" s="181">
        <v>25</v>
      </c>
      <c r="H19" s="198"/>
    </row>
    <row r="20" spans="2:8" ht="12" x14ac:dyDescent="0.2">
      <c r="B20" s="57" t="str">
        <f>'Name List'!B20</f>
        <v>Gordon Fielding</v>
      </c>
      <c r="C20" s="59" t="str">
        <f t="shared" si="0"/>
        <v/>
      </c>
      <c r="D20" s="60">
        <f>'Scores and stats'!RF20</f>
        <v>0</v>
      </c>
      <c r="E20" s="57"/>
      <c r="F20" s="180" t="str">
        <v>Eoghan Hilton</v>
      </c>
      <c r="G20" s="181">
        <v>25</v>
      </c>
      <c r="H20" s="198"/>
    </row>
    <row r="21" spans="2:8" ht="12" x14ac:dyDescent="0.2">
      <c r="B21" s="57" t="str">
        <f>'Name List'!B21</f>
        <v>Paul Fitzgerald</v>
      </c>
      <c r="C21" s="59">
        <f t="shared" si="0"/>
        <v>27</v>
      </c>
      <c r="D21" s="60">
        <f>'Scores and stats'!RF21</f>
        <v>27</v>
      </c>
      <c r="E21" s="57"/>
      <c r="F21" s="180" t="str">
        <v>Dave Randall</v>
      </c>
      <c r="G21" s="181">
        <v>25</v>
      </c>
      <c r="H21" s="198"/>
    </row>
    <row r="22" spans="2:8" ht="12" x14ac:dyDescent="0.2">
      <c r="B22" s="57" t="str">
        <f>'Name List'!B22</f>
        <v>Ben Fleet</v>
      </c>
      <c r="C22" s="59">
        <f t="shared" si="0"/>
        <v>24</v>
      </c>
      <c r="D22" s="60">
        <f>'Scores and stats'!RF22</f>
        <v>24</v>
      </c>
      <c r="E22" s="61"/>
      <c r="F22" s="180" t="str">
        <v>Shaun Alexander</v>
      </c>
      <c r="G22" s="181">
        <v>25</v>
      </c>
      <c r="H22" s="198"/>
    </row>
    <row r="23" spans="2:8" ht="12" x14ac:dyDescent="0.2">
      <c r="B23" s="57" t="str">
        <f>'Name List'!B23</f>
        <v>Mike Forrest</v>
      </c>
      <c r="C23" s="59">
        <f t="shared" si="0"/>
        <v>23</v>
      </c>
      <c r="D23" s="60">
        <f>'Scores and stats'!RF23</f>
        <v>23</v>
      </c>
      <c r="E23" s="57"/>
      <c r="F23" s="180" t="str">
        <v>Harley Bishop</v>
      </c>
      <c r="G23" s="181">
        <v>26</v>
      </c>
      <c r="H23" s="198"/>
    </row>
    <row r="24" spans="2:8" ht="12" x14ac:dyDescent="0.2">
      <c r="B24" s="57" t="str">
        <f>'Name List'!B24</f>
        <v>Tony Forsyth-James</v>
      </c>
      <c r="C24" s="59">
        <f t="shared" si="0"/>
        <v>23</v>
      </c>
      <c r="D24" s="60">
        <f>'Scores and stats'!RF24</f>
        <v>23</v>
      </c>
      <c r="E24" s="57"/>
      <c r="F24" s="180" t="str">
        <v>Gareth Davies</v>
      </c>
      <c r="G24" s="181">
        <v>26</v>
      </c>
      <c r="H24" s="198"/>
    </row>
    <row r="25" spans="2:8" ht="12" x14ac:dyDescent="0.2">
      <c r="B25" s="57" t="str">
        <f>'Name List'!B25</f>
        <v>Archie Fraser</v>
      </c>
      <c r="C25" s="59">
        <f t="shared" si="0"/>
        <v>36</v>
      </c>
      <c r="D25" s="60">
        <f>'Scores and stats'!RF25</f>
        <v>36</v>
      </c>
      <c r="E25" s="57"/>
      <c r="F25" s="180" t="str">
        <v>Andy Johnson</v>
      </c>
      <c r="G25" s="181">
        <v>26</v>
      </c>
      <c r="H25" s="198"/>
    </row>
    <row r="26" spans="2:8" ht="12" x14ac:dyDescent="0.2">
      <c r="B26" s="57" t="str">
        <f>'Name List'!B26</f>
        <v>Ross Fraser</v>
      </c>
      <c r="C26" s="59">
        <f t="shared" si="0"/>
        <v>29</v>
      </c>
      <c r="D26" s="60">
        <f>'Scores and stats'!RF26</f>
        <v>29</v>
      </c>
      <c r="E26" s="57"/>
      <c r="F26" s="180" t="str">
        <v>Arron Rutherford</v>
      </c>
      <c r="G26" s="181">
        <v>26</v>
      </c>
      <c r="H26" s="198"/>
    </row>
    <row r="27" spans="2:8" ht="12" x14ac:dyDescent="0.2">
      <c r="B27" s="57" t="str">
        <f>'Name List'!B27</f>
        <v>Nick Garner</v>
      </c>
      <c r="C27" s="59">
        <f t="shared" si="0"/>
        <v>25</v>
      </c>
      <c r="D27" s="60">
        <f>'Scores and stats'!RF27</f>
        <v>25</v>
      </c>
      <c r="E27" s="61"/>
      <c r="F27" s="180" t="str">
        <v>Jason Wale</v>
      </c>
      <c r="G27" s="181">
        <v>26</v>
      </c>
      <c r="H27" s="198"/>
    </row>
    <row r="28" spans="2:8" ht="12" x14ac:dyDescent="0.2">
      <c r="B28" s="57" t="str">
        <f>'Name List'!B28</f>
        <v>Stuart Gay</v>
      </c>
      <c r="C28" s="59" t="str">
        <f t="shared" si="0"/>
        <v/>
      </c>
      <c r="D28" s="60">
        <f>'Scores and stats'!RF28</f>
        <v>0</v>
      </c>
      <c r="E28" s="57"/>
      <c r="F28" s="180" t="str">
        <v>Terry Walker</v>
      </c>
      <c r="G28" s="181">
        <v>26</v>
      </c>
      <c r="H28" s="198"/>
    </row>
    <row r="29" spans="2:8" ht="12" x14ac:dyDescent="0.2">
      <c r="B29" s="57" t="str">
        <f>'Name List'!B29</f>
        <v>Jordan Hall</v>
      </c>
      <c r="C29" s="59">
        <f t="shared" si="0"/>
        <v>38</v>
      </c>
      <c r="D29" s="60">
        <f>'Scores and stats'!RF29</f>
        <v>38</v>
      </c>
      <c r="E29" s="61"/>
      <c r="F29" s="180" t="str">
        <v>George Burton</v>
      </c>
      <c r="G29" s="181">
        <v>27</v>
      </c>
      <c r="H29" s="198"/>
    </row>
    <row r="30" spans="2:8" ht="12" x14ac:dyDescent="0.2">
      <c r="B30" s="57" t="str">
        <f>'Name List'!B30</f>
        <v>Gary Hall</v>
      </c>
      <c r="C30" s="59">
        <f t="shared" si="0"/>
        <v>9</v>
      </c>
      <c r="D30" s="60">
        <f>'Scores and stats'!RF30</f>
        <v>9</v>
      </c>
      <c r="E30" s="57"/>
      <c r="F30" s="180" t="str">
        <v>Paul Fitzgerald</v>
      </c>
      <c r="G30" s="181">
        <v>27</v>
      </c>
      <c r="H30" s="198"/>
    </row>
    <row r="31" spans="2:8" ht="12" x14ac:dyDescent="0.2">
      <c r="B31" s="57" t="str">
        <f>'Name List'!B31</f>
        <v>Anthony Harris</v>
      </c>
      <c r="C31" s="59">
        <f t="shared" si="0"/>
        <v>31</v>
      </c>
      <c r="D31" s="60">
        <f>'Scores and stats'!RF31</f>
        <v>31</v>
      </c>
      <c r="E31" s="57"/>
      <c r="F31" s="180" t="str">
        <v>Neil Hart</v>
      </c>
      <c r="G31" s="181">
        <v>27</v>
      </c>
      <c r="H31" s="198"/>
    </row>
    <row r="32" spans="2:8" ht="12" x14ac:dyDescent="0.2">
      <c r="B32" s="57" t="str">
        <f>'Name List'!B32</f>
        <v>Neil Hart</v>
      </c>
      <c r="C32" s="59">
        <f t="shared" si="0"/>
        <v>27</v>
      </c>
      <c r="D32" s="60">
        <f>'Scores and stats'!RF32</f>
        <v>27</v>
      </c>
      <c r="E32" s="57"/>
      <c r="F32" s="180" t="str">
        <v>David Hilton</v>
      </c>
      <c r="G32" s="181">
        <v>27</v>
      </c>
      <c r="H32" s="198"/>
    </row>
    <row r="33" spans="2:8" ht="12" x14ac:dyDescent="0.2">
      <c r="B33" s="57" t="str">
        <f>'Name List'!B33</f>
        <v>Tony Hearson</v>
      </c>
      <c r="C33" s="59" t="str">
        <f t="shared" si="0"/>
        <v/>
      </c>
      <c r="D33" s="60">
        <f>'Scores and stats'!RF33</f>
        <v>0</v>
      </c>
      <c r="E33" s="57"/>
      <c r="F33" s="180" t="str">
        <v>Edward Money</v>
      </c>
      <c r="G33" s="181">
        <v>27</v>
      </c>
      <c r="H33" s="198"/>
    </row>
    <row r="34" spans="2:8" ht="12" x14ac:dyDescent="0.2">
      <c r="B34" s="57" t="str">
        <f>'Name List'!B34</f>
        <v>David Hilton</v>
      </c>
      <c r="C34" s="59">
        <f t="shared" si="0"/>
        <v>27</v>
      </c>
      <c r="D34" s="60">
        <f>'Scores and stats'!RF34</f>
        <v>27</v>
      </c>
      <c r="E34" s="57"/>
      <c r="F34" s="180" t="str">
        <v>Kevin Tribley</v>
      </c>
      <c r="G34" s="181">
        <v>27</v>
      </c>
      <c r="H34" s="198"/>
    </row>
    <row r="35" spans="2:8" ht="12" x14ac:dyDescent="0.2">
      <c r="B35" s="57" t="str">
        <f>'Name List'!B35</f>
        <v>Eoghan Hilton</v>
      </c>
      <c r="C35" s="59">
        <f t="shared" si="0"/>
        <v>25</v>
      </c>
      <c r="D35" s="60">
        <f>'Scores and stats'!RF35</f>
        <v>25</v>
      </c>
      <c r="E35" s="57"/>
      <c r="F35" s="180" t="str">
        <v>Justin Hunt</v>
      </c>
      <c r="G35" s="181">
        <v>28</v>
      </c>
      <c r="H35" s="198"/>
    </row>
    <row r="36" spans="2:8" ht="12" x14ac:dyDescent="0.2">
      <c r="B36" s="57" t="str">
        <f>'Name List'!B36</f>
        <v>Martin Holder</v>
      </c>
      <c r="C36" s="59" t="str">
        <f t="shared" si="0"/>
        <v/>
      </c>
      <c r="D36" s="60">
        <f>'Scores and stats'!RF36</f>
        <v>0</v>
      </c>
      <c r="E36" s="57"/>
      <c r="F36" s="180" t="str">
        <v>Oli Lloyd</v>
      </c>
      <c r="G36" s="181">
        <v>28</v>
      </c>
      <c r="H36" s="198"/>
    </row>
    <row r="37" spans="2:8" ht="12" x14ac:dyDescent="0.2">
      <c r="B37" s="57" t="str">
        <f>'Name List'!B37</f>
        <v>Justin Hunt</v>
      </c>
      <c r="C37" s="59">
        <f t="shared" si="0"/>
        <v>28</v>
      </c>
      <c r="D37" s="60">
        <f>'Scores and stats'!RF37</f>
        <v>28</v>
      </c>
      <c r="E37" s="57"/>
      <c r="F37" s="180" t="str">
        <v>Chris Burroughs</v>
      </c>
      <c r="G37" s="181">
        <v>29</v>
      </c>
      <c r="H37" s="198"/>
    </row>
    <row r="38" spans="2:8" ht="12" x14ac:dyDescent="0.2">
      <c r="B38" s="57" t="str">
        <f>'Name List'!B38</f>
        <v>Mark Hutchinson</v>
      </c>
      <c r="C38" s="59" t="str">
        <f t="shared" ref="C38:C69" si="1">IF(D38=0,"",D38)</f>
        <v/>
      </c>
      <c r="D38" s="60">
        <f>'Scores and stats'!RF38</f>
        <v>0</v>
      </c>
      <c r="E38" s="57"/>
      <c r="F38" s="180" t="str">
        <v>Tom Burton</v>
      </c>
      <c r="G38" s="181">
        <v>29</v>
      </c>
      <c r="H38" s="198"/>
    </row>
    <row r="39" spans="2:8" ht="12" x14ac:dyDescent="0.2">
      <c r="B39" s="57" t="str">
        <f>'Name List'!B39</f>
        <v>Andy Johnson</v>
      </c>
      <c r="C39" s="59">
        <f t="shared" si="1"/>
        <v>26</v>
      </c>
      <c r="D39" s="60">
        <f>'Scores and stats'!RF39</f>
        <v>26</v>
      </c>
      <c r="E39" s="57"/>
      <c r="F39" s="180" t="str">
        <v>Martin Coomber</v>
      </c>
      <c r="G39" s="181">
        <v>29</v>
      </c>
      <c r="H39" s="198"/>
    </row>
    <row r="40" spans="2:8" ht="12" x14ac:dyDescent="0.2">
      <c r="B40" s="57" t="str">
        <f>'Name List'!B40</f>
        <v>Oli Lloyd</v>
      </c>
      <c r="C40" s="59">
        <f t="shared" si="1"/>
        <v>28</v>
      </c>
      <c r="D40" s="60">
        <f>'Scores and stats'!RF40</f>
        <v>28</v>
      </c>
      <c r="E40" s="57"/>
      <c r="F40" s="180" t="str">
        <v>Ross Fraser</v>
      </c>
      <c r="G40" s="181">
        <v>29</v>
      </c>
      <c r="H40" s="198"/>
    </row>
    <row r="41" spans="2:8" ht="12" x14ac:dyDescent="0.2">
      <c r="B41" s="57" t="str">
        <f>'Name List'!B41</f>
        <v>Andy Lucey</v>
      </c>
      <c r="C41" s="59" t="str">
        <f t="shared" si="1"/>
        <v/>
      </c>
      <c r="D41" s="60">
        <f>'Scores and stats'!RF41</f>
        <v>0</v>
      </c>
      <c r="E41" s="57"/>
      <c r="F41" s="180" t="str">
        <v>Chris Smith</v>
      </c>
      <c r="G41" s="181">
        <v>29</v>
      </c>
      <c r="H41" s="198"/>
    </row>
    <row r="42" spans="2:8" ht="12" x14ac:dyDescent="0.2">
      <c r="B42" s="57" t="str">
        <f>'Name List'!B42</f>
        <v>Paul Martin</v>
      </c>
      <c r="C42" s="59">
        <f t="shared" si="1"/>
        <v>31</v>
      </c>
      <c r="D42" s="60">
        <f>'Scores and stats'!RF42</f>
        <v>31</v>
      </c>
      <c r="E42" s="61"/>
      <c r="F42" s="180" t="str">
        <v>Anthony Harris</v>
      </c>
      <c r="G42" s="181">
        <v>31</v>
      </c>
      <c r="H42" s="198"/>
    </row>
    <row r="43" spans="2:8" ht="12" x14ac:dyDescent="0.2">
      <c r="B43" s="57" t="str">
        <f>'Name List'!B43</f>
        <v>Edward Money</v>
      </c>
      <c r="C43" s="59">
        <f t="shared" si="1"/>
        <v>27</v>
      </c>
      <c r="D43" s="60">
        <f>'Scores and stats'!RF43</f>
        <v>27</v>
      </c>
      <c r="E43" s="61"/>
      <c r="F43" s="180" t="str">
        <v>Paul Martin</v>
      </c>
      <c r="G43" s="181">
        <v>31</v>
      </c>
      <c r="H43" s="198"/>
    </row>
    <row r="44" spans="2:8" ht="12" x14ac:dyDescent="0.2">
      <c r="B44" s="57" t="str">
        <f>'Name List'!B44</f>
        <v>Dickie Moxham</v>
      </c>
      <c r="C44" s="59">
        <f t="shared" si="1"/>
        <v>31</v>
      </c>
      <c r="D44" s="60">
        <f>'Scores and stats'!RF44</f>
        <v>31</v>
      </c>
      <c r="E44" s="57"/>
      <c r="F44" s="180" t="str">
        <v>Dickie Moxham</v>
      </c>
      <c r="G44" s="181">
        <v>31</v>
      </c>
      <c r="H44" s="198"/>
    </row>
    <row r="45" spans="2:8" ht="12" x14ac:dyDescent="0.2">
      <c r="B45" s="57" t="str">
        <f>'Name List'!B45</f>
        <v>Dave Randall</v>
      </c>
      <c r="C45" s="59">
        <f t="shared" si="1"/>
        <v>25</v>
      </c>
      <c r="D45" s="60">
        <f>'Scores and stats'!RF45</f>
        <v>25</v>
      </c>
      <c r="E45" s="57"/>
      <c r="F45" s="180" t="str">
        <v>Peter Vallely</v>
      </c>
      <c r="G45" s="181">
        <v>31</v>
      </c>
      <c r="H45" s="198"/>
    </row>
    <row r="46" spans="2:8" ht="12" x14ac:dyDescent="0.2">
      <c r="B46" s="57" t="str">
        <f>'Name List'!B46</f>
        <v>Arron Rutherford</v>
      </c>
      <c r="C46" s="59">
        <f t="shared" si="1"/>
        <v>26</v>
      </c>
      <c r="D46" s="60">
        <f>'Scores and stats'!RF46</f>
        <v>26</v>
      </c>
      <c r="E46" s="57"/>
      <c r="F46" s="180" t="str">
        <v>Dave Woodget</v>
      </c>
      <c r="G46" s="181">
        <v>31</v>
      </c>
      <c r="H46" s="198"/>
    </row>
    <row r="47" spans="2:8" ht="12" x14ac:dyDescent="0.2">
      <c r="B47" s="57" t="str">
        <f>'Name List'!B47</f>
        <v>Terry Shoker</v>
      </c>
      <c r="C47" s="59" t="str">
        <f t="shared" si="1"/>
        <v/>
      </c>
      <c r="D47" s="60">
        <f>'Scores and stats'!RF47</f>
        <v>0</v>
      </c>
      <c r="E47" s="57"/>
      <c r="F47" s="180" t="str">
        <v>Joe Hooper</v>
      </c>
      <c r="G47" s="181">
        <v>32</v>
      </c>
      <c r="H47" s="198"/>
    </row>
    <row r="48" spans="2:8" ht="12" x14ac:dyDescent="0.2">
      <c r="B48" s="57" t="str">
        <f>'Name List'!B48</f>
        <v>Chris Smith</v>
      </c>
      <c r="C48" s="59">
        <f t="shared" si="1"/>
        <v>29</v>
      </c>
      <c r="D48" s="60">
        <f>'Scores and stats'!RF48</f>
        <v>29</v>
      </c>
      <c r="E48" s="61"/>
      <c r="F48" s="180" t="str">
        <v>Dan Thomas</v>
      </c>
      <c r="G48" s="181">
        <v>33</v>
      </c>
      <c r="H48" s="198"/>
    </row>
    <row r="49" spans="2:8" ht="12" x14ac:dyDescent="0.2">
      <c r="B49" s="57" t="str">
        <f>'Name List'!B49</f>
        <v>Justin Spencer</v>
      </c>
      <c r="C49" s="59" t="str">
        <f t="shared" si="1"/>
        <v/>
      </c>
      <c r="D49" s="60">
        <f>'Scores and stats'!RF49</f>
        <v>0</v>
      </c>
      <c r="E49" s="57"/>
      <c r="F49" s="180" t="str">
        <v>Danny Jones</v>
      </c>
      <c r="G49" s="181">
        <v>33</v>
      </c>
      <c r="H49" s="198"/>
    </row>
    <row r="50" spans="2:8" ht="12" x14ac:dyDescent="0.2">
      <c r="B50" s="57" t="str">
        <f>'Name List'!B50</f>
        <v>Jake Sprosen</v>
      </c>
      <c r="C50" s="59" t="str">
        <f t="shared" si="1"/>
        <v/>
      </c>
      <c r="D50" s="60">
        <f>'Scores and stats'!RF50</f>
        <v>0</v>
      </c>
      <c r="E50" s="57"/>
      <c r="F50" s="180" t="str">
        <v>Max Ball</v>
      </c>
      <c r="G50" s="181">
        <v>34</v>
      </c>
      <c r="H50" s="198"/>
    </row>
    <row r="51" spans="2:8" ht="12" x14ac:dyDescent="0.2">
      <c r="B51" s="57" t="str">
        <f>'Name List'!B51</f>
        <v>Tosh Sprosen</v>
      </c>
      <c r="C51" s="59" t="str">
        <f t="shared" si="1"/>
        <v/>
      </c>
      <c r="D51" s="60">
        <f>'Scores and stats'!RF51</f>
        <v>0</v>
      </c>
      <c r="E51" s="57"/>
      <c r="F51" s="180" t="str">
        <v>Mike Chubb</v>
      </c>
      <c r="G51" s="181">
        <v>34</v>
      </c>
      <c r="H51" s="198"/>
    </row>
    <row r="52" spans="2:8" ht="12" x14ac:dyDescent="0.2">
      <c r="B52" s="57" t="str">
        <f>'Name List'!B52</f>
        <v>Bill Sutton</v>
      </c>
      <c r="C52" s="59" t="str">
        <f t="shared" si="1"/>
        <v/>
      </c>
      <c r="D52" s="60">
        <f>'Scores and stats'!RF52</f>
        <v>0</v>
      </c>
      <c r="E52" s="57"/>
      <c r="F52" s="180" t="str">
        <v>Ryan Vaughan</v>
      </c>
      <c r="G52" s="181">
        <v>34</v>
      </c>
      <c r="H52" s="198"/>
    </row>
    <row r="53" spans="2:8" ht="12" x14ac:dyDescent="0.2">
      <c r="B53" s="57" t="str">
        <f>'Name List'!B53</f>
        <v>Dan Thomas</v>
      </c>
      <c r="C53" s="59">
        <f t="shared" si="1"/>
        <v>33</v>
      </c>
      <c r="D53" s="60">
        <f>'Scores and stats'!RF53</f>
        <v>33</v>
      </c>
      <c r="E53" s="57"/>
      <c r="F53" s="180" t="str">
        <v>George Clarke</v>
      </c>
      <c r="G53" s="181">
        <v>35</v>
      </c>
      <c r="H53" s="198"/>
    </row>
    <row r="54" spans="2:8" ht="12" x14ac:dyDescent="0.2">
      <c r="B54" s="57" t="str">
        <f>'Name List'!B54</f>
        <v>Andy Thompson</v>
      </c>
      <c r="C54" s="59" t="str">
        <f t="shared" si="1"/>
        <v/>
      </c>
      <c r="D54" s="60">
        <f>'Scores and stats'!RF54</f>
        <v>0</v>
      </c>
      <c r="E54" s="57"/>
      <c r="F54" s="180" t="str">
        <v>Russell Turner</v>
      </c>
      <c r="G54" s="181">
        <v>35</v>
      </c>
      <c r="H54" s="198"/>
    </row>
    <row r="55" spans="2:8" ht="12" x14ac:dyDescent="0.2">
      <c r="B55" s="57" t="str">
        <f>'Name List'!B55</f>
        <v>Rory Thompson</v>
      </c>
      <c r="C55" s="59" t="str">
        <f t="shared" si="1"/>
        <v/>
      </c>
      <c r="D55" s="60">
        <f>'Scores and stats'!RF55</f>
        <v>0</v>
      </c>
      <c r="E55" s="57"/>
      <c r="F55" s="180" t="str">
        <v>Archie Fraser</v>
      </c>
      <c r="G55" s="181">
        <v>36</v>
      </c>
      <c r="H55" s="198"/>
    </row>
    <row r="56" spans="2:8" ht="12" x14ac:dyDescent="0.2">
      <c r="B56" s="57" t="str">
        <f>'Name List'!B56</f>
        <v>Sonny Thompson</v>
      </c>
      <c r="C56" s="59" t="str">
        <f t="shared" si="1"/>
        <v/>
      </c>
      <c r="D56" s="60">
        <f>'Scores and stats'!RF56</f>
        <v>0</v>
      </c>
      <c r="E56" s="57"/>
      <c r="F56" s="180" t="str">
        <v>James Dunn</v>
      </c>
      <c r="G56" s="181">
        <v>37</v>
      </c>
      <c r="H56" s="198"/>
    </row>
    <row r="57" spans="2:8" ht="12" x14ac:dyDescent="0.2">
      <c r="B57" s="57" t="str">
        <f>'Name List'!B57</f>
        <v>Kevin Tribley</v>
      </c>
      <c r="C57" s="59">
        <f t="shared" si="1"/>
        <v>27</v>
      </c>
      <c r="D57" s="60">
        <f>'Scores and stats'!RF57</f>
        <v>27</v>
      </c>
      <c r="E57" s="57"/>
      <c r="F57" s="180" t="str">
        <v>Jordan Hall</v>
      </c>
      <c r="G57" s="181">
        <v>38</v>
      </c>
      <c r="H57" s="198"/>
    </row>
    <row r="58" spans="2:8" ht="12" x14ac:dyDescent="0.2">
      <c r="B58" s="57" t="str">
        <f>'Name List'!B58</f>
        <v>Russell Turner</v>
      </c>
      <c r="C58" s="59">
        <f t="shared" si="1"/>
        <v>35</v>
      </c>
      <c r="D58" s="60">
        <f>'Scores and stats'!RF58</f>
        <v>35</v>
      </c>
      <c r="E58" s="57"/>
      <c r="F58" s="180" t="str">
        <v>Stuart Anderson</v>
      </c>
      <c r="G58" s="181" t="str">
        <v/>
      </c>
      <c r="H58" s="198"/>
    </row>
    <row r="59" spans="2:8" ht="12" x14ac:dyDescent="0.2">
      <c r="B59" s="57" t="str">
        <f>'Name List'!B59</f>
        <v>Peter Vallely</v>
      </c>
      <c r="C59" s="59">
        <f t="shared" si="1"/>
        <v>31</v>
      </c>
      <c r="D59" s="60">
        <f>'Scores and stats'!RF59</f>
        <v>31</v>
      </c>
      <c r="E59" s="57"/>
      <c r="F59" s="180" t="str">
        <v>Peter Donovan</v>
      </c>
      <c r="G59" s="181" t="str">
        <v/>
      </c>
      <c r="H59" s="198"/>
    </row>
    <row r="60" spans="2:8" ht="12" x14ac:dyDescent="0.2">
      <c r="B60" s="57" t="str">
        <f>'Name List'!B60</f>
        <v>Ryan Vaughan</v>
      </c>
      <c r="C60" s="59">
        <f t="shared" si="1"/>
        <v>34</v>
      </c>
      <c r="D60" s="60">
        <f>'Scores and stats'!RF60</f>
        <v>34</v>
      </c>
      <c r="E60" s="57"/>
      <c r="F60" s="180" t="str">
        <v>Gordon Fielding</v>
      </c>
      <c r="G60" s="181" t="str">
        <v/>
      </c>
      <c r="H60" s="198"/>
    </row>
    <row r="61" spans="2:8" ht="12" x14ac:dyDescent="0.2">
      <c r="B61" s="57" t="str">
        <f>'Name List'!B61</f>
        <v>Jason Wale</v>
      </c>
      <c r="C61" s="59">
        <f t="shared" si="1"/>
        <v>26</v>
      </c>
      <c r="D61" s="60">
        <f>'Scores and stats'!RF61</f>
        <v>26</v>
      </c>
      <c r="E61" s="57"/>
      <c r="F61" s="180" t="str">
        <v>Stuart Gay</v>
      </c>
      <c r="G61" s="181" t="str">
        <v/>
      </c>
      <c r="H61" s="198"/>
    </row>
    <row r="62" spans="2:8" ht="12" x14ac:dyDescent="0.2">
      <c r="B62" s="57" t="str">
        <f>'Name List'!B62</f>
        <v>Terry Walker</v>
      </c>
      <c r="C62" s="59">
        <f t="shared" si="1"/>
        <v>26</v>
      </c>
      <c r="D62" s="60">
        <f>'Scores and stats'!RF62</f>
        <v>26</v>
      </c>
      <c r="E62" s="57"/>
      <c r="F62" s="180" t="str">
        <v>Tony Hearson</v>
      </c>
      <c r="G62" s="181" t="str">
        <v/>
      </c>
      <c r="H62" s="198"/>
    </row>
    <row r="63" spans="2:8" ht="12" x14ac:dyDescent="0.2">
      <c r="B63" s="57" t="str">
        <f>'Name List'!B63</f>
        <v>Finn Wheeler</v>
      </c>
      <c r="C63" s="59">
        <f t="shared" si="1"/>
        <v>24</v>
      </c>
      <c r="D63" s="60">
        <f>'Scores and stats'!RF63</f>
        <v>24</v>
      </c>
      <c r="E63" s="57"/>
      <c r="F63" s="180" t="str">
        <v>Martin Holder</v>
      </c>
      <c r="G63" s="181" t="str">
        <v/>
      </c>
      <c r="H63" s="198"/>
    </row>
    <row r="64" spans="2:8" ht="12" x14ac:dyDescent="0.2">
      <c r="B64" s="57" t="str">
        <f>'Name List'!B64</f>
        <v>Steve Wheeler</v>
      </c>
      <c r="C64" s="59">
        <f t="shared" si="1"/>
        <v>24</v>
      </c>
      <c r="D64" s="60">
        <f>'Scores and stats'!RF64</f>
        <v>24</v>
      </c>
      <c r="E64" s="57"/>
      <c r="F64" s="180" t="str">
        <v>Mark Hutchinson</v>
      </c>
      <c r="G64" s="181" t="str">
        <v/>
      </c>
      <c r="H64" s="198"/>
    </row>
    <row r="65" spans="2:8" ht="12" x14ac:dyDescent="0.2">
      <c r="B65" s="57" t="str">
        <f>'Name List'!B65</f>
        <v>Brad Whitehead</v>
      </c>
      <c r="C65" s="59">
        <f t="shared" si="1"/>
        <v>23</v>
      </c>
      <c r="D65" s="60">
        <f>'Scores and stats'!RF65</f>
        <v>23</v>
      </c>
      <c r="E65" s="57"/>
      <c r="F65" s="180" t="str">
        <v>Andy Lucey</v>
      </c>
      <c r="G65" s="181" t="str">
        <v/>
      </c>
      <c r="H65" s="198"/>
    </row>
    <row r="66" spans="2:8" ht="12" x14ac:dyDescent="0.2">
      <c r="B66" s="57" t="str">
        <f>'Name List'!B66</f>
        <v>Dave Woodget</v>
      </c>
      <c r="C66" s="59">
        <f t="shared" si="1"/>
        <v>31</v>
      </c>
      <c r="D66" s="60">
        <f>'Scores and stats'!RF66</f>
        <v>31</v>
      </c>
      <c r="E66" s="57"/>
      <c r="F66" s="180" t="str">
        <v>Terry Shoker</v>
      </c>
      <c r="G66" s="181" t="str">
        <v/>
      </c>
      <c r="H66" s="198"/>
    </row>
    <row r="67" spans="2:8" ht="12" x14ac:dyDescent="0.2">
      <c r="B67" s="57" t="str">
        <f>'Name List'!B67</f>
        <v>Jonathan Kanareck</v>
      </c>
      <c r="C67" s="59">
        <f t="shared" si="1"/>
        <v>24</v>
      </c>
      <c r="D67" s="60">
        <f>'Scores and stats'!RF67</f>
        <v>24</v>
      </c>
      <c r="E67" s="57"/>
      <c r="F67" s="180" t="str">
        <v>Justin Spencer</v>
      </c>
      <c r="G67" s="181" t="str">
        <v/>
      </c>
      <c r="H67" s="198"/>
    </row>
    <row r="68" spans="2:8" ht="12" x14ac:dyDescent="0.2">
      <c r="B68" s="57" t="str">
        <f>'Name List'!B68</f>
        <v>Oliver Proud</v>
      </c>
      <c r="C68" s="59">
        <f t="shared" si="1"/>
        <v>19</v>
      </c>
      <c r="D68" s="60">
        <f>'Scores and stats'!RF68</f>
        <v>19</v>
      </c>
      <c r="F68" s="180" t="str">
        <v>Jake Sprosen</v>
      </c>
      <c r="G68" s="181" t="str">
        <v/>
      </c>
      <c r="H68" s="198"/>
    </row>
    <row r="69" spans="2:8" ht="12" x14ac:dyDescent="0.2">
      <c r="B69" s="57" t="str">
        <f>'Name List'!B69</f>
        <v>Joe Hooper</v>
      </c>
      <c r="C69" s="59">
        <f t="shared" si="1"/>
        <v>32</v>
      </c>
      <c r="D69" s="60">
        <f>'Scores and stats'!RF69</f>
        <v>32</v>
      </c>
      <c r="F69" s="180" t="str">
        <v>Tosh Sprosen</v>
      </c>
      <c r="G69" s="181" t="str">
        <v/>
      </c>
      <c r="H69" s="198"/>
    </row>
    <row r="70" spans="2:8" ht="12" x14ac:dyDescent="0.2">
      <c r="B70" s="57" t="str">
        <f>'Name List'!B70</f>
        <v>Danny Jones</v>
      </c>
      <c r="C70" s="59">
        <f t="shared" ref="C70:C74" si="2">IF(D70=0,"",D70)</f>
        <v>33</v>
      </c>
      <c r="D70" s="60">
        <f>'Scores and stats'!RF70</f>
        <v>33</v>
      </c>
      <c r="F70" s="180" t="str">
        <v>Bill Sutton</v>
      </c>
      <c r="G70" s="181" t="str">
        <v/>
      </c>
      <c r="H70" s="198"/>
    </row>
    <row r="71" spans="2:8" ht="12" x14ac:dyDescent="0.2">
      <c r="B71" s="57" t="str">
        <f>'Name List'!B71</f>
        <v>Liam Anderson</v>
      </c>
      <c r="C71" s="59" t="str">
        <f t="shared" si="2"/>
        <v/>
      </c>
      <c r="D71" s="60">
        <f>'Scores and stats'!RF71</f>
        <v>0</v>
      </c>
      <c r="F71" s="180" t="str">
        <v>Andy Thompson</v>
      </c>
      <c r="G71" s="181" t="str">
        <v/>
      </c>
      <c r="H71" s="198"/>
    </row>
    <row r="72" spans="2:8" ht="12" x14ac:dyDescent="0.2">
      <c r="B72" s="57" t="str">
        <f>'Name List'!B72</f>
        <v>Sam Cochrane</v>
      </c>
      <c r="C72" s="59">
        <f t="shared" si="2"/>
        <v>16</v>
      </c>
      <c r="D72" s="60">
        <f>'Scores and stats'!RF72</f>
        <v>16</v>
      </c>
      <c r="F72" s="180" t="str">
        <v>Rory Thompson</v>
      </c>
      <c r="G72" s="181" t="str">
        <v/>
      </c>
      <c r="H72" s="198"/>
    </row>
    <row r="73" spans="2:8" ht="12" x14ac:dyDescent="0.2">
      <c r="B73" s="57" t="str">
        <f>'Name List'!B73</f>
        <v>Shaun Alexander</v>
      </c>
      <c r="C73" s="59">
        <f t="shared" si="2"/>
        <v>25</v>
      </c>
      <c r="D73" s="60">
        <f>'Scores and stats'!RF73</f>
        <v>25</v>
      </c>
      <c r="F73" s="180" t="str">
        <v>Sonny Thompson</v>
      </c>
      <c r="G73" s="181" t="str">
        <v/>
      </c>
      <c r="H73" s="198"/>
    </row>
    <row r="74" spans="2:8" ht="12" x14ac:dyDescent="0.2">
      <c r="B74" s="57" t="str">
        <f>'Name List'!B74</f>
        <v>Kyle Deane</v>
      </c>
      <c r="C74" s="59">
        <f t="shared" si="2"/>
        <v>24</v>
      </c>
      <c r="D74" s="60">
        <f>'Scores and stats'!RF74</f>
        <v>24</v>
      </c>
      <c r="F74" s="180" t="str">
        <v>Liam Anderson</v>
      </c>
      <c r="G74" s="181" t="str">
        <v/>
      </c>
      <c r="H74" s="198"/>
    </row>
    <row r="75" spans="2:8" ht="12" x14ac:dyDescent="0.2">
      <c r="B75" s="57">
        <f>'Name List'!B75</f>
        <v>1</v>
      </c>
      <c r="C75" s="59" t="str">
        <f t="shared" ref="C75:C105" si="3">IF(D75=0,"",D75)</f>
        <v/>
      </c>
      <c r="D75" s="60">
        <f>'Scores and stats'!RF75</f>
        <v>0</v>
      </c>
      <c r="F75" s="180">
        <v>1</v>
      </c>
      <c r="G75" s="181" t="str">
        <v/>
      </c>
      <c r="H75" s="198"/>
    </row>
    <row r="76" spans="2:8" ht="12" x14ac:dyDescent="0.2">
      <c r="B76" s="57">
        <f>'Name List'!B76</f>
        <v>2</v>
      </c>
      <c r="C76" s="59" t="str">
        <f t="shared" si="3"/>
        <v/>
      </c>
      <c r="D76" s="60">
        <f>'Scores and stats'!RF76</f>
        <v>0</v>
      </c>
      <c r="F76" s="180">
        <v>2</v>
      </c>
      <c r="G76" s="181" t="str">
        <v/>
      </c>
      <c r="H76" s="198"/>
    </row>
    <row r="77" spans="2:8" ht="12" x14ac:dyDescent="0.2">
      <c r="B77" s="57">
        <f>'Name List'!B77</f>
        <v>3</v>
      </c>
      <c r="C77" s="59" t="str">
        <f t="shared" si="3"/>
        <v/>
      </c>
      <c r="D77" s="60">
        <f>'Scores and stats'!RF77</f>
        <v>0</v>
      </c>
      <c r="F77" s="180">
        <v>3</v>
      </c>
      <c r="G77" s="181" t="str">
        <v/>
      </c>
      <c r="H77" s="198"/>
    </row>
    <row r="78" spans="2:8" ht="12" x14ac:dyDescent="0.2">
      <c r="B78" s="57">
        <f>'Name List'!B78</f>
        <v>4</v>
      </c>
      <c r="C78" s="59" t="str">
        <f t="shared" si="3"/>
        <v/>
      </c>
      <c r="D78" s="60">
        <f>'Scores and stats'!RF78</f>
        <v>0</v>
      </c>
      <c r="F78" s="180">
        <v>4</v>
      </c>
      <c r="G78" s="181" t="str">
        <v/>
      </c>
      <c r="H78" s="198"/>
    </row>
    <row r="79" spans="2:8" ht="12" x14ac:dyDescent="0.2">
      <c r="B79" s="57">
        <f>'Name List'!B79</f>
        <v>5</v>
      </c>
      <c r="C79" s="59" t="str">
        <f t="shared" si="3"/>
        <v/>
      </c>
      <c r="D79" s="60">
        <f>'Scores and stats'!RF79</f>
        <v>0</v>
      </c>
      <c r="F79" s="180">
        <v>5</v>
      </c>
      <c r="G79" s="181" t="str">
        <v/>
      </c>
      <c r="H79" s="198"/>
    </row>
    <row r="80" spans="2:8" ht="12" x14ac:dyDescent="0.2">
      <c r="B80" s="57">
        <f>'Name List'!B80</f>
        <v>6</v>
      </c>
      <c r="C80" s="59" t="str">
        <f t="shared" si="3"/>
        <v/>
      </c>
      <c r="D80" s="60">
        <f>'Scores and stats'!RF80</f>
        <v>0</v>
      </c>
      <c r="F80" s="180">
        <v>6</v>
      </c>
      <c r="G80" s="181" t="str">
        <v/>
      </c>
      <c r="H80" s="198"/>
    </row>
    <row r="81" spans="2:8" ht="12" x14ac:dyDescent="0.2">
      <c r="B81" s="57">
        <f>'Name List'!B81</f>
        <v>7</v>
      </c>
      <c r="C81" s="59" t="str">
        <f t="shared" si="3"/>
        <v/>
      </c>
      <c r="D81" s="60">
        <f>'Scores and stats'!RF81</f>
        <v>0</v>
      </c>
      <c r="F81" s="180">
        <v>7</v>
      </c>
      <c r="G81" s="181" t="str">
        <v/>
      </c>
      <c r="H81" s="198"/>
    </row>
    <row r="82" spans="2:8" ht="12" x14ac:dyDescent="0.2">
      <c r="B82" s="57">
        <f>'Name List'!B82</f>
        <v>8</v>
      </c>
      <c r="C82" s="59" t="str">
        <f t="shared" si="3"/>
        <v/>
      </c>
      <c r="D82" s="60">
        <f>'Scores and stats'!RF82</f>
        <v>0</v>
      </c>
      <c r="F82" s="180">
        <v>8</v>
      </c>
      <c r="G82" s="181" t="str">
        <v/>
      </c>
      <c r="H82" s="198"/>
    </row>
    <row r="83" spans="2:8" ht="12" x14ac:dyDescent="0.2">
      <c r="B83" s="57">
        <f>'Name List'!B83</f>
        <v>9</v>
      </c>
      <c r="C83" s="59" t="str">
        <f t="shared" si="3"/>
        <v/>
      </c>
      <c r="D83" s="60">
        <f>'Scores and stats'!RF83</f>
        <v>0</v>
      </c>
      <c r="F83" s="180">
        <v>9</v>
      </c>
      <c r="G83" s="181" t="str">
        <v/>
      </c>
      <c r="H83" s="198"/>
    </row>
    <row r="84" spans="2:8" ht="12" x14ac:dyDescent="0.2">
      <c r="B84" s="57">
        <f>'Name List'!B84</f>
        <v>10</v>
      </c>
      <c r="C84" s="59" t="str">
        <f t="shared" si="3"/>
        <v/>
      </c>
      <c r="D84" s="60">
        <f>'Scores and stats'!RF84</f>
        <v>0</v>
      </c>
      <c r="F84" s="180">
        <v>10</v>
      </c>
      <c r="G84" s="181" t="str">
        <v/>
      </c>
      <c r="H84" s="198"/>
    </row>
    <row r="85" spans="2:8" ht="12" x14ac:dyDescent="0.2">
      <c r="B85" s="57">
        <f>'Name List'!B85</f>
        <v>11</v>
      </c>
      <c r="C85" s="59" t="str">
        <f t="shared" si="3"/>
        <v/>
      </c>
      <c r="D85" s="60">
        <f>'Scores and stats'!RF85</f>
        <v>0</v>
      </c>
      <c r="F85" s="180">
        <v>11</v>
      </c>
      <c r="G85" s="181" t="str">
        <v/>
      </c>
      <c r="H85" s="198"/>
    </row>
    <row r="86" spans="2:8" ht="12" x14ac:dyDescent="0.2">
      <c r="B86" s="57">
        <f>'Name List'!B86</f>
        <v>12</v>
      </c>
      <c r="C86" s="59" t="str">
        <f t="shared" si="3"/>
        <v/>
      </c>
      <c r="D86" s="60">
        <f>'Scores and stats'!RF86</f>
        <v>0</v>
      </c>
      <c r="F86" s="180">
        <v>12</v>
      </c>
      <c r="G86" s="181" t="str">
        <v/>
      </c>
      <c r="H86" s="198"/>
    </row>
    <row r="87" spans="2:8" ht="12" x14ac:dyDescent="0.2">
      <c r="B87" s="57">
        <f>'Name List'!B87</f>
        <v>13</v>
      </c>
      <c r="C87" s="59" t="str">
        <f t="shared" si="3"/>
        <v/>
      </c>
      <c r="D87" s="60">
        <f>'Scores and stats'!RF87</f>
        <v>0</v>
      </c>
      <c r="F87" s="180">
        <v>13</v>
      </c>
      <c r="G87" s="181" t="str">
        <v/>
      </c>
      <c r="H87" s="198"/>
    </row>
    <row r="88" spans="2:8" ht="12" x14ac:dyDescent="0.2">
      <c r="B88" s="57">
        <f>'Name List'!B88</f>
        <v>14</v>
      </c>
      <c r="C88" s="59" t="str">
        <f t="shared" si="3"/>
        <v/>
      </c>
      <c r="D88" s="60">
        <f>'Scores and stats'!RF88</f>
        <v>0</v>
      </c>
      <c r="F88" s="180">
        <v>14</v>
      </c>
      <c r="G88" s="181" t="str">
        <v/>
      </c>
      <c r="H88" s="198"/>
    </row>
    <row r="89" spans="2:8" ht="12" x14ac:dyDescent="0.2">
      <c r="B89" s="57">
        <f>'Name List'!B89</f>
        <v>15</v>
      </c>
      <c r="C89" s="59" t="str">
        <f t="shared" si="3"/>
        <v/>
      </c>
      <c r="D89" s="60">
        <f>'Scores and stats'!RF89</f>
        <v>0</v>
      </c>
      <c r="F89" s="180">
        <v>15</v>
      </c>
      <c r="G89" s="181" t="str">
        <v/>
      </c>
      <c r="H89" s="198"/>
    </row>
    <row r="90" spans="2:8" ht="12" x14ac:dyDescent="0.2">
      <c r="B90" s="57">
        <f>'Name List'!B90</f>
        <v>16</v>
      </c>
      <c r="C90" s="59" t="str">
        <f t="shared" si="3"/>
        <v/>
      </c>
      <c r="D90" s="60">
        <f>'Scores and stats'!RF90</f>
        <v>0</v>
      </c>
      <c r="F90" s="180">
        <v>16</v>
      </c>
      <c r="G90" s="181" t="str">
        <v/>
      </c>
      <c r="H90" s="198"/>
    </row>
    <row r="91" spans="2:8" ht="12" x14ac:dyDescent="0.2">
      <c r="B91" s="57">
        <f>'Name List'!B91</f>
        <v>17</v>
      </c>
      <c r="C91" s="59" t="str">
        <f t="shared" si="3"/>
        <v/>
      </c>
      <c r="D91" s="60">
        <f>'Scores and stats'!RF91</f>
        <v>0</v>
      </c>
      <c r="F91" s="321">
        <v>17</v>
      </c>
      <c r="G91" s="323" t="str">
        <v/>
      </c>
      <c r="H91" s="198"/>
    </row>
    <row r="92" spans="2:8" ht="12" x14ac:dyDescent="0.2">
      <c r="B92" s="57">
        <f>'Name List'!B92</f>
        <v>18</v>
      </c>
      <c r="C92" s="59" t="str">
        <f t="shared" si="3"/>
        <v/>
      </c>
      <c r="D92" s="60">
        <f>'Scores and stats'!RF92</f>
        <v>0</v>
      </c>
      <c r="F92" s="321">
        <v>18</v>
      </c>
      <c r="G92" s="323" t="str">
        <v/>
      </c>
    </row>
    <row r="93" spans="2:8" ht="12" x14ac:dyDescent="0.2">
      <c r="B93" s="57">
        <f>'Name List'!B93</f>
        <v>19</v>
      </c>
      <c r="C93" s="59" t="str">
        <f t="shared" si="3"/>
        <v/>
      </c>
      <c r="D93" s="60">
        <f>'Scores and stats'!RF93</f>
        <v>0</v>
      </c>
      <c r="F93" s="321">
        <v>19</v>
      </c>
      <c r="G93" s="323" t="str">
        <v/>
      </c>
    </row>
    <row r="94" spans="2:8" ht="12" x14ac:dyDescent="0.2">
      <c r="B94" s="57">
        <f>'Name List'!B94</f>
        <v>20</v>
      </c>
      <c r="C94" s="59" t="str">
        <f t="shared" si="3"/>
        <v/>
      </c>
      <c r="D94" s="60">
        <f>'Scores and stats'!RF94</f>
        <v>0</v>
      </c>
      <c r="F94" s="321">
        <v>20</v>
      </c>
      <c r="G94" s="323" t="str">
        <v/>
      </c>
    </row>
    <row r="95" spans="2:8" ht="12" x14ac:dyDescent="0.2">
      <c r="B95" s="57">
        <f>'Name List'!B95</f>
        <v>21</v>
      </c>
      <c r="C95" s="59" t="str">
        <f t="shared" si="3"/>
        <v/>
      </c>
      <c r="D95" s="60">
        <f>'Scores and stats'!RF95</f>
        <v>0</v>
      </c>
      <c r="F95" s="321">
        <v>21</v>
      </c>
      <c r="G95" s="323" t="str">
        <v/>
      </c>
    </row>
    <row r="96" spans="2:8" ht="12" x14ac:dyDescent="0.2">
      <c r="B96" s="57">
        <f>'Name List'!B96</f>
        <v>22</v>
      </c>
      <c r="C96" s="59" t="str">
        <f t="shared" si="3"/>
        <v/>
      </c>
      <c r="D96" s="60">
        <f>'Scores and stats'!RF96</f>
        <v>0</v>
      </c>
      <c r="F96" s="321">
        <v>22</v>
      </c>
      <c r="G96" s="323" t="str">
        <v/>
      </c>
    </row>
    <row r="97" spans="2:7" ht="12" x14ac:dyDescent="0.2">
      <c r="B97" s="57">
        <f>'Name List'!B97</f>
        <v>23</v>
      </c>
      <c r="C97" s="59" t="str">
        <f t="shared" si="3"/>
        <v/>
      </c>
      <c r="D97" s="60">
        <f>'Scores and stats'!RF97</f>
        <v>0</v>
      </c>
      <c r="F97" s="321">
        <v>23</v>
      </c>
      <c r="G97" s="323" t="str">
        <v/>
      </c>
    </row>
    <row r="98" spans="2:7" ht="12" x14ac:dyDescent="0.2">
      <c r="B98" s="57">
        <f>'Name List'!B98</f>
        <v>24</v>
      </c>
      <c r="C98" s="59" t="str">
        <f t="shared" si="3"/>
        <v/>
      </c>
      <c r="D98" s="60">
        <f>'Scores and stats'!RF98</f>
        <v>0</v>
      </c>
      <c r="F98" s="321">
        <v>24</v>
      </c>
      <c r="G98" s="323" t="str">
        <v/>
      </c>
    </row>
    <row r="99" spans="2:7" ht="12" x14ac:dyDescent="0.2">
      <c r="B99" s="57">
        <f>'Name List'!B99</f>
        <v>25</v>
      </c>
      <c r="C99" s="59" t="str">
        <f t="shared" si="3"/>
        <v/>
      </c>
      <c r="D99" s="60">
        <f>'Scores and stats'!RF99</f>
        <v>0</v>
      </c>
      <c r="F99" s="321">
        <v>25</v>
      </c>
      <c r="G99" s="323" t="str">
        <v/>
      </c>
    </row>
    <row r="100" spans="2:7" ht="12" x14ac:dyDescent="0.2">
      <c r="B100" s="57">
        <f>'Name List'!B100</f>
        <v>26</v>
      </c>
      <c r="C100" s="59" t="str">
        <f t="shared" si="3"/>
        <v/>
      </c>
      <c r="D100" s="60">
        <f>'Scores and stats'!RF100</f>
        <v>0</v>
      </c>
      <c r="F100" s="321">
        <v>26</v>
      </c>
      <c r="G100" s="323" t="str">
        <v/>
      </c>
    </row>
    <row r="101" spans="2:7" ht="12" x14ac:dyDescent="0.2">
      <c r="B101" s="57">
        <f>'Name List'!B101</f>
        <v>27</v>
      </c>
      <c r="C101" s="59" t="str">
        <f t="shared" si="3"/>
        <v/>
      </c>
      <c r="D101" s="60">
        <f>'Scores and stats'!RF101</f>
        <v>0</v>
      </c>
      <c r="F101" s="321">
        <v>27</v>
      </c>
      <c r="G101" s="323" t="str">
        <v/>
      </c>
    </row>
    <row r="102" spans="2:7" ht="12" x14ac:dyDescent="0.2">
      <c r="B102" s="57">
        <f>'Name List'!B102</f>
        <v>28</v>
      </c>
      <c r="C102" s="59" t="str">
        <f t="shared" si="3"/>
        <v/>
      </c>
      <c r="D102" s="60">
        <f>'Scores and stats'!RF102</f>
        <v>0</v>
      </c>
      <c r="F102" s="321">
        <v>28</v>
      </c>
      <c r="G102" s="323" t="str">
        <v/>
      </c>
    </row>
    <row r="103" spans="2:7" ht="12" x14ac:dyDescent="0.2">
      <c r="B103" s="57">
        <f>'Name List'!B103</f>
        <v>29</v>
      </c>
      <c r="C103" s="59" t="str">
        <f t="shared" si="3"/>
        <v/>
      </c>
      <c r="D103" s="60">
        <f>'Scores and stats'!RF103</f>
        <v>0</v>
      </c>
      <c r="F103" s="321">
        <v>29</v>
      </c>
      <c r="G103" s="323" t="str">
        <v/>
      </c>
    </row>
    <row r="104" spans="2:7" ht="12" x14ac:dyDescent="0.2">
      <c r="B104" s="57">
        <f>'Name List'!B104</f>
        <v>30</v>
      </c>
      <c r="C104" s="59" t="str">
        <f t="shared" si="3"/>
        <v/>
      </c>
      <c r="D104" s="60">
        <f>'Scores and stats'!RF104</f>
        <v>0</v>
      </c>
      <c r="F104" s="321">
        <v>30</v>
      </c>
      <c r="G104" s="323" t="str">
        <v/>
      </c>
    </row>
    <row r="105" spans="2:7" ht="12" x14ac:dyDescent="0.2">
      <c r="B105" s="57">
        <f>'Name List'!B105</f>
        <v>31</v>
      </c>
      <c r="C105" s="59" t="str">
        <f t="shared" si="3"/>
        <v/>
      </c>
      <c r="D105" s="60">
        <f>'Scores and stats'!RF105</f>
        <v>0</v>
      </c>
      <c r="F105" s="322">
        <v>31</v>
      </c>
      <c r="G105" s="324" t="str">
        <v/>
      </c>
    </row>
  </sheetData>
  <mergeCells count="1">
    <mergeCell ref="F3:G3"/>
  </mergeCells>
  <pageMargins left="0.7" right="0.7" top="0.75" bottom="0.75" header="0.3" footer="0.3"/>
  <pageSetup paperSize="9" orientation="portrait" r:id="rId1"/>
  <headerFooter>
    <oddFooter>&amp;C&amp;1#&amp;"Calibri"&amp;10&amp;K000000PUBLIC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F929-41D0-471B-88D8-C6C6E80E1C25}">
  <dimension ref="B2:H105"/>
  <sheetViews>
    <sheetView view="pageLayout" topLeftCell="A64" workbookViewId="0">
      <selection activeCell="C99" sqref="C99"/>
    </sheetView>
  </sheetViews>
  <sheetFormatPr defaultColWidth="9.33203125" defaultRowHeight="11.25" x14ac:dyDescent="0.2"/>
  <cols>
    <col min="2" max="2" width="23.1640625" customWidth="1"/>
    <col min="3" max="3" width="17.6640625" customWidth="1"/>
    <col min="4" max="4" width="3.5" customWidth="1"/>
    <col min="5" max="5" width="25" customWidth="1"/>
  </cols>
  <sheetData>
    <row r="2" spans="2:8" ht="12" x14ac:dyDescent="0.2">
      <c r="B2" s="57"/>
      <c r="C2" s="58"/>
      <c r="D2" s="57"/>
      <c r="E2" s="59"/>
      <c r="F2" s="59"/>
    </row>
    <row r="3" spans="2:8" ht="12" x14ac:dyDescent="0.2">
      <c r="B3" s="57"/>
      <c r="C3" s="58" t="s">
        <v>164</v>
      </c>
      <c r="D3" s="58"/>
      <c r="E3" s="731" t="str">
        <f>C3</f>
        <v>Highest Competition SS</v>
      </c>
      <c r="F3" s="732"/>
    </row>
    <row r="4" spans="2:8" ht="12" x14ac:dyDescent="0.2">
      <c r="B4" s="57"/>
      <c r="C4" s="58"/>
      <c r="D4" s="57"/>
      <c r="E4" s="180"/>
      <c r="F4" s="181"/>
    </row>
    <row r="5" spans="2:8" ht="12" x14ac:dyDescent="0.2">
      <c r="B5" s="57"/>
      <c r="C5" s="58"/>
      <c r="D5" s="57"/>
      <c r="E5" s="180"/>
      <c r="F5" s="181"/>
    </row>
    <row r="6" spans="2:8" ht="12" x14ac:dyDescent="0.2">
      <c r="B6" s="57" t="str">
        <f>'Name List'!B6</f>
        <v>Stuart Anderson</v>
      </c>
      <c r="C6" s="60">
        <f>'Scores and stats'!RH6</f>
        <v>0</v>
      </c>
      <c r="D6" s="61"/>
      <c r="E6" s="180" t="str" cm="1">
        <f t="array" ref="E6:F105">_xlfn._xlws.SORT(B6:C105,2,-1)</f>
        <v>Ben Fleet</v>
      </c>
      <c r="F6" s="181">
        <v>41</v>
      </c>
    </row>
    <row r="7" spans="2:8" ht="12" x14ac:dyDescent="0.2">
      <c r="B7" s="57" t="str">
        <f>'Name List'!B7</f>
        <v>Max Ball</v>
      </c>
      <c r="C7" s="60">
        <f>'Scores and stats'!RH7</f>
        <v>37</v>
      </c>
      <c r="D7" s="57"/>
      <c r="E7" s="180" t="str">
        <v>Stuart Gay</v>
      </c>
      <c r="F7" s="181">
        <v>39</v>
      </c>
    </row>
    <row r="8" spans="2:8" ht="12" x14ac:dyDescent="0.2">
      <c r="B8" s="57" t="str">
        <f>'Name List'!B8</f>
        <v>Harley Bishop</v>
      </c>
      <c r="C8" s="60">
        <f>'Scores and stats'!RH8</f>
        <v>34</v>
      </c>
      <c r="D8" s="57"/>
      <c r="E8" s="180" t="str">
        <v>Martin Coomber</v>
      </c>
      <c r="F8" s="181">
        <v>38</v>
      </c>
    </row>
    <row r="9" spans="2:8" ht="12" x14ac:dyDescent="0.2">
      <c r="B9" s="57" t="str">
        <f>'Name List'!B9</f>
        <v>Chris Burroughs</v>
      </c>
      <c r="C9" s="60">
        <f>'Scores and stats'!RH9</f>
        <v>36</v>
      </c>
      <c r="D9" s="57"/>
      <c r="E9" s="180" t="str">
        <v>Tony Forsyth-James</v>
      </c>
      <c r="F9" s="181">
        <v>38</v>
      </c>
    </row>
    <row r="10" spans="2:8" ht="12" x14ac:dyDescent="0.2">
      <c r="B10" s="57" t="str">
        <f>'Name List'!B10</f>
        <v>George Burton</v>
      </c>
      <c r="C10" s="60">
        <f>'Scores and stats'!RH10</f>
        <v>29</v>
      </c>
      <c r="D10" s="57"/>
      <c r="E10" s="180" t="str">
        <v>Chris Smith</v>
      </c>
      <c r="F10" s="181">
        <v>38</v>
      </c>
    </row>
    <row r="11" spans="2:8" ht="12" x14ac:dyDescent="0.2">
      <c r="B11" s="57" t="str">
        <f>'Name List'!B11</f>
        <v>Tom Burton</v>
      </c>
      <c r="C11" s="60">
        <f>'Scores and stats'!RH11</f>
        <v>33</v>
      </c>
      <c r="D11" s="57"/>
      <c r="E11" s="180" t="str">
        <v>Max Ball</v>
      </c>
      <c r="F11" s="181">
        <v>37</v>
      </c>
    </row>
    <row r="12" spans="2:8" ht="12" x14ac:dyDescent="0.2">
      <c r="B12" s="57" t="str">
        <f>'Name List'!B12</f>
        <v>Mike Chubb</v>
      </c>
      <c r="C12" s="60">
        <f>'Scores and stats'!RH12</f>
        <v>0</v>
      </c>
      <c r="D12" s="57"/>
      <c r="E12" s="180" t="str">
        <v>Andy Johnson</v>
      </c>
      <c r="F12" s="181">
        <v>37</v>
      </c>
      <c r="H12" s="8"/>
    </row>
    <row r="13" spans="2:8" ht="12" x14ac:dyDescent="0.2">
      <c r="B13" s="57" t="str">
        <f>'Name List'!B13</f>
        <v>George Clarke</v>
      </c>
      <c r="C13" s="60">
        <f>'Scores and stats'!RH13</f>
        <v>0</v>
      </c>
      <c r="D13" s="57"/>
      <c r="E13" s="180" t="str">
        <v>Chris Burroughs</v>
      </c>
      <c r="F13" s="181">
        <v>36</v>
      </c>
    </row>
    <row r="14" spans="2:8" ht="12" x14ac:dyDescent="0.2">
      <c r="B14" s="57" t="str">
        <f>'Name List'!B14</f>
        <v>Paul Clarke</v>
      </c>
      <c r="C14" s="60">
        <f>'Scores and stats'!RH14</f>
        <v>31</v>
      </c>
      <c r="D14" s="57"/>
      <c r="E14" s="180" t="str">
        <v>Jason Wale</v>
      </c>
      <c r="F14" s="181">
        <v>36</v>
      </c>
    </row>
    <row r="15" spans="2:8" ht="12" x14ac:dyDescent="0.2">
      <c r="B15" s="57" t="str">
        <f>'Name List'!B15</f>
        <v>Martin Coomber</v>
      </c>
      <c r="C15" s="60">
        <f>'Scores and stats'!RH15</f>
        <v>38</v>
      </c>
      <c r="D15" s="57"/>
      <c r="E15" s="180" t="str">
        <v>Neil Hart</v>
      </c>
      <c r="F15" s="181">
        <v>35</v>
      </c>
    </row>
    <row r="16" spans="2:8" ht="12" x14ac:dyDescent="0.2">
      <c r="B16" s="57" t="str">
        <f>'Name List'!B16</f>
        <v>Dominic Coughlin</v>
      </c>
      <c r="C16" s="60">
        <f>'Scores and stats'!RH16</f>
        <v>0</v>
      </c>
      <c r="D16" s="57"/>
      <c r="E16" s="180" t="str">
        <v>Dave Randall</v>
      </c>
      <c r="F16" s="181">
        <v>35</v>
      </c>
    </row>
    <row r="17" spans="2:6" ht="12" x14ac:dyDescent="0.2">
      <c r="B17" s="57" t="str">
        <f>'Name List'!B17</f>
        <v>Gareth Davies</v>
      </c>
      <c r="C17" s="60">
        <f>'Scores and stats'!RH17</f>
        <v>26</v>
      </c>
      <c r="D17" s="57"/>
      <c r="E17" s="180" t="str">
        <v>Brad Whitehead</v>
      </c>
      <c r="F17" s="181">
        <v>35</v>
      </c>
    </row>
    <row r="18" spans="2:6" ht="12" x14ac:dyDescent="0.2">
      <c r="B18" s="57" t="str">
        <f>'Name List'!B18</f>
        <v>Peter Donovan</v>
      </c>
      <c r="C18" s="60">
        <f>'Scores and stats'!RH18</f>
        <v>0</v>
      </c>
      <c r="D18" s="57"/>
      <c r="E18" s="180" t="str">
        <v>Harley Bishop</v>
      </c>
      <c r="F18" s="181">
        <v>34</v>
      </c>
    </row>
    <row r="19" spans="2:6" ht="12" x14ac:dyDescent="0.2">
      <c r="B19" s="57" t="str">
        <f>'Name List'!B19</f>
        <v>James Dunn</v>
      </c>
      <c r="C19" s="60">
        <f>'Scores and stats'!RH19</f>
        <v>0</v>
      </c>
      <c r="D19" s="57"/>
      <c r="E19" s="180" t="str">
        <v>Justin Hunt</v>
      </c>
      <c r="F19" s="181">
        <v>34</v>
      </c>
    </row>
    <row r="20" spans="2:6" ht="12" x14ac:dyDescent="0.2">
      <c r="B20" s="57" t="str">
        <f>'Name List'!B20</f>
        <v>Gordon Fielding</v>
      </c>
      <c r="C20" s="60">
        <f>'Scores and stats'!RH20</f>
        <v>0</v>
      </c>
      <c r="D20" s="57"/>
      <c r="E20" s="180" t="str">
        <v>Tom Burton</v>
      </c>
      <c r="F20" s="181">
        <v>33</v>
      </c>
    </row>
    <row r="21" spans="2:6" ht="12" x14ac:dyDescent="0.2">
      <c r="B21" s="57" t="str">
        <f>'Name List'!B21</f>
        <v>Paul Fitzgerald</v>
      </c>
      <c r="C21" s="60">
        <f>'Scores and stats'!RH21</f>
        <v>0</v>
      </c>
      <c r="D21" s="57"/>
      <c r="E21" s="180" t="str">
        <v>Ross Fraser</v>
      </c>
      <c r="F21" s="181">
        <v>33</v>
      </c>
    </row>
    <row r="22" spans="2:6" ht="12" x14ac:dyDescent="0.2">
      <c r="B22" s="57" t="str">
        <f>'Name List'!B22</f>
        <v>Ben Fleet</v>
      </c>
      <c r="C22" s="60">
        <f>'Scores and stats'!RH22</f>
        <v>41</v>
      </c>
      <c r="D22" s="61"/>
      <c r="E22" s="180" t="str">
        <v>Kevin Tribley</v>
      </c>
      <c r="F22" s="181">
        <v>33</v>
      </c>
    </row>
    <row r="23" spans="2:6" ht="12" x14ac:dyDescent="0.2">
      <c r="B23" s="57" t="str">
        <f>'Name List'!B23</f>
        <v>Mike Forrest</v>
      </c>
      <c r="C23" s="60">
        <f>'Scores and stats'!RH23</f>
        <v>30</v>
      </c>
      <c r="D23" s="57"/>
      <c r="E23" s="180" t="str">
        <v>Peter Vallely</v>
      </c>
      <c r="F23" s="181">
        <v>33</v>
      </c>
    </row>
    <row r="24" spans="2:6" ht="12" x14ac:dyDescent="0.2">
      <c r="B24" s="57" t="str">
        <f>'Name List'!B24</f>
        <v>Tony Forsyth-James</v>
      </c>
      <c r="C24" s="60">
        <f>'Scores and stats'!RH24</f>
        <v>38</v>
      </c>
      <c r="D24" s="57"/>
      <c r="E24" s="180" t="str">
        <v>Oli Lloyd</v>
      </c>
      <c r="F24" s="181">
        <v>32</v>
      </c>
    </row>
    <row r="25" spans="2:6" ht="12" x14ac:dyDescent="0.2">
      <c r="B25" s="57" t="str">
        <f>'Name List'!B25</f>
        <v>Archie Fraser</v>
      </c>
      <c r="C25" s="60">
        <f>'Scores and stats'!RH25</f>
        <v>0</v>
      </c>
      <c r="D25" s="57"/>
      <c r="E25" s="180" t="str">
        <v>Justin Spencer</v>
      </c>
      <c r="F25" s="181">
        <v>32</v>
      </c>
    </row>
    <row r="26" spans="2:6" ht="12" x14ac:dyDescent="0.2">
      <c r="B26" s="57" t="str">
        <f>'Name List'!B26</f>
        <v>Ross Fraser</v>
      </c>
      <c r="C26" s="60">
        <f>'Scores and stats'!RH26</f>
        <v>33</v>
      </c>
      <c r="D26" s="57"/>
      <c r="E26" s="180" t="str">
        <v>Ryan Vaughan</v>
      </c>
      <c r="F26" s="181">
        <v>32</v>
      </c>
    </row>
    <row r="27" spans="2:6" ht="12" x14ac:dyDescent="0.2">
      <c r="B27" s="57" t="str">
        <f>'Name List'!B27</f>
        <v>Nick Garner</v>
      </c>
      <c r="C27" s="60">
        <f>'Scores and stats'!RH27</f>
        <v>31</v>
      </c>
      <c r="D27" s="61"/>
      <c r="E27" s="180" t="str">
        <v>Terry Walker</v>
      </c>
      <c r="F27" s="181">
        <v>32</v>
      </c>
    </row>
    <row r="28" spans="2:6" ht="12" x14ac:dyDescent="0.2">
      <c r="B28" s="57" t="str">
        <f>'Name List'!B28</f>
        <v>Stuart Gay</v>
      </c>
      <c r="C28" s="60">
        <f>'Scores and stats'!RH28</f>
        <v>39</v>
      </c>
      <c r="D28" s="57"/>
      <c r="E28" s="180" t="str">
        <v>Joe Hooper</v>
      </c>
      <c r="F28" s="181">
        <v>32</v>
      </c>
    </row>
    <row r="29" spans="2:6" ht="12" x14ac:dyDescent="0.2">
      <c r="B29" s="57" t="str">
        <f>'Name List'!B29</f>
        <v>Jordan Hall</v>
      </c>
      <c r="C29" s="60">
        <f>'Scores and stats'!RH29</f>
        <v>0</v>
      </c>
      <c r="D29" s="61"/>
      <c r="E29" s="180" t="str">
        <v>Paul Clarke</v>
      </c>
      <c r="F29" s="181">
        <v>31</v>
      </c>
    </row>
    <row r="30" spans="2:6" ht="12" x14ac:dyDescent="0.2">
      <c r="B30" s="57" t="str">
        <f>'Name List'!B30</f>
        <v>Gary Hall</v>
      </c>
      <c r="C30" s="60">
        <f>'Scores and stats'!RH30</f>
        <v>0</v>
      </c>
      <c r="D30" s="57"/>
      <c r="E30" s="180" t="str">
        <v>Nick Garner</v>
      </c>
      <c r="F30" s="181">
        <v>31</v>
      </c>
    </row>
    <row r="31" spans="2:6" ht="12" x14ac:dyDescent="0.2">
      <c r="B31" s="57" t="str">
        <f>'Name List'!B31</f>
        <v>Anthony Harris</v>
      </c>
      <c r="C31" s="60">
        <f>'Scores and stats'!RH31</f>
        <v>0</v>
      </c>
      <c r="D31" s="57"/>
      <c r="E31" s="180" t="str">
        <v>Sam Cochrane</v>
      </c>
      <c r="F31" s="181">
        <v>31</v>
      </c>
    </row>
    <row r="32" spans="2:6" ht="12" x14ac:dyDescent="0.2">
      <c r="B32" s="57" t="str">
        <f>'Name List'!B32</f>
        <v>Neil Hart</v>
      </c>
      <c r="C32" s="60">
        <f>'Scores and stats'!RH32</f>
        <v>35</v>
      </c>
      <c r="D32" s="57"/>
      <c r="E32" s="180" t="str">
        <v>Mike Forrest</v>
      </c>
      <c r="F32" s="181">
        <v>30</v>
      </c>
    </row>
    <row r="33" spans="2:6" ht="12" x14ac:dyDescent="0.2">
      <c r="B33" s="57" t="str">
        <f>'Name List'!B33</f>
        <v>Tony Hearson</v>
      </c>
      <c r="C33" s="60">
        <f>'Scores and stats'!RH33</f>
        <v>0</v>
      </c>
      <c r="D33" s="57"/>
      <c r="E33" s="180" t="str">
        <v>George Burton</v>
      </c>
      <c r="F33" s="181">
        <v>29</v>
      </c>
    </row>
    <row r="34" spans="2:6" ht="12" x14ac:dyDescent="0.2">
      <c r="B34" s="57" t="str">
        <f>'Name List'!B34</f>
        <v>David Hilton</v>
      </c>
      <c r="C34" s="60">
        <f>'Scores and stats'!RH34</f>
        <v>0</v>
      </c>
      <c r="D34" s="57"/>
      <c r="E34" s="180" t="str">
        <v>Shaun Alexander</v>
      </c>
      <c r="F34" s="181">
        <v>29</v>
      </c>
    </row>
    <row r="35" spans="2:6" ht="12" x14ac:dyDescent="0.2">
      <c r="B35" s="57" t="str">
        <f>'Name List'!B35</f>
        <v>Eoghan Hilton</v>
      </c>
      <c r="C35" s="60">
        <f>'Scores and stats'!RH35</f>
        <v>0</v>
      </c>
      <c r="D35" s="57"/>
      <c r="E35" s="180" t="str">
        <v>Dickie Moxham</v>
      </c>
      <c r="F35" s="181">
        <v>28</v>
      </c>
    </row>
    <row r="36" spans="2:6" ht="12" x14ac:dyDescent="0.2">
      <c r="B36" s="57" t="str">
        <f>'Name List'!B36</f>
        <v>Martin Holder</v>
      </c>
      <c r="C36" s="60">
        <f>'Scores and stats'!RH36</f>
        <v>0</v>
      </c>
      <c r="D36" s="57"/>
      <c r="E36" s="180" t="str">
        <v>Gareth Davies</v>
      </c>
      <c r="F36" s="181">
        <v>26</v>
      </c>
    </row>
    <row r="37" spans="2:6" ht="12" x14ac:dyDescent="0.2">
      <c r="B37" s="57" t="str">
        <f>'Name List'!B37</f>
        <v>Justin Hunt</v>
      </c>
      <c r="C37" s="60">
        <f>'Scores and stats'!RH37</f>
        <v>34</v>
      </c>
      <c r="D37" s="57"/>
      <c r="E37" s="180" t="str">
        <v>Stuart Anderson</v>
      </c>
      <c r="F37" s="181">
        <v>0</v>
      </c>
    </row>
    <row r="38" spans="2:6" ht="12" x14ac:dyDescent="0.2">
      <c r="B38" s="57" t="str">
        <f>'Name List'!B38</f>
        <v>Mark Hutchinson</v>
      </c>
      <c r="C38" s="60">
        <f>'Scores and stats'!RH38</f>
        <v>0</v>
      </c>
      <c r="D38" s="57"/>
      <c r="E38" s="180" t="str">
        <v>Mike Chubb</v>
      </c>
      <c r="F38" s="181">
        <v>0</v>
      </c>
    </row>
    <row r="39" spans="2:6" ht="12" x14ac:dyDescent="0.2">
      <c r="B39" s="57" t="str">
        <f>'Name List'!B39</f>
        <v>Andy Johnson</v>
      </c>
      <c r="C39" s="60">
        <f>'Scores and stats'!RH39</f>
        <v>37</v>
      </c>
      <c r="D39" s="57"/>
      <c r="E39" s="180" t="str">
        <v>George Clarke</v>
      </c>
      <c r="F39" s="181">
        <v>0</v>
      </c>
    </row>
    <row r="40" spans="2:6" ht="12" x14ac:dyDescent="0.2">
      <c r="B40" s="57" t="str">
        <f>'Name List'!B40</f>
        <v>Oli Lloyd</v>
      </c>
      <c r="C40" s="60">
        <f>'Scores and stats'!RH40</f>
        <v>32</v>
      </c>
      <c r="D40" s="57"/>
      <c r="E40" s="180" t="str">
        <v>Dominic Coughlin</v>
      </c>
      <c r="F40" s="181">
        <v>0</v>
      </c>
    </row>
    <row r="41" spans="2:6" ht="12" x14ac:dyDescent="0.2">
      <c r="B41" s="57" t="str">
        <f>'Name List'!B41</f>
        <v>Andy Lucey</v>
      </c>
      <c r="C41" s="60">
        <f>'Scores and stats'!RH41</f>
        <v>0</v>
      </c>
      <c r="D41" s="57"/>
      <c r="E41" s="180" t="str">
        <v>Peter Donovan</v>
      </c>
      <c r="F41" s="181">
        <v>0</v>
      </c>
    </row>
    <row r="42" spans="2:6" ht="12" x14ac:dyDescent="0.2">
      <c r="B42" s="57" t="str">
        <f>'Name List'!B42</f>
        <v>Paul Martin</v>
      </c>
      <c r="C42" s="60">
        <f>'Scores and stats'!RH42</f>
        <v>0</v>
      </c>
      <c r="D42" s="61"/>
      <c r="E42" s="180" t="str">
        <v>James Dunn</v>
      </c>
      <c r="F42" s="181">
        <v>0</v>
      </c>
    </row>
    <row r="43" spans="2:6" ht="12" x14ac:dyDescent="0.2">
      <c r="B43" s="57" t="str">
        <f>'Name List'!B43</f>
        <v>Edward Money</v>
      </c>
      <c r="C43" s="60">
        <f>'Scores and stats'!RH43</f>
        <v>0</v>
      </c>
      <c r="D43" s="61"/>
      <c r="E43" s="180" t="str">
        <v>Gordon Fielding</v>
      </c>
      <c r="F43" s="181">
        <v>0</v>
      </c>
    </row>
    <row r="44" spans="2:6" ht="12" x14ac:dyDescent="0.2">
      <c r="B44" s="57" t="str">
        <f>'Name List'!B44</f>
        <v>Dickie Moxham</v>
      </c>
      <c r="C44" s="60">
        <f>'Scores and stats'!RH44</f>
        <v>28</v>
      </c>
      <c r="D44" s="57"/>
      <c r="E44" s="180" t="str">
        <v>Paul Fitzgerald</v>
      </c>
      <c r="F44" s="181">
        <v>0</v>
      </c>
    </row>
    <row r="45" spans="2:6" ht="12" x14ac:dyDescent="0.2">
      <c r="B45" s="57" t="str">
        <f>'Name List'!B45</f>
        <v>Dave Randall</v>
      </c>
      <c r="C45" s="60">
        <f>'Scores and stats'!RH45</f>
        <v>35</v>
      </c>
      <c r="D45" s="57"/>
      <c r="E45" s="180" t="str">
        <v>Archie Fraser</v>
      </c>
      <c r="F45" s="181">
        <v>0</v>
      </c>
    </row>
    <row r="46" spans="2:6" ht="12" x14ac:dyDescent="0.2">
      <c r="B46" s="57" t="str">
        <f>'Name List'!B46</f>
        <v>Arron Rutherford</v>
      </c>
      <c r="C46" s="60">
        <f>'Scores and stats'!RH46</f>
        <v>0</v>
      </c>
      <c r="D46" s="57"/>
      <c r="E46" s="180" t="str">
        <v>Jordan Hall</v>
      </c>
      <c r="F46" s="181">
        <v>0</v>
      </c>
    </row>
    <row r="47" spans="2:6" ht="12" x14ac:dyDescent="0.2">
      <c r="B47" s="57" t="str">
        <f>'Name List'!B47</f>
        <v>Terry Shoker</v>
      </c>
      <c r="C47" s="60">
        <f>'Scores and stats'!RH47</f>
        <v>0</v>
      </c>
      <c r="D47" s="57"/>
      <c r="E47" s="180" t="str">
        <v>Gary Hall</v>
      </c>
      <c r="F47" s="181">
        <v>0</v>
      </c>
    </row>
    <row r="48" spans="2:6" ht="12" x14ac:dyDescent="0.2">
      <c r="B48" s="57" t="str">
        <f>'Name List'!B48</f>
        <v>Chris Smith</v>
      </c>
      <c r="C48" s="60">
        <f>'Scores and stats'!RH48</f>
        <v>38</v>
      </c>
      <c r="D48" s="61"/>
      <c r="E48" s="180" t="str">
        <v>Anthony Harris</v>
      </c>
      <c r="F48" s="181">
        <v>0</v>
      </c>
    </row>
    <row r="49" spans="2:6" ht="12" x14ac:dyDescent="0.2">
      <c r="B49" s="57" t="str">
        <f>'Name List'!B49</f>
        <v>Justin Spencer</v>
      </c>
      <c r="C49" s="60">
        <f>'Scores and stats'!RH49</f>
        <v>32</v>
      </c>
      <c r="D49" s="57"/>
      <c r="E49" s="180" t="str">
        <v>Tony Hearson</v>
      </c>
      <c r="F49" s="181">
        <v>0</v>
      </c>
    </row>
    <row r="50" spans="2:6" ht="12" x14ac:dyDescent="0.2">
      <c r="B50" s="57" t="str">
        <f>'Name List'!B50</f>
        <v>Jake Sprosen</v>
      </c>
      <c r="C50" s="60">
        <f>'Scores and stats'!RH50</f>
        <v>0</v>
      </c>
      <c r="D50" s="57"/>
      <c r="E50" s="180" t="str">
        <v>David Hilton</v>
      </c>
      <c r="F50" s="181">
        <v>0</v>
      </c>
    </row>
    <row r="51" spans="2:6" ht="12" x14ac:dyDescent="0.2">
      <c r="B51" s="57" t="str">
        <f>'Name List'!B51</f>
        <v>Tosh Sprosen</v>
      </c>
      <c r="C51" s="60">
        <f>'Scores and stats'!RH51</f>
        <v>0</v>
      </c>
      <c r="D51" s="57"/>
      <c r="E51" s="180" t="str">
        <v>Eoghan Hilton</v>
      </c>
      <c r="F51" s="181">
        <v>0</v>
      </c>
    </row>
    <row r="52" spans="2:6" ht="12" x14ac:dyDescent="0.2">
      <c r="B52" s="57" t="str">
        <f>'Name List'!B52</f>
        <v>Bill Sutton</v>
      </c>
      <c r="C52" s="60">
        <f>'Scores and stats'!RH52</f>
        <v>0</v>
      </c>
      <c r="D52" s="57"/>
      <c r="E52" s="180" t="str">
        <v>Martin Holder</v>
      </c>
      <c r="F52" s="181">
        <v>0</v>
      </c>
    </row>
    <row r="53" spans="2:6" ht="12" x14ac:dyDescent="0.2">
      <c r="B53" s="57" t="str">
        <f>'Name List'!B53</f>
        <v>Dan Thomas</v>
      </c>
      <c r="C53" s="60">
        <f>'Scores and stats'!RH53</f>
        <v>0</v>
      </c>
      <c r="D53" s="57"/>
      <c r="E53" s="180" t="str">
        <v>Mark Hutchinson</v>
      </c>
      <c r="F53" s="181">
        <v>0</v>
      </c>
    </row>
    <row r="54" spans="2:6" ht="12" x14ac:dyDescent="0.2">
      <c r="B54" s="57" t="str">
        <f>'Name List'!B54</f>
        <v>Andy Thompson</v>
      </c>
      <c r="C54" s="60">
        <f>'Scores and stats'!RH54</f>
        <v>0</v>
      </c>
      <c r="D54" s="57"/>
      <c r="E54" s="180" t="str">
        <v>Andy Lucey</v>
      </c>
      <c r="F54" s="181">
        <v>0</v>
      </c>
    </row>
    <row r="55" spans="2:6" ht="12" x14ac:dyDescent="0.2">
      <c r="B55" s="57" t="str">
        <f>'Name List'!B55</f>
        <v>Rory Thompson</v>
      </c>
      <c r="C55" s="60">
        <f>'Scores and stats'!RH55</f>
        <v>0</v>
      </c>
      <c r="D55" s="57"/>
      <c r="E55" s="180" t="str">
        <v>Paul Martin</v>
      </c>
      <c r="F55" s="181">
        <v>0</v>
      </c>
    </row>
    <row r="56" spans="2:6" ht="12" x14ac:dyDescent="0.2">
      <c r="B56" s="57" t="str">
        <f>'Name List'!B56</f>
        <v>Sonny Thompson</v>
      </c>
      <c r="C56" s="60">
        <f>'Scores and stats'!RH56</f>
        <v>0</v>
      </c>
      <c r="D56" s="57"/>
      <c r="E56" s="180" t="str">
        <v>Edward Money</v>
      </c>
      <c r="F56" s="181">
        <v>0</v>
      </c>
    </row>
    <row r="57" spans="2:6" ht="12" x14ac:dyDescent="0.2">
      <c r="B57" s="57" t="str">
        <f>'Name List'!B57</f>
        <v>Kevin Tribley</v>
      </c>
      <c r="C57" s="60">
        <f>'Scores and stats'!RH57</f>
        <v>33</v>
      </c>
      <c r="D57" s="57"/>
      <c r="E57" s="180" t="str">
        <v>Arron Rutherford</v>
      </c>
      <c r="F57" s="181">
        <v>0</v>
      </c>
    </row>
    <row r="58" spans="2:6" ht="12" x14ac:dyDescent="0.2">
      <c r="B58" s="57" t="str">
        <f>'Name List'!B58</f>
        <v>Russell Turner</v>
      </c>
      <c r="C58" s="60">
        <f>'Scores and stats'!RH58</f>
        <v>0</v>
      </c>
      <c r="D58" s="57"/>
      <c r="E58" s="180" t="str">
        <v>Terry Shoker</v>
      </c>
      <c r="F58" s="181">
        <v>0</v>
      </c>
    </row>
    <row r="59" spans="2:6" ht="12" x14ac:dyDescent="0.2">
      <c r="B59" s="57" t="str">
        <f>'Name List'!B59</f>
        <v>Peter Vallely</v>
      </c>
      <c r="C59" s="60">
        <f>'Scores and stats'!RH59</f>
        <v>33</v>
      </c>
      <c r="D59" s="57"/>
      <c r="E59" s="180" t="str">
        <v>Jake Sprosen</v>
      </c>
      <c r="F59" s="181">
        <v>0</v>
      </c>
    </row>
    <row r="60" spans="2:6" ht="12" x14ac:dyDescent="0.2">
      <c r="B60" s="57" t="str">
        <f>'Name List'!B60</f>
        <v>Ryan Vaughan</v>
      </c>
      <c r="C60" s="60">
        <f>'Scores and stats'!RH60</f>
        <v>32</v>
      </c>
      <c r="D60" s="57"/>
      <c r="E60" s="180" t="str">
        <v>Tosh Sprosen</v>
      </c>
      <c r="F60" s="181">
        <v>0</v>
      </c>
    </row>
    <row r="61" spans="2:6" ht="12" x14ac:dyDescent="0.2">
      <c r="B61" s="57" t="str">
        <f>'Name List'!B61</f>
        <v>Jason Wale</v>
      </c>
      <c r="C61" s="60">
        <f>'Scores and stats'!RH61</f>
        <v>36</v>
      </c>
      <c r="D61" s="57"/>
      <c r="E61" s="180" t="str">
        <v>Bill Sutton</v>
      </c>
      <c r="F61" s="181">
        <v>0</v>
      </c>
    </row>
    <row r="62" spans="2:6" ht="12" x14ac:dyDescent="0.2">
      <c r="B62" s="57" t="str">
        <f>'Name List'!B62</f>
        <v>Terry Walker</v>
      </c>
      <c r="C62" s="60">
        <f>'Scores and stats'!RH62</f>
        <v>32</v>
      </c>
      <c r="D62" s="57"/>
      <c r="E62" s="180" t="str">
        <v>Dan Thomas</v>
      </c>
      <c r="F62" s="181">
        <v>0</v>
      </c>
    </row>
    <row r="63" spans="2:6" ht="12" x14ac:dyDescent="0.2">
      <c r="B63" s="57" t="str">
        <f>'Name List'!B63</f>
        <v>Finn Wheeler</v>
      </c>
      <c r="C63" s="60">
        <f>'Scores and stats'!RH63</f>
        <v>0</v>
      </c>
      <c r="D63" s="57"/>
      <c r="E63" s="180" t="str">
        <v>Andy Thompson</v>
      </c>
      <c r="F63" s="181">
        <v>0</v>
      </c>
    </row>
    <row r="64" spans="2:6" ht="12" x14ac:dyDescent="0.2">
      <c r="B64" s="57" t="str">
        <f>'Name List'!B64</f>
        <v>Steve Wheeler</v>
      </c>
      <c r="C64" s="60">
        <f>'Scores and stats'!RH64</f>
        <v>0</v>
      </c>
      <c r="D64" s="57"/>
      <c r="E64" s="180" t="str">
        <v>Rory Thompson</v>
      </c>
      <c r="F64" s="181">
        <v>0</v>
      </c>
    </row>
    <row r="65" spans="2:6" ht="12" x14ac:dyDescent="0.2">
      <c r="B65" s="57" t="str">
        <f>'Name List'!B65</f>
        <v>Brad Whitehead</v>
      </c>
      <c r="C65" s="60">
        <f>'Scores and stats'!RH65</f>
        <v>35</v>
      </c>
      <c r="D65" s="57"/>
      <c r="E65" s="180" t="str">
        <v>Sonny Thompson</v>
      </c>
      <c r="F65" s="181">
        <v>0</v>
      </c>
    </row>
    <row r="66" spans="2:6" ht="12" x14ac:dyDescent="0.2">
      <c r="B66" s="57" t="str">
        <f>'Name List'!B66</f>
        <v>Dave Woodget</v>
      </c>
      <c r="C66" s="60">
        <f>'Scores and stats'!RH66</f>
        <v>0</v>
      </c>
      <c r="D66" s="57"/>
      <c r="E66" s="180" t="str">
        <v>Russell Turner</v>
      </c>
      <c r="F66" s="181">
        <v>0</v>
      </c>
    </row>
    <row r="67" spans="2:6" ht="12" x14ac:dyDescent="0.2">
      <c r="B67" s="57" t="str">
        <f>'Name List'!B67</f>
        <v>Jonathan Kanareck</v>
      </c>
      <c r="C67" s="60">
        <f>'Scores and stats'!RH67</f>
        <v>0</v>
      </c>
      <c r="D67" s="57"/>
      <c r="E67" s="180" t="str">
        <v>Finn Wheeler</v>
      </c>
      <c r="F67" s="181">
        <v>0</v>
      </c>
    </row>
    <row r="68" spans="2:6" ht="12" x14ac:dyDescent="0.2">
      <c r="B68" s="57" t="str">
        <f>'Name List'!B68</f>
        <v>Oliver Proud</v>
      </c>
      <c r="C68" s="60">
        <f>'Scores and stats'!RH68</f>
        <v>0</v>
      </c>
      <c r="E68" s="180" t="str">
        <v>Steve Wheeler</v>
      </c>
      <c r="F68" s="181">
        <v>0</v>
      </c>
    </row>
    <row r="69" spans="2:6" ht="12" x14ac:dyDescent="0.2">
      <c r="B69" s="57" t="str">
        <f>'Name List'!B69</f>
        <v>Joe Hooper</v>
      </c>
      <c r="C69" s="60">
        <f>'Scores and stats'!RH69</f>
        <v>32</v>
      </c>
      <c r="E69" s="180" t="str">
        <v>Dave Woodget</v>
      </c>
      <c r="F69" s="181">
        <v>0</v>
      </c>
    </row>
    <row r="70" spans="2:6" ht="12" x14ac:dyDescent="0.2">
      <c r="B70" s="57" t="str">
        <f>'Name List'!B70</f>
        <v>Danny Jones</v>
      </c>
      <c r="C70" s="60">
        <f>'Scores and stats'!RH70</f>
        <v>0</v>
      </c>
      <c r="E70" s="180" t="str">
        <v>Jonathan Kanareck</v>
      </c>
      <c r="F70" s="181">
        <v>0</v>
      </c>
    </row>
    <row r="71" spans="2:6" ht="12" x14ac:dyDescent="0.2">
      <c r="B71" s="57" t="str">
        <f>'Name List'!B71</f>
        <v>Liam Anderson</v>
      </c>
      <c r="C71" s="60">
        <f>'Scores and stats'!RH71</f>
        <v>0</v>
      </c>
      <c r="E71" s="180" t="str">
        <v>Oliver Proud</v>
      </c>
      <c r="F71" s="181">
        <v>0</v>
      </c>
    </row>
    <row r="72" spans="2:6" ht="12" x14ac:dyDescent="0.2">
      <c r="B72" s="57" t="str">
        <f>'Name List'!B72</f>
        <v>Sam Cochrane</v>
      </c>
      <c r="C72" s="60">
        <f>'Scores and stats'!RH72</f>
        <v>31</v>
      </c>
      <c r="E72" s="180" t="str">
        <v>Danny Jones</v>
      </c>
      <c r="F72" s="181">
        <v>0</v>
      </c>
    </row>
    <row r="73" spans="2:6" ht="12" x14ac:dyDescent="0.2">
      <c r="B73" s="57" t="str">
        <f>'Name List'!B73</f>
        <v>Shaun Alexander</v>
      </c>
      <c r="C73" s="60">
        <f>'Scores and stats'!RH73</f>
        <v>29</v>
      </c>
      <c r="E73" s="180" t="str">
        <v>Liam Anderson</v>
      </c>
      <c r="F73" s="181">
        <v>0</v>
      </c>
    </row>
    <row r="74" spans="2:6" ht="12" x14ac:dyDescent="0.2">
      <c r="B74" s="57" t="str">
        <f>'Name List'!B74</f>
        <v>Kyle Deane</v>
      </c>
      <c r="C74" s="60">
        <f>'Scores and stats'!RH74</f>
        <v>0</v>
      </c>
      <c r="E74" s="180" t="str">
        <v>Kyle Deane</v>
      </c>
      <c r="F74" s="181">
        <v>0</v>
      </c>
    </row>
    <row r="75" spans="2:6" ht="12" x14ac:dyDescent="0.2">
      <c r="B75" s="57">
        <f>'Name List'!B75</f>
        <v>1</v>
      </c>
      <c r="C75" s="60">
        <f>'Scores and stats'!RH75</f>
        <v>0</v>
      </c>
      <c r="E75" s="180">
        <v>1</v>
      </c>
      <c r="F75" s="181">
        <v>0</v>
      </c>
    </row>
    <row r="76" spans="2:6" ht="12" x14ac:dyDescent="0.2">
      <c r="B76" s="57">
        <f>'Name List'!B76</f>
        <v>2</v>
      </c>
      <c r="C76" s="60">
        <f>'Scores and stats'!RH76</f>
        <v>0</v>
      </c>
      <c r="E76" s="180">
        <v>2</v>
      </c>
      <c r="F76" s="181">
        <v>0</v>
      </c>
    </row>
    <row r="77" spans="2:6" ht="12" x14ac:dyDescent="0.2">
      <c r="B77" s="57">
        <f>'Name List'!B77</f>
        <v>3</v>
      </c>
      <c r="C77" s="60">
        <f>'Scores and stats'!RH77</f>
        <v>0</v>
      </c>
      <c r="E77" s="180">
        <v>3</v>
      </c>
      <c r="F77" s="181">
        <v>0</v>
      </c>
    </row>
    <row r="78" spans="2:6" ht="12" x14ac:dyDescent="0.2">
      <c r="B78" s="57">
        <f>'Name List'!B78</f>
        <v>4</v>
      </c>
      <c r="C78" s="60">
        <f>'Scores and stats'!RH78</f>
        <v>0</v>
      </c>
      <c r="E78" s="180">
        <v>4</v>
      </c>
      <c r="F78" s="181">
        <v>0</v>
      </c>
    </row>
    <row r="79" spans="2:6" ht="12" x14ac:dyDescent="0.2">
      <c r="B79" s="57">
        <f>'Name List'!B79</f>
        <v>5</v>
      </c>
      <c r="C79" s="60">
        <f>'Scores and stats'!RH79</f>
        <v>0</v>
      </c>
      <c r="E79" s="180">
        <v>5</v>
      </c>
      <c r="F79" s="181">
        <v>0</v>
      </c>
    </row>
    <row r="80" spans="2:6" ht="12" x14ac:dyDescent="0.2">
      <c r="B80" s="57">
        <f>'Name List'!B80</f>
        <v>6</v>
      </c>
      <c r="C80" s="60">
        <f>'Scores and stats'!RH80</f>
        <v>0</v>
      </c>
      <c r="E80" s="180">
        <v>6</v>
      </c>
      <c r="F80" s="181">
        <v>0</v>
      </c>
    </row>
    <row r="81" spans="2:6" ht="12" x14ac:dyDescent="0.2">
      <c r="B81" s="57">
        <f>'Name List'!B81</f>
        <v>7</v>
      </c>
      <c r="C81" s="60">
        <f>'Scores and stats'!RH81</f>
        <v>0</v>
      </c>
      <c r="E81" s="180">
        <v>7</v>
      </c>
      <c r="F81" s="181">
        <v>0</v>
      </c>
    </row>
    <row r="82" spans="2:6" ht="12" x14ac:dyDescent="0.2">
      <c r="B82" s="57">
        <f>'Name List'!B82</f>
        <v>8</v>
      </c>
      <c r="C82" s="60">
        <f>'Scores and stats'!RH82</f>
        <v>0</v>
      </c>
      <c r="E82" s="180">
        <v>8</v>
      </c>
      <c r="F82" s="181">
        <v>0</v>
      </c>
    </row>
    <row r="83" spans="2:6" ht="12" x14ac:dyDescent="0.2">
      <c r="B83" s="57">
        <f>'Name List'!B83</f>
        <v>9</v>
      </c>
      <c r="C83" s="60">
        <f>'Scores and stats'!RH83</f>
        <v>0</v>
      </c>
      <c r="E83" s="180">
        <v>9</v>
      </c>
      <c r="F83" s="181">
        <v>0</v>
      </c>
    </row>
    <row r="84" spans="2:6" ht="12" x14ac:dyDescent="0.2">
      <c r="B84" s="57">
        <f>'Name List'!B84</f>
        <v>10</v>
      </c>
      <c r="C84" s="60">
        <f>'Scores and stats'!RH84</f>
        <v>0</v>
      </c>
      <c r="E84" s="180">
        <v>10</v>
      </c>
      <c r="F84" s="181">
        <v>0</v>
      </c>
    </row>
    <row r="85" spans="2:6" ht="12" x14ac:dyDescent="0.2">
      <c r="B85" s="57">
        <f>'Name List'!B85</f>
        <v>11</v>
      </c>
      <c r="C85" s="60">
        <f>'Scores and stats'!RH85</f>
        <v>0</v>
      </c>
      <c r="E85" s="180">
        <v>11</v>
      </c>
      <c r="F85" s="181">
        <v>0</v>
      </c>
    </row>
    <row r="86" spans="2:6" ht="12" x14ac:dyDescent="0.2">
      <c r="B86" s="57">
        <f>'Name List'!B86</f>
        <v>12</v>
      </c>
      <c r="C86" s="60">
        <f>'Scores and stats'!RH86</f>
        <v>0</v>
      </c>
      <c r="E86" s="180">
        <v>12</v>
      </c>
      <c r="F86" s="181">
        <v>0</v>
      </c>
    </row>
    <row r="87" spans="2:6" ht="12" x14ac:dyDescent="0.2">
      <c r="B87" s="57">
        <f>'Name List'!B87</f>
        <v>13</v>
      </c>
      <c r="C87" s="60">
        <f>'Scores and stats'!RH87</f>
        <v>0</v>
      </c>
      <c r="E87" s="180">
        <v>13</v>
      </c>
      <c r="F87" s="181">
        <v>0</v>
      </c>
    </row>
    <row r="88" spans="2:6" ht="12" x14ac:dyDescent="0.2">
      <c r="B88" s="57">
        <f>'Name List'!B88</f>
        <v>14</v>
      </c>
      <c r="C88" s="60">
        <f>'Scores and stats'!RH88</f>
        <v>0</v>
      </c>
      <c r="E88" s="180">
        <v>14</v>
      </c>
      <c r="F88" s="181">
        <v>0</v>
      </c>
    </row>
    <row r="89" spans="2:6" ht="12" x14ac:dyDescent="0.2">
      <c r="B89" s="57">
        <f>'Name List'!B89</f>
        <v>15</v>
      </c>
      <c r="C89" s="60">
        <f>'Scores and stats'!RH89</f>
        <v>0</v>
      </c>
      <c r="E89" s="180">
        <v>15</v>
      </c>
      <c r="F89" s="181">
        <v>0</v>
      </c>
    </row>
    <row r="90" spans="2:6" ht="12" x14ac:dyDescent="0.2">
      <c r="B90" s="57">
        <f>'Name List'!B90</f>
        <v>16</v>
      </c>
      <c r="C90" s="60">
        <f>'Scores and stats'!RH90</f>
        <v>0</v>
      </c>
      <c r="E90" s="180">
        <v>16</v>
      </c>
      <c r="F90" s="181">
        <v>0</v>
      </c>
    </row>
    <row r="91" spans="2:6" ht="12" x14ac:dyDescent="0.2">
      <c r="B91" s="57">
        <f>'Name List'!B91</f>
        <v>17</v>
      </c>
      <c r="C91" s="60">
        <f>'Scores and stats'!RH91</f>
        <v>0</v>
      </c>
      <c r="E91" s="321">
        <v>17</v>
      </c>
      <c r="F91" s="323">
        <v>0</v>
      </c>
    </row>
    <row r="92" spans="2:6" ht="12" x14ac:dyDescent="0.2">
      <c r="B92" s="57">
        <f>'Name List'!B92</f>
        <v>18</v>
      </c>
      <c r="C92" s="60">
        <f>'Scores and stats'!RH92</f>
        <v>0</v>
      </c>
      <c r="E92" s="321">
        <v>18</v>
      </c>
      <c r="F92" s="323">
        <v>0</v>
      </c>
    </row>
    <row r="93" spans="2:6" ht="12" x14ac:dyDescent="0.2">
      <c r="B93" s="57">
        <f>'Name List'!B93</f>
        <v>19</v>
      </c>
      <c r="C93" s="60">
        <f>'Scores and stats'!RH93</f>
        <v>0</v>
      </c>
      <c r="E93" s="321">
        <v>19</v>
      </c>
      <c r="F93" s="323">
        <v>0</v>
      </c>
    </row>
    <row r="94" spans="2:6" ht="12" x14ac:dyDescent="0.2">
      <c r="B94" s="57">
        <f>'Name List'!B94</f>
        <v>20</v>
      </c>
      <c r="C94" s="60">
        <f>'Scores and stats'!RH94</f>
        <v>0</v>
      </c>
      <c r="E94" s="321">
        <v>20</v>
      </c>
      <c r="F94" s="323">
        <v>0</v>
      </c>
    </row>
    <row r="95" spans="2:6" ht="12" x14ac:dyDescent="0.2">
      <c r="B95" s="57">
        <f>'Name List'!B95</f>
        <v>21</v>
      </c>
      <c r="C95" s="60">
        <f>'Scores and stats'!RH95</f>
        <v>0</v>
      </c>
      <c r="E95" s="321">
        <v>21</v>
      </c>
      <c r="F95" s="323">
        <v>0</v>
      </c>
    </row>
    <row r="96" spans="2:6" ht="12" x14ac:dyDescent="0.2">
      <c r="B96" s="57">
        <f>'Name List'!B96</f>
        <v>22</v>
      </c>
      <c r="C96" s="60">
        <f>'Scores and stats'!RH96</f>
        <v>0</v>
      </c>
      <c r="E96" s="321">
        <v>22</v>
      </c>
      <c r="F96" s="323">
        <v>0</v>
      </c>
    </row>
    <row r="97" spans="2:6" ht="12" x14ac:dyDescent="0.2">
      <c r="B97" s="57">
        <f>'Name List'!B97</f>
        <v>23</v>
      </c>
      <c r="C97" s="60">
        <f>'Scores and stats'!RH97</f>
        <v>0</v>
      </c>
      <c r="E97" s="321">
        <v>23</v>
      </c>
      <c r="F97" s="323">
        <v>0</v>
      </c>
    </row>
    <row r="98" spans="2:6" ht="12" x14ac:dyDescent="0.2">
      <c r="B98" s="57">
        <f>'Name List'!B98</f>
        <v>24</v>
      </c>
      <c r="C98" s="60">
        <f>'Scores and stats'!RH98</f>
        <v>0</v>
      </c>
      <c r="E98" s="321">
        <v>24</v>
      </c>
      <c r="F98" s="323">
        <v>0</v>
      </c>
    </row>
    <row r="99" spans="2:6" ht="12" x14ac:dyDescent="0.2">
      <c r="B99" s="57">
        <f>'Name List'!B99</f>
        <v>25</v>
      </c>
      <c r="C99" s="60">
        <f>'Scores and stats'!RH99</f>
        <v>0</v>
      </c>
      <c r="E99" s="321">
        <v>25</v>
      </c>
      <c r="F99" s="323">
        <v>0</v>
      </c>
    </row>
    <row r="100" spans="2:6" ht="12" x14ac:dyDescent="0.2">
      <c r="B100" s="57">
        <f>'Name List'!B100</f>
        <v>26</v>
      </c>
      <c r="C100" s="60">
        <f>'Scores and stats'!RH100</f>
        <v>0</v>
      </c>
      <c r="E100" s="321">
        <v>26</v>
      </c>
      <c r="F100" s="323">
        <v>0</v>
      </c>
    </row>
    <row r="101" spans="2:6" ht="12" x14ac:dyDescent="0.2">
      <c r="B101" s="57">
        <f>'Name List'!B101</f>
        <v>27</v>
      </c>
      <c r="C101" s="60">
        <f>'Scores and stats'!RH101</f>
        <v>0</v>
      </c>
      <c r="E101" s="321">
        <v>27</v>
      </c>
      <c r="F101" s="323">
        <v>0</v>
      </c>
    </row>
    <row r="102" spans="2:6" ht="12" x14ac:dyDescent="0.2">
      <c r="B102" s="57">
        <f>'Name List'!B102</f>
        <v>28</v>
      </c>
      <c r="C102" s="60">
        <f>'Scores and stats'!RH102</f>
        <v>0</v>
      </c>
      <c r="E102" s="321">
        <v>28</v>
      </c>
      <c r="F102" s="323">
        <v>0</v>
      </c>
    </row>
    <row r="103" spans="2:6" ht="12" x14ac:dyDescent="0.2">
      <c r="B103" s="57">
        <f>'Name List'!B103</f>
        <v>29</v>
      </c>
      <c r="C103" s="60">
        <f>'Scores and stats'!RH103</f>
        <v>0</v>
      </c>
      <c r="E103" s="321">
        <v>29</v>
      </c>
      <c r="F103" s="323">
        <v>0</v>
      </c>
    </row>
    <row r="104" spans="2:6" ht="12" x14ac:dyDescent="0.2">
      <c r="B104" s="57">
        <f>'Name List'!B104</f>
        <v>30</v>
      </c>
      <c r="C104" s="60">
        <f>'Scores and stats'!RH104</f>
        <v>0</v>
      </c>
      <c r="E104" s="321">
        <v>30</v>
      </c>
      <c r="F104" s="323">
        <v>0</v>
      </c>
    </row>
    <row r="105" spans="2:6" ht="12" x14ac:dyDescent="0.2">
      <c r="B105" s="57">
        <f>'Name List'!B105</f>
        <v>31</v>
      </c>
      <c r="C105" s="60">
        <f>'Scores and stats'!RH105</f>
        <v>0</v>
      </c>
      <c r="E105" s="322">
        <v>31</v>
      </c>
      <c r="F105" s="324">
        <v>0</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980C-8097-4E26-94EC-0F9C062B787B}">
  <dimension ref="B2:H105"/>
  <sheetViews>
    <sheetView view="pageLayout" topLeftCell="A66" workbookViewId="0">
      <selection activeCell="C99" sqref="C99"/>
    </sheetView>
  </sheetViews>
  <sheetFormatPr defaultColWidth="9.33203125" defaultRowHeight="11.25" x14ac:dyDescent="0.2"/>
  <cols>
    <col min="2" max="2" width="23.1640625" customWidth="1"/>
    <col min="3" max="3" width="23.1640625" hidden="1" customWidth="1"/>
    <col min="4" max="4" width="17.6640625" customWidth="1"/>
    <col min="5" max="5" width="3.5" customWidth="1"/>
    <col min="6" max="6" width="25" customWidth="1"/>
  </cols>
  <sheetData>
    <row r="2" spans="2:8" ht="12" x14ac:dyDescent="0.2">
      <c r="B2" s="57"/>
      <c r="C2" s="57"/>
      <c r="D2" s="58"/>
      <c r="E2" s="57"/>
      <c r="F2" s="59"/>
      <c r="G2" s="59"/>
    </row>
    <row r="3" spans="2:8" ht="12" x14ac:dyDescent="0.2">
      <c r="B3" s="57"/>
      <c r="C3" s="57"/>
      <c r="D3" s="58" t="s">
        <v>163</v>
      </c>
      <c r="E3" s="58"/>
      <c r="F3" s="731" t="str">
        <f>D3</f>
        <v>Worst Overall</v>
      </c>
      <c r="G3" s="732"/>
    </row>
    <row r="4" spans="2:8" ht="12" x14ac:dyDescent="0.2">
      <c r="B4" s="57"/>
      <c r="C4" s="57"/>
      <c r="D4" s="58"/>
      <c r="E4" s="57"/>
      <c r="F4" s="180"/>
      <c r="G4" s="181"/>
      <c r="H4" s="198"/>
    </row>
    <row r="5" spans="2:8" ht="12" x14ac:dyDescent="0.2">
      <c r="B5" s="57"/>
      <c r="C5" s="57"/>
      <c r="D5" s="58"/>
      <c r="E5" s="57"/>
      <c r="F5" s="180"/>
      <c r="G5" s="181"/>
      <c r="H5" s="198"/>
    </row>
    <row r="6" spans="2:8" ht="12" x14ac:dyDescent="0.2">
      <c r="B6" s="57" t="str">
        <f>'Name List'!B6</f>
        <v>Stuart Anderson</v>
      </c>
      <c r="C6" s="59" t="str">
        <f t="shared" ref="C6:C69" si="0">IF(D6=0,"",D6)</f>
        <v/>
      </c>
      <c r="D6" s="60">
        <f>'Scores and stats'!RI6</f>
        <v>0</v>
      </c>
      <c r="E6" s="61"/>
      <c r="F6" s="180" t="str" cm="1">
        <f t="array" ref="F6:G105">_xlfn._xlws.SORT(B6:C105,2,1)</f>
        <v>Ben Fleet</v>
      </c>
      <c r="G6" s="181">
        <v>22</v>
      </c>
      <c r="H6" s="198"/>
    </row>
    <row r="7" spans="2:8" ht="12" x14ac:dyDescent="0.2">
      <c r="B7" s="57" t="str">
        <f>'Name List'!B7</f>
        <v>Max Ball</v>
      </c>
      <c r="C7" s="59">
        <f t="shared" si="0"/>
        <v>35</v>
      </c>
      <c r="D7" s="60">
        <f>'Scores and stats'!RI7</f>
        <v>35</v>
      </c>
      <c r="E7" s="57"/>
      <c r="F7" s="180" t="str">
        <v>Tony Forsyth-James</v>
      </c>
      <c r="G7" s="181">
        <v>24</v>
      </c>
      <c r="H7" s="198"/>
    </row>
    <row r="8" spans="2:8" ht="12" x14ac:dyDescent="0.2">
      <c r="B8" s="57" t="str">
        <f>'Name List'!B8</f>
        <v>Harley Bishop</v>
      </c>
      <c r="C8" s="59">
        <f t="shared" si="0"/>
        <v>25</v>
      </c>
      <c r="D8" s="60">
        <f>'Scores and stats'!RI8</f>
        <v>25</v>
      </c>
      <c r="E8" s="57"/>
      <c r="F8" s="180" t="str">
        <v>Terry Walker</v>
      </c>
      <c r="G8" s="181">
        <v>24</v>
      </c>
      <c r="H8" s="198"/>
    </row>
    <row r="9" spans="2:8" ht="12" x14ac:dyDescent="0.2">
      <c r="B9" s="57" t="str">
        <f>'Name List'!B9</f>
        <v>Chris Burroughs</v>
      </c>
      <c r="C9" s="59">
        <f t="shared" si="0"/>
        <v>36</v>
      </c>
      <c r="D9" s="60">
        <f>'Scores and stats'!RI9</f>
        <v>36</v>
      </c>
      <c r="E9" s="57"/>
      <c r="F9" s="180" t="str">
        <v>Harley Bishop</v>
      </c>
      <c r="G9" s="181">
        <v>25</v>
      </c>
      <c r="H9" s="198"/>
    </row>
    <row r="10" spans="2:8" ht="12" x14ac:dyDescent="0.2">
      <c r="B10" s="57" t="str">
        <f>'Name List'!B10</f>
        <v>George Burton</v>
      </c>
      <c r="C10" s="59">
        <f t="shared" si="0"/>
        <v>29</v>
      </c>
      <c r="D10" s="60">
        <f>'Scores and stats'!RI10</f>
        <v>29</v>
      </c>
      <c r="E10" s="57"/>
      <c r="F10" s="180" t="str">
        <v>Dave Randall</v>
      </c>
      <c r="G10" s="181">
        <v>25</v>
      </c>
      <c r="H10" s="198"/>
    </row>
    <row r="11" spans="2:8" ht="12" x14ac:dyDescent="0.2">
      <c r="B11" s="57" t="str">
        <f>'Name List'!B11</f>
        <v>Tom Burton</v>
      </c>
      <c r="C11" s="59">
        <f t="shared" si="0"/>
        <v>33</v>
      </c>
      <c r="D11" s="60">
        <f>'Scores and stats'!RI11</f>
        <v>33</v>
      </c>
      <c r="E11" s="57"/>
      <c r="F11" s="180" t="str">
        <v>Gareth Davies</v>
      </c>
      <c r="G11" s="181">
        <v>26</v>
      </c>
      <c r="H11" s="198"/>
    </row>
    <row r="12" spans="2:8" ht="12" x14ac:dyDescent="0.2">
      <c r="B12" s="57" t="str">
        <f>'Name List'!B12</f>
        <v>Mike Chubb</v>
      </c>
      <c r="C12" s="59" t="str">
        <f t="shared" si="0"/>
        <v/>
      </c>
      <c r="D12" s="60">
        <f>'Scores and stats'!RI12</f>
        <v>0</v>
      </c>
      <c r="E12" s="57"/>
      <c r="F12" s="180" t="str">
        <v>Nick Garner</v>
      </c>
      <c r="G12" s="181">
        <v>27</v>
      </c>
      <c r="H12" s="198"/>
    </row>
    <row r="13" spans="2:8" ht="12" x14ac:dyDescent="0.2">
      <c r="B13" s="57" t="str">
        <f>'Name List'!B13</f>
        <v>George Clarke</v>
      </c>
      <c r="C13" s="59" t="str">
        <f t="shared" si="0"/>
        <v/>
      </c>
      <c r="D13" s="60">
        <f>'Scores and stats'!RI13</f>
        <v>0</v>
      </c>
      <c r="E13" s="57"/>
      <c r="F13" s="180" t="str">
        <v>Andy Johnson</v>
      </c>
      <c r="G13" s="181">
        <v>27</v>
      </c>
      <c r="H13" s="198"/>
    </row>
    <row r="14" spans="2:8" ht="12" x14ac:dyDescent="0.2">
      <c r="B14" s="57" t="str">
        <f>'Name List'!B14</f>
        <v>Paul Clarke</v>
      </c>
      <c r="C14" s="59">
        <f t="shared" si="0"/>
        <v>31</v>
      </c>
      <c r="D14" s="60">
        <f>'Scores and stats'!RI14</f>
        <v>31</v>
      </c>
      <c r="E14" s="57"/>
      <c r="F14" s="180" t="str">
        <v>Dickie Moxham</v>
      </c>
      <c r="G14" s="181">
        <v>28</v>
      </c>
      <c r="H14" s="198"/>
    </row>
    <row r="15" spans="2:8" ht="12" x14ac:dyDescent="0.2">
      <c r="B15" s="57" t="str">
        <f>'Name List'!B15</f>
        <v>Martin Coomber</v>
      </c>
      <c r="C15" s="59">
        <f t="shared" si="0"/>
        <v>30</v>
      </c>
      <c r="D15" s="60">
        <f>'Scores and stats'!RI15</f>
        <v>30</v>
      </c>
      <c r="E15" s="57"/>
      <c r="F15" s="180" t="str">
        <v>Kevin Tribley</v>
      </c>
      <c r="G15" s="181">
        <v>28</v>
      </c>
      <c r="H15" s="198"/>
    </row>
    <row r="16" spans="2:8" ht="12" x14ac:dyDescent="0.2">
      <c r="B16" s="57" t="str">
        <f>'Name List'!B16</f>
        <v>Dominic Coughlin</v>
      </c>
      <c r="C16" s="59" t="str">
        <f t="shared" si="0"/>
        <v/>
      </c>
      <c r="D16" s="60">
        <f>'Scores and stats'!RI16</f>
        <v>0</v>
      </c>
      <c r="E16" s="57"/>
      <c r="F16" s="180" t="str">
        <v>George Burton</v>
      </c>
      <c r="G16" s="181">
        <v>29</v>
      </c>
      <c r="H16" s="198"/>
    </row>
    <row r="17" spans="2:8" ht="12" x14ac:dyDescent="0.2">
      <c r="B17" s="57" t="str">
        <f>'Name List'!B17</f>
        <v>Gareth Davies</v>
      </c>
      <c r="C17" s="59">
        <f t="shared" si="0"/>
        <v>26</v>
      </c>
      <c r="D17" s="60">
        <f>'Scores and stats'!RI17</f>
        <v>26</v>
      </c>
      <c r="E17" s="57"/>
      <c r="F17" s="180" t="str">
        <v>Shaun Alexander</v>
      </c>
      <c r="G17" s="181">
        <v>29</v>
      </c>
      <c r="H17" s="198"/>
    </row>
    <row r="18" spans="2:8" ht="12" x14ac:dyDescent="0.2">
      <c r="B18" s="57" t="str">
        <f>'Name List'!B18</f>
        <v>Peter Donovan</v>
      </c>
      <c r="C18" s="59" t="str">
        <f t="shared" si="0"/>
        <v/>
      </c>
      <c r="D18" s="60">
        <f>'Scores and stats'!RI18</f>
        <v>0</v>
      </c>
      <c r="E18" s="57"/>
      <c r="F18" s="180" t="str">
        <v>Martin Coomber</v>
      </c>
      <c r="G18" s="181">
        <v>30</v>
      </c>
      <c r="H18" s="198"/>
    </row>
    <row r="19" spans="2:8" ht="12" x14ac:dyDescent="0.2">
      <c r="B19" s="57" t="str">
        <f>'Name List'!B19</f>
        <v>James Dunn</v>
      </c>
      <c r="C19" s="59" t="str">
        <f t="shared" si="0"/>
        <v/>
      </c>
      <c r="D19" s="60">
        <f>'Scores and stats'!RI19</f>
        <v>0</v>
      </c>
      <c r="E19" s="57"/>
      <c r="F19" s="180" t="str">
        <v>Mike Forrest</v>
      </c>
      <c r="G19" s="181">
        <v>30</v>
      </c>
      <c r="H19" s="198"/>
    </row>
    <row r="20" spans="2:8" ht="12" x14ac:dyDescent="0.2">
      <c r="B20" s="57" t="str">
        <f>'Name List'!B20</f>
        <v>Gordon Fielding</v>
      </c>
      <c r="C20" s="59" t="str">
        <f t="shared" si="0"/>
        <v/>
      </c>
      <c r="D20" s="60">
        <f>'Scores and stats'!RI20</f>
        <v>0</v>
      </c>
      <c r="E20" s="57"/>
      <c r="F20" s="180" t="str">
        <v>Peter Vallely</v>
      </c>
      <c r="G20" s="181">
        <v>30</v>
      </c>
      <c r="H20" s="198"/>
    </row>
    <row r="21" spans="2:8" ht="12" x14ac:dyDescent="0.2">
      <c r="B21" s="57" t="str">
        <f>'Name List'!B21</f>
        <v>Paul Fitzgerald</v>
      </c>
      <c r="C21" s="59" t="str">
        <f t="shared" si="0"/>
        <v/>
      </c>
      <c r="D21" s="60">
        <f>'Scores and stats'!RI21</f>
        <v>0</v>
      </c>
      <c r="E21" s="57"/>
      <c r="F21" s="180" t="str">
        <v>Paul Clarke</v>
      </c>
      <c r="G21" s="181">
        <v>31</v>
      </c>
      <c r="H21" s="198"/>
    </row>
    <row r="22" spans="2:8" ht="12" x14ac:dyDescent="0.2">
      <c r="B22" s="57" t="str">
        <f>'Name List'!B22</f>
        <v>Ben Fleet</v>
      </c>
      <c r="C22" s="59">
        <f t="shared" si="0"/>
        <v>22</v>
      </c>
      <c r="D22" s="60">
        <f>'Scores and stats'!RI22</f>
        <v>22</v>
      </c>
      <c r="E22" s="61"/>
      <c r="F22" s="180" t="str">
        <v>Sam Cochrane</v>
      </c>
      <c r="G22" s="181">
        <v>31</v>
      </c>
      <c r="H22" s="198"/>
    </row>
    <row r="23" spans="2:8" ht="12" x14ac:dyDescent="0.2">
      <c r="B23" s="57" t="str">
        <f>'Name List'!B23</f>
        <v>Mike Forrest</v>
      </c>
      <c r="C23" s="59">
        <f t="shared" si="0"/>
        <v>30</v>
      </c>
      <c r="D23" s="60">
        <f>'Scores and stats'!RI23</f>
        <v>30</v>
      </c>
      <c r="E23" s="57"/>
      <c r="F23" s="180" t="str">
        <v>Justin Hunt</v>
      </c>
      <c r="G23" s="181">
        <v>32</v>
      </c>
      <c r="H23" s="198"/>
    </row>
    <row r="24" spans="2:8" ht="12" x14ac:dyDescent="0.2">
      <c r="B24" s="57" t="str">
        <f>'Name List'!B24</f>
        <v>Tony Forsyth-James</v>
      </c>
      <c r="C24" s="59">
        <f t="shared" si="0"/>
        <v>24</v>
      </c>
      <c r="D24" s="60">
        <f>'Scores and stats'!RI24</f>
        <v>24</v>
      </c>
      <c r="E24" s="57"/>
      <c r="F24" s="180" t="str">
        <v>Oli Lloyd</v>
      </c>
      <c r="G24" s="181">
        <v>32</v>
      </c>
      <c r="H24" s="198"/>
    </row>
    <row r="25" spans="2:8" ht="12" x14ac:dyDescent="0.2">
      <c r="B25" s="57" t="str">
        <f>'Name List'!B25</f>
        <v>Archie Fraser</v>
      </c>
      <c r="C25" s="59" t="str">
        <f t="shared" si="0"/>
        <v/>
      </c>
      <c r="D25" s="60">
        <f>'Scores and stats'!RI25</f>
        <v>0</v>
      </c>
      <c r="E25" s="57"/>
      <c r="F25" s="180" t="str">
        <v>Justin Spencer</v>
      </c>
      <c r="G25" s="181">
        <v>32</v>
      </c>
      <c r="H25" s="198"/>
    </row>
    <row r="26" spans="2:8" ht="12" x14ac:dyDescent="0.2">
      <c r="B26" s="57" t="str">
        <f>'Name List'!B26</f>
        <v>Ross Fraser</v>
      </c>
      <c r="C26" s="59">
        <f t="shared" si="0"/>
        <v>33</v>
      </c>
      <c r="D26" s="60">
        <f>'Scores and stats'!RI26</f>
        <v>33</v>
      </c>
      <c r="E26" s="57"/>
      <c r="F26" s="180" t="str">
        <v>Ryan Vaughan</v>
      </c>
      <c r="G26" s="181">
        <v>32</v>
      </c>
      <c r="H26" s="198"/>
    </row>
    <row r="27" spans="2:8" ht="12" x14ac:dyDescent="0.2">
      <c r="B27" s="57" t="str">
        <f>'Name List'!B27</f>
        <v>Nick Garner</v>
      </c>
      <c r="C27" s="59">
        <f t="shared" si="0"/>
        <v>27</v>
      </c>
      <c r="D27" s="60">
        <f>'Scores and stats'!RI27</f>
        <v>27</v>
      </c>
      <c r="E27" s="61"/>
      <c r="F27" s="180" t="str">
        <v>Brad Whitehead</v>
      </c>
      <c r="G27" s="181">
        <v>32</v>
      </c>
      <c r="H27" s="198"/>
    </row>
    <row r="28" spans="2:8" ht="12" x14ac:dyDescent="0.2">
      <c r="B28" s="57" t="str">
        <f>'Name List'!B28</f>
        <v>Stuart Gay</v>
      </c>
      <c r="C28" s="59">
        <f t="shared" si="0"/>
        <v>39</v>
      </c>
      <c r="D28" s="60">
        <f>'Scores and stats'!RI28</f>
        <v>39</v>
      </c>
      <c r="E28" s="57"/>
      <c r="F28" s="180" t="str">
        <v>Joe Hooper</v>
      </c>
      <c r="G28" s="181">
        <v>32</v>
      </c>
      <c r="H28" s="198"/>
    </row>
    <row r="29" spans="2:8" ht="12" x14ac:dyDescent="0.2">
      <c r="B29" s="57" t="str">
        <f>'Name List'!B29</f>
        <v>Jordan Hall</v>
      </c>
      <c r="C29" s="59" t="str">
        <f t="shared" si="0"/>
        <v/>
      </c>
      <c r="D29" s="60">
        <f>'Scores and stats'!RI29</f>
        <v>0</v>
      </c>
      <c r="E29" s="61"/>
      <c r="F29" s="180" t="str">
        <v>Tom Burton</v>
      </c>
      <c r="G29" s="181">
        <v>33</v>
      </c>
      <c r="H29" s="198"/>
    </row>
    <row r="30" spans="2:8" ht="12" x14ac:dyDescent="0.2">
      <c r="B30" s="57" t="str">
        <f>'Name List'!B30</f>
        <v>Gary Hall</v>
      </c>
      <c r="C30" s="59" t="str">
        <f t="shared" si="0"/>
        <v/>
      </c>
      <c r="D30" s="60">
        <f>'Scores and stats'!RI30</f>
        <v>0</v>
      </c>
      <c r="E30" s="57"/>
      <c r="F30" s="180" t="str">
        <v>Ross Fraser</v>
      </c>
      <c r="G30" s="181">
        <v>33</v>
      </c>
      <c r="H30" s="198"/>
    </row>
    <row r="31" spans="2:8" ht="12" x14ac:dyDescent="0.2">
      <c r="B31" s="57" t="str">
        <f>'Name List'!B31</f>
        <v>Anthony Harris</v>
      </c>
      <c r="C31" s="59" t="str">
        <f t="shared" si="0"/>
        <v/>
      </c>
      <c r="D31" s="60">
        <f>'Scores and stats'!RI31</f>
        <v>0</v>
      </c>
      <c r="E31" s="57"/>
      <c r="F31" s="180" t="str">
        <v>Jason Wale</v>
      </c>
      <c r="G31" s="181">
        <v>33</v>
      </c>
      <c r="H31" s="198"/>
    </row>
    <row r="32" spans="2:8" ht="12" x14ac:dyDescent="0.2">
      <c r="B32" s="57" t="str">
        <f>'Name List'!B32</f>
        <v>Neil Hart</v>
      </c>
      <c r="C32" s="59">
        <f t="shared" si="0"/>
        <v>35</v>
      </c>
      <c r="D32" s="60">
        <f>'Scores and stats'!RI32</f>
        <v>35</v>
      </c>
      <c r="E32" s="57"/>
      <c r="F32" s="180" t="str">
        <v>Max Ball</v>
      </c>
      <c r="G32" s="181">
        <v>35</v>
      </c>
      <c r="H32" s="198"/>
    </row>
    <row r="33" spans="2:8" ht="12" x14ac:dyDescent="0.2">
      <c r="B33" s="57" t="str">
        <f>'Name List'!B33</f>
        <v>Tony Hearson</v>
      </c>
      <c r="C33" s="59" t="str">
        <f t="shared" si="0"/>
        <v/>
      </c>
      <c r="D33" s="60">
        <f>'Scores and stats'!RI33</f>
        <v>0</v>
      </c>
      <c r="E33" s="57"/>
      <c r="F33" s="180" t="str">
        <v>Neil Hart</v>
      </c>
      <c r="G33" s="181">
        <v>35</v>
      </c>
      <c r="H33" s="198"/>
    </row>
    <row r="34" spans="2:8" ht="12" x14ac:dyDescent="0.2">
      <c r="B34" s="57" t="str">
        <f>'Name List'!B34</f>
        <v>David Hilton</v>
      </c>
      <c r="C34" s="59" t="str">
        <f t="shared" si="0"/>
        <v/>
      </c>
      <c r="D34" s="60">
        <f>'Scores and stats'!RI34</f>
        <v>0</v>
      </c>
      <c r="E34" s="57"/>
      <c r="F34" s="180" t="str">
        <v>Chris Smith</v>
      </c>
      <c r="G34" s="181">
        <v>35</v>
      </c>
      <c r="H34" s="198"/>
    </row>
    <row r="35" spans="2:8" ht="12" x14ac:dyDescent="0.2">
      <c r="B35" s="57" t="str">
        <f>'Name List'!B35</f>
        <v>Eoghan Hilton</v>
      </c>
      <c r="C35" s="59" t="str">
        <f t="shared" si="0"/>
        <v/>
      </c>
      <c r="D35" s="60">
        <f>'Scores and stats'!RI35</f>
        <v>0</v>
      </c>
      <c r="E35" s="57"/>
      <c r="F35" s="180" t="str">
        <v>Chris Burroughs</v>
      </c>
      <c r="G35" s="181">
        <v>36</v>
      </c>
      <c r="H35" s="198"/>
    </row>
    <row r="36" spans="2:8" ht="12" x14ac:dyDescent="0.2">
      <c r="B36" s="57" t="str">
        <f>'Name List'!B36</f>
        <v>Martin Holder</v>
      </c>
      <c r="C36" s="59" t="str">
        <f t="shared" si="0"/>
        <v/>
      </c>
      <c r="D36" s="60">
        <f>'Scores and stats'!RI36</f>
        <v>0</v>
      </c>
      <c r="E36" s="57"/>
      <c r="F36" s="180" t="str">
        <v>Stuart Gay</v>
      </c>
      <c r="G36" s="181">
        <v>39</v>
      </c>
      <c r="H36" s="198"/>
    </row>
    <row r="37" spans="2:8" ht="12" x14ac:dyDescent="0.2">
      <c r="B37" s="57" t="str">
        <f>'Name List'!B37</f>
        <v>Justin Hunt</v>
      </c>
      <c r="C37" s="59">
        <f t="shared" si="0"/>
        <v>32</v>
      </c>
      <c r="D37" s="60">
        <f>'Scores and stats'!RI37</f>
        <v>32</v>
      </c>
      <c r="E37" s="57"/>
      <c r="F37" s="180" t="str">
        <v>Stuart Anderson</v>
      </c>
      <c r="G37" s="181" t="str">
        <v/>
      </c>
      <c r="H37" s="198"/>
    </row>
    <row r="38" spans="2:8" ht="12" x14ac:dyDescent="0.2">
      <c r="B38" s="57" t="str">
        <f>'Name List'!B38</f>
        <v>Mark Hutchinson</v>
      </c>
      <c r="C38" s="59" t="str">
        <f t="shared" si="0"/>
        <v/>
      </c>
      <c r="D38" s="60">
        <f>'Scores and stats'!RI38</f>
        <v>0</v>
      </c>
      <c r="E38" s="57"/>
      <c r="F38" s="180" t="str">
        <v>Mike Chubb</v>
      </c>
      <c r="G38" s="181" t="str">
        <v/>
      </c>
      <c r="H38" s="198"/>
    </row>
    <row r="39" spans="2:8" ht="12" x14ac:dyDescent="0.2">
      <c r="B39" s="57" t="str">
        <f>'Name List'!B39</f>
        <v>Andy Johnson</v>
      </c>
      <c r="C39" s="59">
        <f t="shared" si="0"/>
        <v>27</v>
      </c>
      <c r="D39" s="60">
        <f>'Scores and stats'!RI39</f>
        <v>27</v>
      </c>
      <c r="E39" s="57"/>
      <c r="F39" s="180" t="str">
        <v>George Clarke</v>
      </c>
      <c r="G39" s="181" t="str">
        <v/>
      </c>
      <c r="H39" s="198"/>
    </row>
    <row r="40" spans="2:8" ht="12" x14ac:dyDescent="0.2">
      <c r="B40" s="57" t="str">
        <f>'Name List'!B40</f>
        <v>Oli Lloyd</v>
      </c>
      <c r="C40" s="59">
        <f t="shared" si="0"/>
        <v>32</v>
      </c>
      <c r="D40" s="60">
        <f>'Scores and stats'!RI40</f>
        <v>32</v>
      </c>
      <c r="E40" s="57"/>
      <c r="F40" s="180" t="str">
        <v>Dominic Coughlin</v>
      </c>
      <c r="G40" s="181" t="str">
        <v/>
      </c>
      <c r="H40" s="198"/>
    </row>
    <row r="41" spans="2:8" ht="12" x14ac:dyDescent="0.2">
      <c r="B41" s="57" t="str">
        <f>'Name List'!B41</f>
        <v>Andy Lucey</v>
      </c>
      <c r="C41" s="59" t="str">
        <f t="shared" si="0"/>
        <v/>
      </c>
      <c r="D41" s="60">
        <f>'Scores and stats'!RI41</f>
        <v>0</v>
      </c>
      <c r="E41" s="57"/>
      <c r="F41" s="180" t="str">
        <v>Peter Donovan</v>
      </c>
      <c r="G41" s="181" t="str">
        <v/>
      </c>
      <c r="H41" s="198"/>
    </row>
    <row r="42" spans="2:8" ht="12" x14ac:dyDescent="0.2">
      <c r="B42" s="57" t="str">
        <f>'Name List'!B42</f>
        <v>Paul Martin</v>
      </c>
      <c r="C42" s="59" t="str">
        <f t="shared" si="0"/>
        <v/>
      </c>
      <c r="D42" s="60">
        <f>'Scores and stats'!RI42</f>
        <v>0</v>
      </c>
      <c r="E42" s="61"/>
      <c r="F42" s="180" t="str">
        <v>James Dunn</v>
      </c>
      <c r="G42" s="181" t="str">
        <v/>
      </c>
      <c r="H42" s="198"/>
    </row>
    <row r="43" spans="2:8" ht="12" x14ac:dyDescent="0.2">
      <c r="B43" s="57" t="str">
        <f>'Name List'!B43</f>
        <v>Edward Money</v>
      </c>
      <c r="C43" s="59" t="str">
        <f t="shared" si="0"/>
        <v/>
      </c>
      <c r="D43" s="60">
        <f>'Scores and stats'!RI43</f>
        <v>0</v>
      </c>
      <c r="E43" s="61"/>
      <c r="F43" s="180" t="str">
        <v>Gordon Fielding</v>
      </c>
      <c r="G43" s="181" t="str">
        <v/>
      </c>
      <c r="H43" s="198"/>
    </row>
    <row r="44" spans="2:8" ht="12" x14ac:dyDescent="0.2">
      <c r="B44" s="57" t="str">
        <f>'Name List'!B44</f>
        <v>Dickie Moxham</v>
      </c>
      <c r="C44" s="59">
        <f t="shared" si="0"/>
        <v>28</v>
      </c>
      <c r="D44" s="60">
        <f>'Scores and stats'!RI44</f>
        <v>28</v>
      </c>
      <c r="E44" s="57"/>
      <c r="F44" s="180" t="str">
        <v>Paul Fitzgerald</v>
      </c>
      <c r="G44" s="181" t="str">
        <v/>
      </c>
      <c r="H44" s="198"/>
    </row>
    <row r="45" spans="2:8" ht="12" x14ac:dyDescent="0.2">
      <c r="B45" s="57" t="str">
        <f>'Name List'!B45</f>
        <v>Dave Randall</v>
      </c>
      <c r="C45" s="59">
        <f t="shared" si="0"/>
        <v>25</v>
      </c>
      <c r="D45" s="60">
        <f>'Scores and stats'!RI45</f>
        <v>25</v>
      </c>
      <c r="E45" s="57"/>
      <c r="F45" s="180" t="str">
        <v>Archie Fraser</v>
      </c>
      <c r="G45" s="181" t="str">
        <v/>
      </c>
      <c r="H45" s="198"/>
    </row>
    <row r="46" spans="2:8" ht="12" x14ac:dyDescent="0.2">
      <c r="B46" s="57" t="str">
        <f>'Name List'!B46</f>
        <v>Arron Rutherford</v>
      </c>
      <c r="C46" s="59" t="str">
        <f t="shared" si="0"/>
        <v/>
      </c>
      <c r="D46" s="60">
        <f>'Scores and stats'!RI46</f>
        <v>0</v>
      </c>
      <c r="E46" s="57"/>
      <c r="F46" s="180" t="str">
        <v>Jordan Hall</v>
      </c>
      <c r="G46" s="181" t="str">
        <v/>
      </c>
      <c r="H46" s="198"/>
    </row>
    <row r="47" spans="2:8" ht="12" x14ac:dyDescent="0.2">
      <c r="B47" s="57" t="str">
        <f>'Name List'!B47</f>
        <v>Terry Shoker</v>
      </c>
      <c r="C47" s="59" t="str">
        <f t="shared" si="0"/>
        <v/>
      </c>
      <c r="D47" s="60">
        <f>'Scores and stats'!RI47</f>
        <v>0</v>
      </c>
      <c r="E47" s="57"/>
      <c r="F47" s="180" t="str">
        <v>Gary Hall</v>
      </c>
      <c r="G47" s="181" t="str">
        <v/>
      </c>
      <c r="H47" s="198"/>
    </row>
    <row r="48" spans="2:8" ht="12" x14ac:dyDescent="0.2">
      <c r="B48" s="57" t="str">
        <f>'Name List'!B48</f>
        <v>Chris Smith</v>
      </c>
      <c r="C48" s="59">
        <f t="shared" si="0"/>
        <v>35</v>
      </c>
      <c r="D48" s="60">
        <f>'Scores and stats'!RI48</f>
        <v>35</v>
      </c>
      <c r="E48" s="61"/>
      <c r="F48" s="180" t="str">
        <v>Anthony Harris</v>
      </c>
      <c r="G48" s="181" t="str">
        <v/>
      </c>
      <c r="H48" s="198"/>
    </row>
    <row r="49" spans="2:8" ht="12" x14ac:dyDescent="0.2">
      <c r="B49" s="57" t="str">
        <f>'Name List'!B49</f>
        <v>Justin Spencer</v>
      </c>
      <c r="C49" s="59">
        <f t="shared" si="0"/>
        <v>32</v>
      </c>
      <c r="D49" s="60">
        <f>'Scores and stats'!RI49</f>
        <v>32</v>
      </c>
      <c r="E49" s="57"/>
      <c r="F49" s="180" t="str">
        <v>Tony Hearson</v>
      </c>
      <c r="G49" s="181" t="str">
        <v/>
      </c>
      <c r="H49" s="198"/>
    </row>
    <row r="50" spans="2:8" ht="12" x14ac:dyDescent="0.2">
      <c r="B50" s="57" t="str">
        <f>'Name List'!B50</f>
        <v>Jake Sprosen</v>
      </c>
      <c r="C50" s="59" t="str">
        <f t="shared" si="0"/>
        <v/>
      </c>
      <c r="D50" s="60">
        <f>'Scores and stats'!RI50</f>
        <v>0</v>
      </c>
      <c r="E50" s="57"/>
      <c r="F50" s="180" t="str">
        <v>David Hilton</v>
      </c>
      <c r="G50" s="181" t="str">
        <v/>
      </c>
      <c r="H50" s="198"/>
    </row>
    <row r="51" spans="2:8" ht="12" x14ac:dyDescent="0.2">
      <c r="B51" s="57" t="str">
        <f>'Name List'!B51</f>
        <v>Tosh Sprosen</v>
      </c>
      <c r="C51" s="59" t="str">
        <f t="shared" si="0"/>
        <v/>
      </c>
      <c r="D51" s="60">
        <f>'Scores and stats'!RI51</f>
        <v>0</v>
      </c>
      <c r="E51" s="57"/>
      <c r="F51" s="180" t="str">
        <v>Eoghan Hilton</v>
      </c>
      <c r="G51" s="181" t="str">
        <v/>
      </c>
      <c r="H51" s="198"/>
    </row>
    <row r="52" spans="2:8" ht="12" x14ac:dyDescent="0.2">
      <c r="B52" s="57" t="str">
        <f>'Name List'!B52</f>
        <v>Bill Sutton</v>
      </c>
      <c r="C52" s="59" t="str">
        <f t="shared" si="0"/>
        <v/>
      </c>
      <c r="D52" s="60">
        <f>'Scores and stats'!RI52</f>
        <v>0</v>
      </c>
      <c r="E52" s="57"/>
      <c r="F52" s="180" t="str">
        <v>Martin Holder</v>
      </c>
      <c r="G52" s="181" t="str">
        <v/>
      </c>
      <c r="H52" s="198"/>
    </row>
    <row r="53" spans="2:8" ht="12" x14ac:dyDescent="0.2">
      <c r="B53" s="57" t="str">
        <f>'Name List'!B53</f>
        <v>Dan Thomas</v>
      </c>
      <c r="C53" s="59" t="str">
        <f t="shared" si="0"/>
        <v/>
      </c>
      <c r="D53" s="60">
        <f>'Scores and stats'!RI53</f>
        <v>0</v>
      </c>
      <c r="E53" s="57"/>
      <c r="F53" s="180" t="str">
        <v>Mark Hutchinson</v>
      </c>
      <c r="G53" s="181" t="str">
        <v/>
      </c>
      <c r="H53" s="198"/>
    </row>
    <row r="54" spans="2:8" ht="12" x14ac:dyDescent="0.2">
      <c r="B54" s="57" t="str">
        <f>'Name List'!B54</f>
        <v>Andy Thompson</v>
      </c>
      <c r="C54" s="59" t="str">
        <f t="shared" si="0"/>
        <v/>
      </c>
      <c r="D54" s="60">
        <f>'Scores and stats'!RI54</f>
        <v>0</v>
      </c>
      <c r="E54" s="57"/>
      <c r="F54" s="180" t="str">
        <v>Andy Lucey</v>
      </c>
      <c r="G54" s="181" t="str">
        <v/>
      </c>
      <c r="H54" s="198"/>
    </row>
    <row r="55" spans="2:8" ht="12" x14ac:dyDescent="0.2">
      <c r="B55" s="57" t="str">
        <f>'Name List'!B55</f>
        <v>Rory Thompson</v>
      </c>
      <c r="C55" s="59" t="str">
        <f t="shared" si="0"/>
        <v/>
      </c>
      <c r="D55" s="60">
        <f>'Scores and stats'!RI55</f>
        <v>0</v>
      </c>
      <c r="E55" s="57"/>
      <c r="F55" s="180" t="str">
        <v>Paul Martin</v>
      </c>
      <c r="G55" s="181" t="str">
        <v/>
      </c>
      <c r="H55" s="198"/>
    </row>
    <row r="56" spans="2:8" ht="12" x14ac:dyDescent="0.2">
      <c r="B56" s="57" t="str">
        <f>'Name List'!B56</f>
        <v>Sonny Thompson</v>
      </c>
      <c r="C56" s="59" t="str">
        <f t="shared" si="0"/>
        <v/>
      </c>
      <c r="D56" s="60">
        <f>'Scores and stats'!RI56</f>
        <v>0</v>
      </c>
      <c r="E56" s="57"/>
      <c r="F56" s="180" t="str">
        <v>Edward Money</v>
      </c>
      <c r="G56" s="181" t="str">
        <v/>
      </c>
      <c r="H56" s="198"/>
    </row>
    <row r="57" spans="2:8" ht="12" x14ac:dyDescent="0.2">
      <c r="B57" s="57" t="str">
        <f>'Name List'!B57</f>
        <v>Kevin Tribley</v>
      </c>
      <c r="C57" s="59">
        <f t="shared" si="0"/>
        <v>28</v>
      </c>
      <c r="D57" s="60">
        <f>'Scores and stats'!RI57</f>
        <v>28</v>
      </c>
      <c r="E57" s="57"/>
      <c r="F57" s="180" t="str">
        <v>Arron Rutherford</v>
      </c>
      <c r="G57" s="181" t="str">
        <v/>
      </c>
      <c r="H57" s="198"/>
    </row>
    <row r="58" spans="2:8" ht="12" x14ac:dyDescent="0.2">
      <c r="B58" s="57" t="str">
        <f>'Name List'!B58</f>
        <v>Russell Turner</v>
      </c>
      <c r="C58" s="59" t="str">
        <f t="shared" si="0"/>
        <v/>
      </c>
      <c r="D58" s="60">
        <f>'Scores and stats'!RI58</f>
        <v>0</v>
      </c>
      <c r="E58" s="57"/>
      <c r="F58" s="180" t="str">
        <v>Terry Shoker</v>
      </c>
      <c r="G58" s="181" t="str">
        <v/>
      </c>
      <c r="H58" s="198"/>
    </row>
    <row r="59" spans="2:8" ht="12" x14ac:dyDescent="0.2">
      <c r="B59" s="57" t="str">
        <f>'Name List'!B59</f>
        <v>Peter Vallely</v>
      </c>
      <c r="C59" s="59">
        <f t="shared" si="0"/>
        <v>30</v>
      </c>
      <c r="D59" s="60">
        <f>'Scores and stats'!RI59</f>
        <v>30</v>
      </c>
      <c r="E59" s="57"/>
      <c r="F59" s="180" t="str">
        <v>Jake Sprosen</v>
      </c>
      <c r="G59" s="181" t="str">
        <v/>
      </c>
      <c r="H59" s="198"/>
    </row>
    <row r="60" spans="2:8" ht="12" x14ac:dyDescent="0.2">
      <c r="B60" s="57" t="str">
        <f>'Name List'!B60</f>
        <v>Ryan Vaughan</v>
      </c>
      <c r="C60" s="59">
        <f t="shared" si="0"/>
        <v>32</v>
      </c>
      <c r="D60" s="60">
        <f>'Scores and stats'!RI60</f>
        <v>32</v>
      </c>
      <c r="E60" s="57"/>
      <c r="F60" s="180" t="str">
        <v>Tosh Sprosen</v>
      </c>
      <c r="G60" s="181" t="str">
        <v/>
      </c>
      <c r="H60" s="198"/>
    </row>
    <row r="61" spans="2:8" ht="12" x14ac:dyDescent="0.2">
      <c r="B61" s="57" t="str">
        <f>'Name List'!B61</f>
        <v>Jason Wale</v>
      </c>
      <c r="C61" s="59">
        <f t="shared" si="0"/>
        <v>33</v>
      </c>
      <c r="D61" s="60">
        <f>'Scores and stats'!RI61</f>
        <v>33</v>
      </c>
      <c r="E61" s="57"/>
      <c r="F61" s="180" t="str">
        <v>Bill Sutton</v>
      </c>
      <c r="G61" s="181" t="str">
        <v/>
      </c>
      <c r="H61" s="198"/>
    </row>
    <row r="62" spans="2:8" ht="12" x14ac:dyDescent="0.2">
      <c r="B62" s="57" t="str">
        <f>'Name List'!B62</f>
        <v>Terry Walker</v>
      </c>
      <c r="C62" s="59">
        <f t="shared" si="0"/>
        <v>24</v>
      </c>
      <c r="D62" s="60">
        <f>'Scores and stats'!RI62</f>
        <v>24</v>
      </c>
      <c r="E62" s="57"/>
      <c r="F62" s="180" t="str">
        <v>Dan Thomas</v>
      </c>
      <c r="G62" s="181" t="str">
        <v/>
      </c>
      <c r="H62" s="198"/>
    </row>
    <row r="63" spans="2:8" ht="12" x14ac:dyDescent="0.2">
      <c r="B63" s="57" t="str">
        <f>'Name List'!B63</f>
        <v>Finn Wheeler</v>
      </c>
      <c r="C63" s="59" t="str">
        <f t="shared" si="0"/>
        <v/>
      </c>
      <c r="D63" s="60">
        <f>'Scores and stats'!RI63</f>
        <v>0</v>
      </c>
      <c r="E63" s="57"/>
      <c r="F63" s="180" t="str">
        <v>Andy Thompson</v>
      </c>
      <c r="G63" s="181" t="str">
        <v/>
      </c>
      <c r="H63" s="198"/>
    </row>
    <row r="64" spans="2:8" ht="12" x14ac:dyDescent="0.2">
      <c r="B64" s="57" t="str">
        <f>'Name List'!B64</f>
        <v>Steve Wheeler</v>
      </c>
      <c r="C64" s="59" t="str">
        <f t="shared" si="0"/>
        <v/>
      </c>
      <c r="D64" s="60">
        <f>'Scores and stats'!RI64</f>
        <v>0</v>
      </c>
      <c r="E64" s="57"/>
      <c r="F64" s="180" t="str">
        <v>Rory Thompson</v>
      </c>
      <c r="G64" s="181" t="str">
        <v/>
      </c>
      <c r="H64" s="198"/>
    </row>
    <row r="65" spans="2:8" ht="12" x14ac:dyDescent="0.2">
      <c r="B65" s="57" t="str">
        <f>'Name List'!B65</f>
        <v>Brad Whitehead</v>
      </c>
      <c r="C65" s="59">
        <f t="shared" si="0"/>
        <v>32</v>
      </c>
      <c r="D65" s="60">
        <f>'Scores and stats'!RI65</f>
        <v>32</v>
      </c>
      <c r="E65" s="57"/>
      <c r="F65" s="180" t="str">
        <v>Sonny Thompson</v>
      </c>
      <c r="G65" s="181" t="str">
        <v/>
      </c>
      <c r="H65" s="198"/>
    </row>
    <row r="66" spans="2:8" ht="12" x14ac:dyDescent="0.2">
      <c r="B66" s="57" t="str">
        <f>'Name List'!B66</f>
        <v>Dave Woodget</v>
      </c>
      <c r="C66" s="59" t="str">
        <f t="shared" si="0"/>
        <v/>
      </c>
      <c r="D66" s="60">
        <f>'Scores and stats'!RI66</f>
        <v>0</v>
      </c>
      <c r="E66" s="57"/>
      <c r="F66" s="180" t="str">
        <v>Russell Turner</v>
      </c>
      <c r="G66" s="181" t="str">
        <v/>
      </c>
      <c r="H66" s="198"/>
    </row>
    <row r="67" spans="2:8" ht="12" x14ac:dyDescent="0.2">
      <c r="B67" s="57" t="str">
        <f>'Name List'!B67</f>
        <v>Jonathan Kanareck</v>
      </c>
      <c r="C67" s="59" t="str">
        <f t="shared" si="0"/>
        <v/>
      </c>
      <c r="D67" s="60">
        <f>'Scores and stats'!RI67</f>
        <v>0</v>
      </c>
      <c r="E67" s="57"/>
      <c r="F67" s="180" t="str">
        <v>Finn Wheeler</v>
      </c>
      <c r="G67" s="181" t="str">
        <v/>
      </c>
      <c r="H67" s="198"/>
    </row>
    <row r="68" spans="2:8" ht="12" x14ac:dyDescent="0.2">
      <c r="B68" s="57" t="str">
        <f>'Name List'!B68</f>
        <v>Oliver Proud</v>
      </c>
      <c r="C68" s="59" t="str">
        <f t="shared" si="0"/>
        <v/>
      </c>
      <c r="D68" s="60">
        <f>'Scores and stats'!RI68</f>
        <v>0</v>
      </c>
      <c r="F68" s="180" t="str">
        <v>Steve Wheeler</v>
      </c>
      <c r="G68" s="181" t="str">
        <v/>
      </c>
      <c r="H68" s="198"/>
    </row>
    <row r="69" spans="2:8" ht="12" x14ac:dyDescent="0.2">
      <c r="B69" s="57" t="str">
        <f>'Name List'!B69</f>
        <v>Joe Hooper</v>
      </c>
      <c r="C69" s="59">
        <f t="shared" si="0"/>
        <v>32</v>
      </c>
      <c r="D69" s="60">
        <f>'Scores and stats'!RI69</f>
        <v>32</v>
      </c>
      <c r="F69" s="180" t="str">
        <v>Dave Woodget</v>
      </c>
      <c r="G69" s="181" t="str">
        <v/>
      </c>
      <c r="H69" s="198"/>
    </row>
    <row r="70" spans="2:8" ht="12" x14ac:dyDescent="0.2">
      <c r="B70" s="57" t="str">
        <f>'Name List'!B70</f>
        <v>Danny Jones</v>
      </c>
      <c r="C70" s="59" t="str">
        <f t="shared" ref="C70:C74" si="1">IF(D70=0,"",D70)</f>
        <v/>
      </c>
      <c r="D70" s="60">
        <f>'Scores and stats'!RI70</f>
        <v>0</v>
      </c>
      <c r="F70" s="180" t="str">
        <v>Jonathan Kanareck</v>
      </c>
      <c r="G70" s="181" t="str">
        <v/>
      </c>
      <c r="H70" s="198"/>
    </row>
    <row r="71" spans="2:8" ht="12" x14ac:dyDescent="0.2">
      <c r="B71" s="57" t="str">
        <f>'Name List'!B71</f>
        <v>Liam Anderson</v>
      </c>
      <c r="C71" s="59" t="str">
        <f t="shared" si="1"/>
        <v/>
      </c>
      <c r="D71" s="60">
        <f>'Scores and stats'!RI71</f>
        <v>0</v>
      </c>
      <c r="F71" s="180" t="str">
        <v>Oliver Proud</v>
      </c>
      <c r="G71" s="181" t="str">
        <v/>
      </c>
      <c r="H71" s="198"/>
    </row>
    <row r="72" spans="2:8" ht="12" x14ac:dyDescent="0.2">
      <c r="B72" s="57" t="str">
        <f>'Name List'!B72</f>
        <v>Sam Cochrane</v>
      </c>
      <c r="C72" s="59">
        <f t="shared" si="1"/>
        <v>31</v>
      </c>
      <c r="D72" s="60">
        <f>'Scores and stats'!RI72</f>
        <v>31</v>
      </c>
      <c r="F72" s="180" t="str">
        <v>Danny Jones</v>
      </c>
      <c r="G72" s="181" t="str">
        <v/>
      </c>
      <c r="H72" s="198"/>
    </row>
    <row r="73" spans="2:8" ht="12" x14ac:dyDescent="0.2">
      <c r="B73" s="57" t="str">
        <f>'Name List'!B73</f>
        <v>Shaun Alexander</v>
      </c>
      <c r="C73" s="59">
        <f t="shared" si="1"/>
        <v>29</v>
      </c>
      <c r="D73" s="60">
        <f>'Scores and stats'!RI73</f>
        <v>29</v>
      </c>
      <c r="F73" s="180" t="str">
        <v>Liam Anderson</v>
      </c>
      <c r="G73" s="181" t="str">
        <v/>
      </c>
      <c r="H73" s="198"/>
    </row>
    <row r="74" spans="2:8" ht="12" x14ac:dyDescent="0.2">
      <c r="B74" s="57" t="str">
        <f>'Name List'!B74</f>
        <v>Kyle Deane</v>
      </c>
      <c r="C74" s="59" t="str">
        <f t="shared" si="1"/>
        <v/>
      </c>
      <c r="D74" s="60">
        <f>'Scores and stats'!RI74</f>
        <v>0</v>
      </c>
      <c r="F74" s="180" t="str">
        <v>Kyle Deane</v>
      </c>
      <c r="G74" s="181" t="str">
        <v/>
      </c>
      <c r="H74" s="198"/>
    </row>
    <row r="75" spans="2:8" ht="12" x14ac:dyDescent="0.2">
      <c r="B75" s="57">
        <f>'Name List'!B75</f>
        <v>1</v>
      </c>
      <c r="C75" s="59" t="str">
        <f t="shared" ref="C75:C105" si="2">IF(D75=0,"",D75)</f>
        <v/>
      </c>
      <c r="D75" s="60">
        <f>'Scores and stats'!RI75</f>
        <v>0</v>
      </c>
      <c r="F75" s="180">
        <v>1</v>
      </c>
      <c r="G75" s="181" t="str">
        <v/>
      </c>
      <c r="H75" s="198"/>
    </row>
    <row r="76" spans="2:8" ht="12" x14ac:dyDescent="0.2">
      <c r="B76" s="57">
        <f>'Name List'!B76</f>
        <v>2</v>
      </c>
      <c r="C76" s="59" t="str">
        <f t="shared" si="2"/>
        <v/>
      </c>
      <c r="D76" s="60">
        <f>'Scores and stats'!RI76</f>
        <v>0</v>
      </c>
      <c r="F76" s="180">
        <v>2</v>
      </c>
      <c r="G76" s="181" t="str">
        <v/>
      </c>
      <c r="H76" s="198"/>
    </row>
    <row r="77" spans="2:8" ht="12" x14ac:dyDescent="0.2">
      <c r="B77" s="57">
        <f>'Name List'!B77</f>
        <v>3</v>
      </c>
      <c r="C77" s="59" t="str">
        <f t="shared" si="2"/>
        <v/>
      </c>
      <c r="D77" s="60">
        <f>'Scores and stats'!RI77</f>
        <v>0</v>
      </c>
      <c r="F77" s="180">
        <v>3</v>
      </c>
      <c r="G77" s="181" t="str">
        <v/>
      </c>
      <c r="H77" s="198"/>
    </row>
    <row r="78" spans="2:8" ht="12" x14ac:dyDescent="0.2">
      <c r="B78" s="57">
        <f>'Name List'!B78</f>
        <v>4</v>
      </c>
      <c r="C78" s="59" t="str">
        <f t="shared" si="2"/>
        <v/>
      </c>
      <c r="D78" s="60">
        <f>'Scores and stats'!RI78</f>
        <v>0</v>
      </c>
      <c r="F78" s="180">
        <v>4</v>
      </c>
      <c r="G78" s="181" t="str">
        <v/>
      </c>
      <c r="H78" s="198"/>
    </row>
    <row r="79" spans="2:8" ht="12" x14ac:dyDescent="0.2">
      <c r="B79" s="57">
        <f>'Name List'!B79</f>
        <v>5</v>
      </c>
      <c r="C79" s="59" t="str">
        <f t="shared" si="2"/>
        <v/>
      </c>
      <c r="D79" s="60">
        <f>'Scores and stats'!RI79</f>
        <v>0</v>
      </c>
      <c r="F79" s="180">
        <v>5</v>
      </c>
      <c r="G79" s="181" t="str">
        <v/>
      </c>
      <c r="H79" s="198"/>
    </row>
    <row r="80" spans="2:8" ht="12" x14ac:dyDescent="0.2">
      <c r="B80" s="57">
        <f>'Name List'!B80</f>
        <v>6</v>
      </c>
      <c r="C80" s="59" t="str">
        <f t="shared" si="2"/>
        <v/>
      </c>
      <c r="D80" s="60">
        <f>'Scores and stats'!RI80</f>
        <v>0</v>
      </c>
      <c r="F80" s="180">
        <v>6</v>
      </c>
      <c r="G80" s="181" t="str">
        <v/>
      </c>
      <c r="H80" s="198"/>
    </row>
    <row r="81" spans="2:8" ht="12" x14ac:dyDescent="0.2">
      <c r="B81" s="57">
        <f>'Name List'!B81</f>
        <v>7</v>
      </c>
      <c r="C81" s="59" t="str">
        <f t="shared" si="2"/>
        <v/>
      </c>
      <c r="D81" s="60">
        <f>'Scores and stats'!RI81</f>
        <v>0</v>
      </c>
      <c r="F81" s="180">
        <v>7</v>
      </c>
      <c r="G81" s="181" t="str">
        <v/>
      </c>
      <c r="H81" s="198"/>
    </row>
    <row r="82" spans="2:8" ht="12" x14ac:dyDescent="0.2">
      <c r="B82" s="57">
        <f>'Name List'!B82</f>
        <v>8</v>
      </c>
      <c r="C82" s="59" t="str">
        <f t="shared" si="2"/>
        <v/>
      </c>
      <c r="D82" s="60">
        <f>'Scores and stats'!RI82</f>
        <v>0</v>
      </c>
      <c r="F82" s="180">
        <v>8</v>
      </c>
      <c r="G82" s="181" t="str">
        <v/>
      </c>
      <c r="H82" s="198"/>
    </row>
    <row r="83" spans="2:8" ht="12" x14ac:dyDescent="0.2">
      <c r="B83" s="57">
        <f>'Name List'!B83</f>
        <v>9</v>
      </c>
      <c r="C83" s="59" t="str">
        <f t="shared" si="2"/>
        <v/>
      </c>
      <c r="D83" s="60">
        <f>'Scores and stats'!RI83</f>
        <v>0</v>
      </c>
      <c r="F83" s="180">
        <v>9</v>
      </c>
      <c r="G83" s="181" t="str">
        <v/>
      </c>
      <c r="H83" s="198"/>
    </row>
    <row r="84" spans="2:8" ht="12" x14ac:dyDescent="0.2">
      <c r="B84" s="57">
        <f>'Name List'!B84</f>
        <v>10</v>
      </c>
      <c r="C84" s="59" t="str">
        <f t="shared" si="2"/>
        <v/>
      </c>
      <c r="D84" s="60">
        <f>'Scores and stats'!RI84</f>
        <v>0</v>
      </c>
      <c r="F84" s="180">
        <v>10</v>
      </c>
      <c r="G84" s="181" t="str">
        <v/>
      </c>
      <c r="H84" s="198"/>
    </row>
    <row r="85" spans="2:8" ht="12" x14ac:dyDescent="0.2">
      <c r="B85" s="57">
        <f>'Name List'!B85</f>
        <v>11</v>
      </c>
      <c r="C85" s="59" t="str">
        <f t="shared" si="2"/>
        <v/>
      </c>
      <c r="D85" s="60">
        <f>'Scores and stats'!RI85</f>
        <v>0</v>
      </c>
      <c r="F85" s="180">
        <v>11</v>
      </c>
      <c r="G85" s="181" t="str">
        <v/>
      </c>
      <c r="H85" s="198"/>
    </row>
    <row r="86" spans="2:8" ht="12" x14ac:dyDescent="0.2">
      <c r="B86" s="57">
        <f>'Name List'!B86</f>
        <v>12</v>
      </c>
      <c r="C86" s="59" t="str">
        <f t="shared" si="2"/>
        <v/>
      </c>
      <c r="D86" s="60">
        <f>'Scores and stats'!RI86</f>
        <v>0</v>
      </c>
      <c r="F86" s="180">
        <v>12</v>
      </c>
      <c r="G86" s="181" t="str">
        <v/>
      </c>
      <c r="H86" s="198"/>
    </row>
    <row r="87" spans="2:8" ht="12" x14ac:dyDescent="0.2">
      <c r="B87" s="57">
        <f>'Name List'!B87</f>
        <v>13</v>
      </c>
      <c r="C87" s="59" t="str">
        <f t="shared" si="2"/>
        <v/>
      </c>
      <c r="D87" s="60">
        <f>'Scores and stats'!RI87</f>
        <v>0</v>
      </c>
      <c r="F87" s="180">
        <v>13</v>
      </c>
      <c r="G87" s="181" t="str">
        <v/>
      </c>
      <c r="H87" s="198"/>
    </row>
    <row r="88" spans="2:8" ht="12" x14ac:dyDescent="0.2">
      <c r="B88" s="57">
        <f>'Name List'!B88</f>
        <v>14</v>
      </c>
      <c r="C88" s="59" t="str">
        <f t="shared" si="2"/>
        <v/>
      </c>
      <c r="D88" s="60">
        <f>'Scores and stats'!RI88</f>
        <v>0</v>
      </c>
      <c r="F88" s="180">
        <v>14</v>
      </c>
      <c r="G88" s="181" t="str">
        <v/>
      </c>
      <c r="H88" s="198"/>
    </row>
    <row r="89" spans="2:8" ht="12" x14ac:dyDescent="0.2">
      <c r="B89" s="57">
        <f>'Name List'!B89</f>
        <v>15</v>
      </c>
      <c r="C89" s="59" t="str">
        <f t="shared" si="2"/>
        <v/>
      </c>
      <c r="D89" s="60">
        <f>'Scores and stats'!RI89</f>
        <v>0</v>
      </c>
      <c r="F89" s="180">
        <v>15</v>
      </c>
      <c r="G89" s="181" t="str">
        <v/>
      </c>
      <c r="H89" s="198"/>
    </row>
    <row r="90" spans="2:8" ht="12" x14ac:dyDescent="0.2">
      <c r="B90" s="57">
        <f>'Name List'!B90</f>
        <v>16</v>
      </c>
      <c r="C90" s="59" t="str">
        <f t="shared" si="2"/>
        <v/>
      </c>
      <c r="D90" s="60">
        <f>'Scores and stats'!RI90</f>
        <v>0</v>
      </c>
      <c r="F90" s="180">
        <v>16</v>
      </c>
      <c r="G90" s="181" t="str">
        <v/>
      </c>
      <c r="H90" s="198"/>
    </row>
    <row r="91" spans="2:8" ht="12" x14ac:dyDescent="0.2">
      <c r="B91" s="57">
        <f>'Name List'!B91</f>
        <v>17</v>
      </c>
      <c r="C91" s="59" t="str">
        <f t="shared" si="2"/>
        <v/>
      </c>
      <c r="D91" s="60">
        <f>'Scores and stats'!RI91</f>
        <v>0</v>
      </c>
      <c r="F91" s="321">
        <v>17</v>
      </c>
      <c r="G91" s="323" t="str">
        <v/>
      </c>
      <c r="H91" s="198"/>
    </row>
    <row r="92" spans="2:8" ht="12" x14ac:dyDescent="0.2">
      <c r="B92" s="57">
        <f>'Name List'!B92</f>
        <v>18</v>
      </c>
      <c r="C92" s="59" t="str">
        <f t="shared" si="2"/>
        <v/>
      </c>
      <c r="D92" s="60">
        <f>'Scores and stats'!RI92</f>
        <v>0</v>
      </c>
      <c r="F92" s="321">
        <v>18</v>
      </c>
      <c r="G92" s="323" t="str">
        <v/>
      </c>
    </row>
    <row r="93" spans="2:8" ht="12" x14ac:dyDescent="0.2">
      <c r="B93" s="57">
        <f>'Name List'!B93</f>
        <v>19</v>
      </c>
      <c r="C93" s="59" t="str">
        <f t="shared" si="2"/>
        <v/>
      </c>
      <c r="D93" s="60">
        <f>'Scores and stats'!RI93</f>
        <v>0</v>
      </c>
      <c r="F93" s="321">
        <v>19</v>
      </c>
      <c r="G93" s="323" t="str">
        <v/>
      </c>
    </row>
    <row r="94" spans="2:8" ht="12" x14ac:dyDescent="0.2">
      <c r="B94" s="57">
        <f>'Name List'!B94</f>
        <v>20</v>
      </c>
      <c r="C94" s="59" t="str">
        <f t="shared" si="2"/>
        <v/>
      </c>
      <c r="D94" s="60">
        <f>'Scores and stats'!RI94</f>
        <v>0</v>
      </c>
      <c r="F94" s="321">
        <v>20</v>
      </c>
      <c r="G94" s="323" t="str">
        <v/>
      </c>
    </row>
    <row r="95" spans="2:8" ht="12" x14ac:dyDescent="0.2">
      <c r="B95" s="57">
        <f>'Name List'!B95</f>
        <v>21</v>
      </c>
      <c r="C95" s="59" t="str">
        <f t="shared" si="2"/>
        <v/>
      </c>
      <c r="D95" s="60">
        <f>'Scores and stats'!RI95</f>
        <v>0</v>
      </c>
      <c r="F95" s="321">
        <v>21</v>
      </c>
      <c r="G95" s="323" t="str">
        <v/>
      </c>
    </row>
    <row r="96" spans="2:8" ht="12" x14ac:dyDescent="0.2">
      <c r="B96" s="57">
        <f>'Name List'!B96</f>
        <v>22</v>
      </c>
      <c r="C96" s="59" t="str">
        <f t="shared" si="2"/>
        <v/>
      </c>
      <c r="D96" s="60">
        <f>'Scores and stats'!RI96</f>
        <v>0</v>
      </c>
      <c r="F96" s="321">
        <v>22</v>
      </c>
      <c r="G96" s="323" t="str">
        <v/>
      </c>
    </row>
    <row r="97" spans="2:7" ht="12" x14ac:dyDescent="0.2">
      <c r="B97" s="57">
        <f>'Name List'!B97</f>
        <v>23</v>
      </c>
      <c r="C97" s="59" t="str">
        <f t="shared" si="2"/>
        <v/>
      </c>
      <c r="D97" s="60">
        <f>'Scores and stats'!RI97</f>
        <v>0</v>
      </c>
      <c r="F97" s="321">
        <v>23</v>
      </c>
      <c r="G97" s="323" t="str">
        <v/>
      </c>
    </row>
    <row r="98" spans="2:7" ht="12" x14ac:dyDescent="0.2">
      <c r="B98" s="57">
        <f>'Name List'!B98</f>
        <v>24</v>
      </c>
      <c r="C98" s="59" t="str">
        <f t="shared" si="2"/>
        <v/>
      </c>
      <c r="D98" s="60">
        <f>'Scores and stats'!RI98</f>
        <v>0</v>
      </c>
      <c r="F98" s="321">
        <v>24</v>
      </c>
      <c r="G98" s="323" t="str">
        <v/>
      </c>
    </row>
    <row r="99" spans="2:7" ht="12" x14ac:dyDescent="0.2">
      <c r="B99" s="57">
        <f>'Name List'!B99</f>
        <v>25</v>
      </c>
      <c r="C99" s="59" t="str">
        <f t="shared" si="2"/>
        <v/>
      </c>
      <c r="D99" s="60">
        <f>'Scores and stats'!RI99</f>
        <v>0</v>
      </c>
      <c r="F99" s="321">
        <v>25</v>
      </c>
      <c r="G99" s="323" t="str">
        <v/>
      </c>
    </row>
    <row r="100" spans="2:7" ht="12" x14ac:dyDescent="0.2">
      <c r="B100" s="57">
        <f>'Name List'!B100</f>
        <v>26</v>
      </c>
      <c r="C100" s="59" t="str">
        <f t="shared" si="2"/>
        <v/>
      </c>
      <c r="D100" s="60">
        <f>'Scores and stats'!RI100</f>
        <v>0</v>
      </c>
      <c r="F100" s="321">
        <v>26</v>
      </c>
      <c r="G100" s="323" t="str">
        <v/>
      </c>
    </row>
    <row r="101" spans="2:7" ht="12" x14ac:dyDescent="0.2">
      <c r="B101" s="57">
        <f>'Name List'!B101</f>
        <v>27</v>
      </c>
      <c r="C101" s="59" t="str">
        <f t="shared" si="2"/>
        <v/>
      </c>
      <c r="D101" s="60">
        <f>'Scores and stats'!RI101</f>
        <v>0</v>
      </c>
      <c r="F101" s="321">
        <v>27</v>
      </c>
      <c r="G101" s="323" t="str">
        <v/>
      </c>
    </row>
    <row r="102" spans="2:7" ht="12" x14ac:dyDescent="0.2">
      <c r="B102" s="57">
        <f>'Name List'!B102</f>
        <v>28</v>
      </c>
      <c r="C102" s="59" t="str">
        <f t="shared" si="2"/>
        <v/>
      </c>
      <c r="D102" s="60">
        <f>'Scores and stats'!RI102</f>
        <v>0</v>
      </c>
      <c r="F102" s="321">
        <v>28</v>
      </c>
      <c r="G102" s="323" t="str">
        <v/>
      </c>
    </row>
    <row r="103" spans="2:7" ht="12" x14ac:dyDescent="0.2">
      <c r="B103" s="57">
        <f>'Name List'!B103</f>
        <v>29</v>
      </c>
      <c r="C103" s="59" t="str">
        <f t="shared" si="2"/>
        <v/>
      </c>
      <c r="D103" s="60">
        <f>'Scores and stats'!RI103</f>
        <v>0</v>
      </c>
      <c r="F103" s="321">
        <v>29</v>
      </c>
      <c r="G103" s="323" t="str">
        <v/>
      </c>
    </row>
    <row r="104" spans="2:7" ht="12" x14ac:dyDescent="0.2">
      <c r="B104" s="57">
        <f>'Name List'!B104</f>
        <v>30</v>
      </c>
      <c r="C104" s="59" t="str">
        <f t="shared" si="2"/>
        <v/>
      </c>
      <c r="D104" s="60">
        <f>'Scores and stats'!RI104</f>
        <v>0</v>
      </c>
      <c r="F104" s="321">
        <v>30</v>
      </c>
      <c r="G104" s="323" t="str">
        <v/>
      </c>
    </row>
    <row r="105" spans="2:7" ht="12" x14ac:dyDescent="0.2">
      <c r="B105" s="57">
        <f>'Name List'!B105</f>
        <v>31</v>
      </c>
      <c r="C105" s="59" t="str">
        <f t="shared" si="2"/>
        <v/>
      </c>
      <c r="D105" s="60">
        <f>'Scores and stats'!RI105</f>
        <v>0</v>
      </c>
      <c r="F105" s="322">
        <v>31</v>
      </c>
      <c r="G105" s="324" t="str">
        <v/>
      </c>
    </row>
  </sheetData>
  <mergeCells count="1">
    <mergeCell ref="F3:G3"/>
  </mergeCells>
  <pageMargins left="0.7" right="0.7" top="0.75" bottom="0.75" header="0.3" footer="0.3"/>
  <pageSetup paperSize="9" orientation="portrait" r:id="rId1"/>
  <headerFooter>
    <oddFooter>&amp;C&amp;1#&amp;"Calibri"&amp;10&amp;K000000PUBLIC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9E1C-C4E4-4159-B055-EFD39EBAD71C}">
  <dimension ref="B2:G105"/>
  <sheetViews>
    <sheetView view="pageLayout" workbookViewId="0">
      <selection activeCell="C99" sqref="C99"/>
    </sheetView>
  </sheetViews>
  <sheetFormatPr defaultColWidth="9.33203125" defaultRowHeight="11.25" x14ac:dyDescent="0.2"/>
  <cols>
    <col min="2" max="2" width="23.1640625" customWidth="1"/>
    <col min="3" max="3" width="17.6640625" customWidth="1"/>
    <col min="4" max="4" width="5.6640625" customWidth="1"/>
    <col min="5" max="5" width="25" customWidth="1"/>
  </cols>
  <sheetData>
    <row r="2" spans="2:7" ht="12" x14ac:dyDescent="0.2">
      <c r="B2" s="57"/>
      <c r="C2" s="58"/>
      <c r="D2" s="57"/>
      <c r="E2" s="59"/>
      <c r="F2" s="59"/>
    </row>
    <row r="3" spans="2:7" ht="12" x14ac:dyDescent="0.2">
      <c r="B3" s="57"/>
      <c r="C3" s="58" t="s">
        <v>170</v>
      </c>
      <c r="D3" s="58"/>
      <c r="E3" s="731" t="str">
        <f>C3</f>
        <v>Highest Competition Medal</v>
      </c>
      <c r="F3" s="732"/>
    </row>
    <row r="4" spans="2:7" ht="12" x14ac:dyDescent="0.2">
      <c r="B4" s="57"/>
      <c r="C4" s="58"/>
      <c r="D4" s="57"/>
      <c r="E4" s="180"/>
      <c r="F4" s="181"/>
    </row>
    <row r="5" spans="2:7" ht="12" x14ac:dyDescent="0.2">
      <c r="B5" s="57"/>
      <c r="C5" s="58"/>
      <c r="D5" t="s">
        <v>173</v>
      </c>
      <c r="E5" s="180"/>
      <c r="F5" s="181"/>
    </row>
    <row r="6" spans="2:7" ht="12" x14ac:dyDescent="0.2">
      <c r="B6" s="57" t="str">
        <f>'Name List'!B6</f>
        <v>Stuart Anderson</v>
      </c>
      <c r="C6" s="60">
        <f>'Scores and stats'!RM6</f>
        <v>0</v>
      </c>
      <c r="D6" t="str">
        <f>IF(C6=0,"",RANK(C6,$C$6:$C$105,-1))</f>
        <v/>
      </c>
      <c r="E6" s="180" t="str" cm="1">
        <f t="array" ref="E6:G105">_xlfn._xlws.SORT(B6:D105,3,1)</f>
        <v>Danny Jones</v>
      </c>
      <c r="F6" s="181">
        <v>75</v>
      </c>
      <c r="G6">
        <v>87</v>
      </c>
    </row>
    <row r="7" spans="2:7" ht="12" x14ac:dyDescent="0.2">
      <c r="B7" s="57" t="str">
        <f>'Name List'!B7</f>
        <v>Max Ball</v>
      </c>
      <c r="C7" s="60">
        <f>'Scores and stats'!RM7</f>
        <v>83</v>
      </c>
      <c r="D7">
        <f t="shared" ref="D7:D70" si="0">IF(C7=0,"",RANK(C7,$C$6:$C$105,-1))</f>
        <v>93</v>
      </c>
      <c r="E7" s="180" t="str">
        <v>Dan Thomas</v>
      </c>
      <c r="F7" s="181">
        <v>78</v>
      </c>
      <c r="G7">
        <v>88</v>
      </c>
    </row>
    <row r="8" spans="2:7" ht="12" x14ac:dyDescent="0.2">
      <c r="B8" s="57" t="str">
        <f>'Name List'!B8</f>
        <v>Harley Bishop</v>
      </c>
      <c r="C8" s="60">
        <f>'Scores and stats'!RM8</f>
        <v>0</v>
      </c>
      <c r="D8" t="str">
        <f t="shared" si="0"/>
        <v/>
      </c>
      <c r="E8" s="180" t="str">
        <v>Chris Smith</v>
      </c>
      <c r="F8" s="181">
        <v>79</v>
      </c>
      <c r="G8">
        <v>89</v>
      </c>
    </row>
    <row r="9" spans="2:7" ht="12" x14ac:dyDescent="0.2">
      <c r="B9" s="57" t="str">
        <f>'Name List'!B9</f>
        <v>Chris Burroughs</v>
      </c>
      <c r="C9" s="60">
        <f>'Scores and stats'!RM9</f>
        <v>0</v>
      </c>
      <c r="D9" t="str">
        <f t="shared" si="0"/>
        <v/>
      </c>
      <c r="E9" s="180" t="str">
        <v>Shaun Alexander</v>
      </c>
      <c r="F9" s="181">
        <v>80</v>
      </c>
      <c r="G9">
        <v>90</v>
      </c>
    </row>
    <row r="10" spans="2:7" ht="12" x14ac:dyDescent="0.2">
      <c r="B10" s="57" t="str">
        <f>'Name List'!B10</f>
        <v>George Burton</v>
      </c>
      <c r="C10" s="60">
        <f>'Scores and stats'!RM10</f>
        <v>0</v>
      </c>
      <c r="D10" t="str">
        <f t="shared" si="0"/>
        <v/>
      </c>
      <c r="E10" s="180" t="str">
        <v>Gareth Davies</v>
      </c>
      <c r="F10" s="181">
        <v>82</v>
      </c>
      <c r="G10">
        <v>91</v>
      </c>
    </row>
    <row r="11" spans="2:7" ht="12" x14ac:dyDescent="0.2">
      <c r="B11" s="57" t="str">
        <f>'Name List'!B11</f>
        <v>Tom Burton</v>
      </c>
      <c r="C11" s="60">
        <f>'Scores and stats'!RM11</f>
        <v>0</v>
      </c>
      <c r="D11" t="str">
        <f t="shared" si="0"/>
        <v/>
      </c>
      <c r="E11" s="180" t="str">
        <v>Justin Hunt</v>
      </c>
      <c r="F11" s="181">
        <v>82</v>
      </c>
      <c r="G11">
        <v>91</v>
      </c>
    </row>
    <row r="12" spans="2:7" ht="12" x14ac:dyDescent="0.2">
      <c r="B12" s="57" t="str">
        <f>'Name List'!B12</f>
        <v>Mike Chubb</v>
      </c>
      <c r="C12" s="60">
        <f>'Scores and stats'!RM12</f>
        <v>0</v>
      </c>
      <c r="D12" t="str">
        <f t="shared" si="0"/>
        <v/>
      </c>
      <c r="E12" s="180" t="str">
        <v>Max Ball</v>
      </c>
      <c r="F12" s="181">
        <v>83</v>
      </c>
      <c r="G12">
        <v>93</v>
      </c>
    </row>
    <row r="13" spans="2:7" ht="12" x14ac:dyDescent="0.2">
      <c r="B13" s="57" t="str">
        <f>'Name List'!B13</f>
        <v>George Clarke</v>
      </c>
      <c r="C13" s="60">
        <f>'Scores and stats'!RM13</f>
        <v>0</v>
      </c>
      <c r="D13" t="str">
        <f t="shared" si="0"/>
        <v/>
      </c>
      <c r="E13" s="180" t="str">
        <v>Paul Martin</v>
      </c>
      <c r="F13" s="181">
        <v>84</v>
      </c>
      <c r="G13">
        <v>94</v>
      </c>
    </row>
    <row r="14" spans="2:7" ht="12" x14ac:dyDescent="0.2">
      <c r="B14" s="57" t="str">
        <f>'Name List'!B14</f>
        <v>Paul Clarke</v>
      </c>
      <c r="C14" s="60">
        <f>'Scores and stats'!RM14</f>
        <v>0</v>
      </c>
      <c r="D14" t="str">
        <f t="shared" si="0"/>
        <v/>
      </c>
      <c r="E14" s="180" t="str">
        <v>Brad Whitehead</v>
      </c>
      <c r="F14" s="181">
        <v>85</v>
      </c>
      <c r="G14">
        <v>95</v>
      </c>
    </row>
    <row r="15" spans="2:7" ht="12" x14ac:dyDescent="0.2">
      <c r="B15" s="57" t="str">
        <f>'Name List'!B15</f>
        <v>Martin Coomber</v>
      </c>
      <c r="C15" s="60">
        <f>'Scores and stats'!RM15</f>
        <v>0</v>
      </c>
      <c r="D15" t="str">
        <f t="shared" si="0"/>
        <v/>
      </c>
      <c r="E15" s="180" t="str">
        <v>Ben Fleet</v>
      </c>
      <c r="F15" s="181">
        <v>89</v>
      </c>
      <c r="G15">
        <v>96</v>
      </c>
    </row>
    <row r="16" spans="2:7" ht="12" x14ac:dyDescent="0.2">
      <c r="B16" s="57" t="str">
        <f>'Name List'!B16</f>
        <v>Dominic Coughlin</v>
      </c>
      <c r="C16" s="60">
        <f>'Scores and stats'!RM16</f>
        <v>0</v>
      </c>
      <c r="D16" t="str">
        <f t="shared" si="0"/>
        <v/>
      </c>
      <c r="E16" s="180" t="str">
        <v>Andy Johnson</v>
      </c>
      <c r="F16" s="181">
        <v>93</v>
      </c>
      <c r="G16">
        <v>97</v>
      </c>
    </row>
    <row r="17" spans="2:7" ht="12" x14ac:dyDescent="0.2">
      <c r="B17" s="57" t="str">
        <f>'Name List'!B17</f>
        <v>Gareth Davies</v>
      </c>
      <c r="C17" s="60">
        <f>'Scores and stats'!RM17</f>
        <v>82</v>
      </c>
      <c r="D17">
        <f t="shared" si="0"/>
        <v>91</v>
      </c>
      <c r="E17" s="180" t="str">
        <v>Anthony Harris</v>
      </c>
      <c r="F17" s="181">
        <v>95</v>
      </c>
      <c r="G17">
        <v>98</v>
      </c>
    </row>
    <row r="18" spans="2:7" ht="12" x14ac:dyDescent="0.2">
      <c r="B18" s="57" t="str">
        <f>'Name List'!B18</f>
        <v>Peter Donovan</v>
      </c>
      <c r="C18" s="60">
        <f>'Scores and stats'!RM18</f>
        <v>0</v>
      </c>
      <c r="D18" t="str">
        <f t="shared" si="0"/>
        <v/>
      </c>
      <c r="E18" s="180" t="str">
        <v>Dave Randall</v>
      </c>
      <c r="F18" s="181">
        <v>95</v>
      </c>
      <c r="G18">
        <v>98</v>
      </c>
    </row>
    <row r="19" spans="2:7" ht="12" x14ac:dyDescent="0.2">
      <c r="B19" s="57" t="str">
        <f>'Name List'!B19</f>
        <v>James Dunn</v>
      </c>
      <c r="C19" s="60">
        <f>'Scores and stats'!RM19</f>
        <v>0</v>
      </c>
      <c r="D19" t="str">
        <f t="shared" si="0"/>
        <v/>
      </c>
      <c r="E19" s="180" t="str">
        <v>Tony Forsyth-James</v>
      </c>
      <c r="F19" s="181">
        <v>102</v>
      </c>
      <c r="G19">
        <v>100</v>
      </c>
    </row>
    <row r="20" spans="2:7" ht="12" x14ac:dyDescent="0.2">
      <c r="B20" s="57" t="str">
        <f>'Name List'!B20</f>
        <v>Gordon Fielding</v>
      </c>
      <c r="C20" s="60">
        <f>'Scores and stats'!RM20</f>
        <v>0</v>
      </c>
      <c r="D20" t="str">
        <f t="shared" si="0"/>
        <v/>
      </c>
      <c r="E20" s="180" t="str">
        <v>Stuart Anderson</v>
      </c>
      <c r="F20" s="181">
        <v>0</v>
      </c>
      <c r="G20" t="str">
        <v/>
      </c>
    </row>
    <row r="21" spans="2:7" ht="12" x14ac:dyDescent="0.2">
      <c r="B21" s="57" t="str">
        <f>'Name List'!B21</f>
        <v>Paul Fitzgerald</v>
      </c>
      <c r="C21" s="60">
        <f>'Scores and stats'!RM21</f>
        <v>0</v>
      </c>
      <c r="D21" t="str">
        <f t="shared" si="0"/>
        <v/>
      </c>
      <c r="E21" s="180" t="str">
        <v>Harley Bishop</v>
      </c>
      <c r="F21" s="181">
        <v>0</v>
      </c>
      <c r="G21" t="str">
        <v/>
      </c>
    </row>
    <row r="22" spans="2:7" ht="12" x14ac:dyDescent="0.2">
      <c r="B22" s="57" t="str">
        <f>'Name List'!B22</f>
        <v>Ben Fleet</v>
      </c>
      <c r="C22" s="60">
        <f>'Scores and stats'!RM22</f>
        <v>89</v>
      </c>
      <c r="D22">
        <f t="shared" si="0"/>
        <v>96</v>
      </c>
      <c r="E22" s="180" t="str">
        <v>Chris Burroughs</v>
      </c>
      <c r="F22" s="181">
        <v>0</v>
      </c>
      <c r="G22" t="str">
        <v/>
      </c>
    </row>
    <row r="23" spans="2:7" ht="12" x14ac:dyDescent="0.2">
      <c r="B23" s="57" t="str">
        <f>'Name List'!B23</f>
        <v>Mike Forrest</v>
      </c>
      <c r="C23" s="60">
        <f>'Scores and stats'!RM23</f>
        <v>0</v>
      </c>
      <c r="D23" t="str">
        <f t="shared" si="0"/>
        <v/>
      </c>
      <c r="E23" s="180" t="str">
        <v>George Burton</v>
      </c>
      <c r="F23" s="181">
        <v>0</v>
      </c>
      <c r="G23" t="str">
        <v/>
      </c>
    </row>
    <row r="24" spans="2:7" ht="12" x14ac:dyDescent="0.2">
      <c r="B24" s="57" t="str">
        <f>'Name List'!B24</f>
        <v>Tony Forsyth-James</v>
      </c>
      <c r="C24" s="60">
        <f>'Scores and stats'!RM24</f>
        <v>102</v>
      </c>
      <c r="D24">
        <f t="shared" si="0"/>
        <v>100</v>
      </c>
      <c r="E24" s="180" t="str">
        <v>Tom Burton</v>
      </c>
      <c r="F24" s="181">
        <v>0</v>
      </c>
      <c r="G24" t="str">
        <v/>
      </c>
    </row>
    <row r="25" spans="2:7" ht="12" x14ac:dyDescent="0.2">
      <c r="B25" s="57" t="str">
        <f>'Name List'!B25</f>
        <v>Archie Fraser</v>
      </c>
      <c r="C25" s="60">
        <f>'Scores and stats'!RM25</f>
        <v>0</v>
      </c>
      <c r="D25" t="str">
        <f t="shared" si="0"/>
        <v/>
      </c>
      <c r="E25" s="180" t="str">
        <v>Mike Chubb</v>
      </c>
      <c r="F25" s="181">
        <v>0</v>
      </c>
      <c r="G25" t="str">
        <v/>
      </c>
    </row>
    <row r="26" spans="2:7" ht="12" x14ac:dyDescent="0.2">
      <c r="B26" s="57" t="str">
        <f>'Name List'!B26</f>
        <v>Ross Fraser</v>
      </c>
      <c r="C26" s="60">
        <f>'Scores and stats'!RM26</f>
        <v>0</v>
      </c>
      <c r="D26" t="str">
        <f t="shared" si="0"/>
        <v/>
      </c>
      <c r="E26" s="180" t="str">
        <v>George Clarke</v>
      </c>
      <c r="F26" s="181">
        <v>0</v>
      </c>
      <c r="G26" t="str">
        <v/>
      </c>
    </row>
    <row r="27" spans="2:7" ht="12" x14ac:dyDescent="0.2">
      <c r="B27" s="57" t="str">
        <f>'Name List'!B27</f>
        <v>Nick Garner</v>
      </c>
      <c r="C27" s="60">
        <f>'Scores and stats'!RM27</f>
        <v>0</v>
      </c>
      <c r="D27" t="str">
        <f t="shared" si="0"/>
        <v/>
      </c>
      <c r="E27" s="180" t="str">
        <v>Paul Clarke</v>
      </c>
      <c r="F27" s="181">
        <v>0</v>
      </c>
      <c r="G27" t="str">
        <v/>
      </c>
    </row>
    <row r="28" spans="2:7" ht="12" x14ac:dyDescent="0.2">
      <c r="B28" s="57" t="str">
        <f>'Name List'!B28</f>
        <v>Stuart Gay</v>
      </c>
      <c r="C28" s="60">
        <f>'Scores and stats'!RM28</f>
        <v>0</v>
      </c>
      <c r="D28" t="str">
        <f t="shared" si="0"/>
        <v/>
      </c>
      <c r="E28" s="180" t="str">
        <v>Martin Coomber</v>
      </c>
      <c r="F28" s="181">
        <v>0</v>
      </c>
      <c r="G28" t="str">
        <v/>
      </c>
    </row>
    <row r="29" spans="2:7" ht="12" x14ac:dyDescent="0.2">
      <c r="B29" s="57" t="str">
        <f>'Name List'!B29</f>
        <v>Jordan Hall</v>
      </c>
      <c r="C29" s="60">
        <f>'Scores and stats'!RM29</f>
        <v>0</v>
      </c>
      <c r="D29" t="str">
        <f t="shared" si="0"/>
        <v/>
      </c>
      <c r="E29" s="180" t="str">
        <v>Dominic Coughlin</v>
      </c>
      <c r="F29" s="181">
        <v>0</v>
      </c>
      <c r="G29" t="str">
        <v/>
      </c>
    </row>
    <row r="30" spans="2:7" ht="12" x14ac:dyDescent="0.2">
      <c r="B30" s="57" t="str">
        <f>'Name List'!B30</f>
        <v>Gary Hall</v>
      </c>
      <c r="C30" s="60">
        <f>'Scores and stats'!RM30</f>
        <v>0</v>
      </c>
      <c r="D30" t="str">
        <f t="shared" si="0"/>
        <v/>
      </c>
      <c r="E30" s="180" t="str">
        <v>Peter Donovan</v>
      </c>
      <c r="F30" s="181">
        <v>0</v>
      </c>
      <c r="G30" t="str">
        <v/>
      </c>
    </row>
    <row r="31" spans="2:7" ht="12" x14ac:dyDescent="0.2">
      <c r="B31" s="57" t="str">
        <f>'Name List'!B31</f>
        <v>Anthony Harris</v>
      </c>
      <c r="C31" s="60">
        <f>'Scores and stats'!RM31</f>
        <v>95</v>
      </c>
      <c r="D31">
        <f t="shared" si="0"/>
        <v>98</v>
      </c>
      <c r="E31" s="180" t="str">
        <v>James Dunn</v>
      </c>
      <c r="F31" s="181">
        <v>0</v>
      </c>
      <c r="G31" t="str">
        <v/>
      </c>
    </row>
    <row r="32" spans="2:7" ht="12" x14ac:dyDescent="0.2">
      <c r="B32" s="57" t="str">
        <f>'Name List'!B32</f>
        <v>Neil Hart</v>
      </c>
      <c r="C32" s="60">
        <f>'Scores and stats'!RM32</f>
        <v>0</v>
      </c>
      <c r="D32" t="str">
        <f t="shared" si="0"/>
        <v/>
      </c>
      <c r="E32" s="180" t="str">
        <v>Gordon Fielding</v>
      </c>
      <c r="F32" s="181">
        <v>0</v>
      </c>
      <c r="G32" t="str">
        <v/>
      </c>
    </row>
    <row r="33" spans="2:7" ht="12" x14ac:dyDescent="0.2">
      <c r="B33" s="57" t="str">
        <f>'Name List'!B33</f>
        <v>Tony Hearson</v>
      </c>
      <c r="C33" s="60">
        <f>'Scores and stats'!RM33</f>
        <v>0</v>
      </c>
      <c r="D33" t="str">
        <f t="shared" si="0"/>
        <v/>
      </c>
      <c r="E33" s="180" t="str">
        <v>Paul Fitzgerald</v>
      </c>
      <c r="F33" s="181">
        <v>0</v>
      </c>
      <c r="G33" t="str">
        <v/>
      </c>
    </row>
    <row r="34" spans="2:7" ht="12" x14ac:dyDescent="0.2">
      <c r="B34" s="57" t="str">
        <f>'Name List'!B34</f>
        <v>David Hilton</v>
      </c>
      <c r="C34" s="60">
        <f>'Scores and stats'!RM34</f>
        <v>0</v>
      </c>
      <c r="D34" t="str">
        <f t="shared" si="0"/>
        <v/>
      </c>
      <c r="E34" s="180" t="str">
        <v>Mike Forrest</v>
      </c>
      <c r="F34" s="181">
        <v>0</v>
      </c>
      <c r="G34" t="str">
        <v/>
      </c>
    </row>
    <row r="35" spans="2:7" ht="12" x14ac:dyDescent="0.2">
      <c r="B35" s="57" t="str">
        <f>'Name List'!B35</f>
        <v>Eoghan Hilton</v>
      </c>
      <c r="C35" s="60">
        <f>'Scores and stats'!RM35</f>
        <v>0</v>
      </c>
      <c r="D35" t="str">
        <f t="shared" si="0"/>
        <v/>
      </c>
      <c r="E35" s="180" t="str">
        <v>Archie Fraser</v>
      </c>
      <c r="F35" s="181">
        <v>0</v>
      </c>
      <c r="G35" t="str">
        <v/>
      </c>
    </row>
    <row r="36" spans="2:7" ht="12" x14ac:dyDescent="0.2">
      <c r="B36" s="57" t="str">
        <f>'Name List'!B36</f>
        <v>Martin Holder</v>
      </c>
      <c r="C36" s="60">
        <f>'Scores and stats'!RM36</f>
        <v>0</v>
      </c>
      <c r="D36" t="str">
        <f t="shared" si="0"/>
        <v/>
      </c>
      <c r="E36" s="180" t="str">
        <v>Ross Fraser</v>
      </c>
      <c r="F36" s="181">
        <v>0</v>
      </c>
      <c r="G36" t="str">
        <v/>
      </c>
    </row>
    <row r="37" spans="2:7" ht="12" x14ac:dyDescent="0.2">
      <c r="B37" s="57" t="str">
        <f>'Name List'!B37</f>
        <v>Justin Hunt</v>
      </c>
      <c r="C37" s="60">
        <f>'Scores and stats'!RM37</f>
        <v>82</v>
      </c>
      <c r="D37">
        <f t="shared" si="0"/>
        <v>91</v>
      </c>
      <c r="E37" s="180" t="str">
        <v>Nick Garner</v>
      </c>
      <c r="F37" s="181">
        <v>0</v>
      </c>
      <c r="G37" t="str">
        <v/>
      </c>
    </row>
    <row r="38" spans="2:7" ht="12" x14ac:dyDescent="0.2">
      <c r="B38" s="57" t="str">
        <f>'Name List'!B38</f>
        <v>Mark Hutchinson</v>
      </c>
      <c r="C38" s="60">
        <f>'Scores and stats'!RM38</f>
        <v>0</v>
      </c>
      <c r="D38" t="str">
        <f t="shared" si="0"/>
        <v/>
      </c>
      <c r="E38" s="180" t="str">
        <v>Stuart Gay</v>
      </c>
      <c r="F38" s="181">
        <v>0</v>
      </c>
      <c r="G38" t="str">
        <v/>
      </c>
    </row>
    <row r="39" spans="2:7" ht="12" x14ac:dyDescent="0.2">
      <c r="B39" s="57" t="str">
        <f>'Name List'!B39</f>
        <v>Andy Johnson</v>
      </c>
      <c r="C39" s="60">
        <f>'Scores and stats'!RM39</f>
        <v>93</v>
      </c>
      <c r="D39">
        <f t="shared" si="0"/>
        <v>97</v>
      </c>
      <c r="E39" s="180" t="str">
        <v>Jordan Hall</v>
      </c>
      <c r="F39" s="181">
        <v>0</v>
      </c>
      <c r="G39" t="str">
        <v/>
      </c>
    </row>
    <row r="40" spans="2:7" ht="12" x14ac:dyDescent="0.2">
      <c r="B40" s="57" t="str">
        <f>'Name List'!B40</f>
        <v>Oli Lloyd</v>
      </c>
      <c r="C40" s="60">
        <f>'Scores and stats'!RM40</f>
        <v>0</v>
      </c>
      <c r="D40" t="str">
        <f t="shared" si="0"/>
        <v/>
      </c>
      <c r="E40" s="180" t="str">
        <v>Gary Hall</v>
      </c>
      <c r="F40" s="181">
        <v>0</v>
      </c>
      <c r="G40" t="str">
        <v/>
      </c>
    </row>
    <row r="41" spans="2:7" ht="12" x14ac:dyDescent="0.2">
      <c r="B41" s="57" t="str">
        <f>'Name List'!B41</f>
        <v>Andy Lucey</v>
      </c>
      <c r="C41" s="60">
        <f>'Scores and stats'!RM41</f>
        <v>0</v>
      </c>
      <c r="D41" t="str">
        <f t="shared" si="0"/>
        <v/>
      </c>
      <c r="E41" s="180" t="str">
        <v>Neil Hart</v>
      </c>
      <c r="F41" s="181">
        <v>0</v>
      </c>
      <c r="G41" t="str">
        <v/>
      </c>
    </row>
    <row r="42" spans="2:7" ht="12" x14ac:dyDescent="0.2">
      <c r="B42" s="57" t="str">
        <f>'Name List'!B42</f>
        <v>Paul Martin</v>
      </c>
      <c r="C42" s="60">
        <f>'Scores and stats'!RM42</f>
        <v>84</v>
      </c>
      <c r="D42">
        <f t="shared" si="0"/>
        <v>94</v>
      </c>
      <c r="E42" s="180" t="str">
        <v>Tony Hearson</v>
      </c>
      <c r="F42" s="181">
        <v>0</v>
      </c>
      <c r="G42" t="str">
        <v/>
      </c>
    </row>
    <row r="43" spans="2:7" ht="12" x14ac:dyDescent="0.2">
      <c r="B43" s="57" t="str">
        <f>'Name List'!B43</f>
        <v>Edward Money</v>
      </c>
      <c r="C43" s="60">
        <f>'Scores and stats'!RM43</f>
        <v>0</v>
      </c>
      <c r="D43" t="str">
        <f t="shared" si="0"/>
        <v/>
      </c>
      <c r="E43" s="180" t="str">
        <v>David Hilton</v>
      </c>
      <c r="F43" s="181">
        <v>0</v>
      </c>
      <c r="G43" t="str">
        <v/>
      </c>
    </row>
    <row r="44" spans="2:7" ht="12" x14ac:dyDescent="0.2">
      <c r="B44" s="57" t="str">
        <f>'Name List'!B44</f>
        <v>Dickie Moxham</v>
      </c>
      <c r="C44" s="60">
        <f>'Scores and stats'!RM44</f>
        <v>0</v>
      </c>
      <c r="D44" t="str">
        <f t="shared" si="0"/>
        <v/>
      </c>
      <c r="E44" s="180" t="str">
        <v>Eoghan Hilton</v>
      </c>
      <c r="F44" s="181">
        <v>0</v>
      </c>
      <c r="G44" t="str">
        <v/>
      </c>
    </row>
    <row r="45" spans="2:7" ht="12" x14ac:dyDescent="0.2">
      <c r="B45" s="57" t="str">
        <f>'Name List'!B45</f>
        <v>Dave Randall</v>
      </c>
      <c r="C45" s="60">
        <f>'Scores and stats'!RM45</f>
        <v>95</v>
      </c>
      <c r="D45">
        <f t="shared" si="0"/>
        <v>98</v>
      </c>
      <c r="E45" s="180" t="str">
        <v>Martin Holder</v>
      </c>
      <c r="F45" s="181">
        <v>0</v>
      </c>
      <c r="G45" t="str">
        <v/>
      </c>
    </row>
    <row r="46" spans="2:7" ht="12" x14ac:dyDescent="0.2">
      <c r="B46" s="57" t="str">
        <f>'Name List'!B46</f>
        <v>Arron Rutherford</v>
      </c>
      <c r="C46" s="60">
        <f>'Scores and stats'!RM46</f>
        <v>0</v>
      </c>
      <c r="D46" t="str">
        <f t="shared" si="0"/>
        <v/>
      </c>
      <c r="E46" s="180" t="str">
        <v>Mark Hutchinson</v>
      </c>
      <c r="F46" s="181">
        <v>0</v>
      </c>
      <c r="G46" t="str">
        <v/>
      </c>
    </row>
    <row r="47" spans="2:7" ht="12" x14ac:dyDescent="0.2">
      <c r="B47" s="57" t="str">
        <f>'Name List'!B47</f>
        <v>Terry Shoker</v>
      </c>
      <c r="C47" s="60">
        <f>'Scores and stats'!RM47</f>
        <v>0</v>
      </c>
      <c r="D47" t="str">
        <f t="shared" si="0"/>
        <v/>
      </c>
      <c r="E47" s="180" t="str">
        <v>Oli Lloyd</v>
      </c>
      <c r="F47" s="181">
        <v>0</v>
      </c>
      <c r="G47" t="str">
        <v/>
      </c>
    </row>
    <row r="48" spans="2:7" ht="12" x14ac:dyDescent="0.2">
      <c r="B48" s="57" t="str">
        <f>'Name List'!B48</f>
        <v>Chris Smith</v>
      </c>
      <c r="C48" s="60">
        <f>'Scores and stats'!RM48</f>
        <v>79</v>
      </c>
      <c r="D48">
        <f t="shared" si="0"/>
        <v>89</v>
      </c>
      <c r="E48" s="180" t="str">
        <v>Andy Lucey</v>
      </c>
      <c r="F48" s="181">
        <v>0</v>
      </c>
      <c r="G48" t="str">
        <v/>
      </c>
    </row>
    <row r="49" spans="2:7" ht="12" x14ac:dyDescent="0.2">
      <c r="B49" s="57" t="str">
        <f>'Name List'!B49</f>
        <v>Justin Spencer</v>
      </c>
      <c r="C49" s="60">
        <f>'Scores and stats'!RM49</f>
        <v>0</v>
      </c>
      <c r="D49" t="str">
        <f t="shared" si="0"/>
        <v/>
      </c>
      <c r="E49" s="180" t="str">
        <v>Edward Money</v>
      </c>
      <c r="F49" s="181">
        <v>0</v>
      </c>
      <c r="G49" t="str">
        <v/>
      </c>
    </row>
    <row r="50" spans="2:7" ht="12" x14ac:dyDescent="0.2">
      <c r="B50" s="57" t="str">
        <f>'Name List'!B50</f>
        <v>Jake Sprosen</v>
      </c>
      <c r="C50" s="60">
        <f>'Scores and stats'!RM50</f>
        <v>0</v>
      </c>
      <c r="D50" t="str">
        <f t="shared" si="0"/>
        <v/>
      </c>
      <c r="E50" s="180" t="str">
        <v>Dickie Moxham</v>
      </c>
      <c r="F50" s="181">
        <v>0</v>
      </c>
      <c r="G50" t="str">
        <v/>
      </c>
    </row>
    <row r="51" spans="2:7" ht="12" x14ac:dyDescent="0.2">
      <c r="B51" s="57" t="str">
        <f>'Name List'!B51</f>
        <v>Tosh Sprosen</v>
      </c>
      <c r="C51" s="60">
        <f>'Scores and stats'!RM51</f>
        <v>0</v>
      </c>
      <c r="D51" t="str">
        <f t="shared" si="0"/>
        <v/>
      </c>
      <c r="E51" s="180" t="str">
        <v>Arron Rutherford</v>
      </c>
      <c r="F51" s="181">
        <v>0</v>
      </c>
      <c r="G51" t="str">
        <v/>
      </c>
    </row>
    <row r="52" spans="2:7" ht="12" x14ac:dyDescent="0.2">
      <c r="B52" s="57" t="str">
        <f>'Name List'!B52</f>
        <v>Bill Sutton</v>
      </c>
      <c r="C52" s="60">
        <f>'Scores and stats'!RM52</f>
        <v>0</v>
      </c>
      <c r="D52" t="str">
        <f t="shared" si="0"/>
        <v/>
      </c>
      <c r="E52" s="180" t="str">
        <v>Terry Shoker</v>
      </c>
      <c r="F52" s="181">
        <v>0</v>
      </c>
      <c r="G52" t="str">
        <v/>
      </c>
    </row>
    <row r="53" spans="2:7" ht="12" x14ac:dyDescent="0.2">
      <c r="B53" s="57" t="str">
        <f>'Name List'!B53</f>
        <v>Dan Thomas</v>
      </c>
      <c r="C53" s="60">
        <f>'Scores and stats'!RM53</f>
        <v>78</v>
      </c>
      <c r="D53">
        <f t="shared" si="0"/>
        <v>88</v>
      </c>
      <c r="E53" s="180" t="str">
        <v>Justin Spencer</v>
      </c>
      <c r="F53" s="181">
        <v>0</v>
      </c>
      <c r="G53" t="str">
        <v/>
      </c>
    </row>
    <row r="54" spans="2:7" ht="12" x14ac:dyDescent="0.2">
      <c r="B54" s="57" t="str">
        <f>'Name List'!B54</f>
        <v>Andy Thompson</v>
      </c>
      <c r="C54" s="60">
        <f>'Scores and stats'!RM54</f>
        <v>0</v>
      </c>
      <c r="D54" t="str">
        <f t="shared" si="0"/>
        <v/>
      </c>
      <c r="E54" s="180" t="str">
        <v>Jake Sprosen</v>
      </c>
      <c r="F54" s="181">
        <v>0</v>
      </c>
      <c r="G54" t="str">
        <v/>
      </c>
    </row>
    <row r="55" spans="2:7" ht="12" x14ac:dyDescent="0.2">
      <c r="B55" s="57" t="str">
        <f>'Name List'!B55</f>
        <v>Rory Thompson</v>
      </c>
      <c r="C55" s="60">
        <f>'Scores and stats'!RM55</f>
        <v>0</v>
      </c>
      <c r="D55" t="str">
        <f t="shared" si="0"/>
        <v/>
      </c>
      <c r="E55" s="180" t="str">
        <v>Tosh Sprosen</v>
      </c>
      <c r="F55" s="181">
        <v>0</v>
      </c>
      <c r="G55" t="str">
        <v/>
      </c>
    </row>
    <row r="56" spans="2:7" ht="12" x14ac:dyDescent="0.2">
      <c r="B56" s="57" t="str">
        <f>'Name List'!B56</f>
        <v>Sonny Thompson</v>
      </c>
      <c r="C56" s="60">
        <f>'Scores and stats'!RM56</f>
        <v>0</v>
      </c>
      <c r="D56" t="str">
        <f t="shared" si="0"/>
        <v/>
      </c>
      <c r="E56" s="180" t="str">
        <v>Bill Sutton</v>
      </c>
      <c r="F56" s="181">
        <v>0</v>
      </c>
      <c r="G56" t="str">
        <v/>
      </c>
    </row>
    <row r="57" spans="2:7" ht="12" x14ac:dyDescent="0.2">
      <c r="B57" s="57" t="str">
        <f>'Name List'!B57</f>
        <v>Kevin Tribley</v>
      </c>
      <c r="C57" s="60">
        <f>'Scores and stats'!RM57</f>
        <v>0</v>
      </c>
      <c r="D57" t="str">
        <f t="shared" si="0"/>
        <v/>
      </c>
      <c r="E57" s="180" t="str">
        <v>Andy Thompson</v>
      </c>
      <c r="F57" s="181">
        <v>0</v>
      </c>
      <c r="G57" t="str">
        <v/>
      </c>
    </row>
    <row r="58" spans="2:7" ht="12" x14ac:dyDescent="0.2">
      <c r="B58" s="57" t="str">
        <f>'Name List'!B58</f>
        <v>Russell Turner</v>
      </c>
      <c r="C58" s="60">
        <f>'Scores and stats'!RM58</f>
        <v>0</v>
      </c>
      <c r="D58" t="str">
        <f t="shared" si="0"/>
        <v/>
      </c>
      <c r="E58" s="180" t="str">
        <v>Rory Thompson</v>
      </c>
      <c r="F58" s="181">
        <v>0</v>
      </c>
      <c r="G58" t="str">
        <v/>
      </c>
    </row>
    <row r="59" spans="2:7" ht="12" x14ac:dyDescent="0.2">
      <c r="B59" s="57" t="str">
        <f>'Name List'!B59</f>
        <v>Peter Vallely</v>
      </c>
      <c r="C59" s="60">
        <f>'Scores and stats'!RM59</f>
        <v>0</v>
      </c>
      <c r="D59" t="str">
        <f t="shared" si="0"/>
        <v/>
      </c>
      <c r="E59" s="180" t="str">
        <v>Sonny Thompson</v>
      </c>
      <c r="F59" s="181">
        <v>0</v>
      </c>
      <c r="G59" t="str">
        <v/>
      </c>
    </row>
    <row r="60" spans="2:7" ht="12" x14ac:dyDescent="0.2">
      <c r="B60" s="57" t="str">
        <f>'Name List'!B60</f>
        <v>Ryan Vaughan</v>
      </c>
      <c r="C60" s="60">
        <f>'Scores and stats'!RM60</f>
        <v>0</v>
      </c>
      <c r="D60" t="str">
        <f t="shared" si="0"/>
        <v/>
      </c>
      <c r="E60" s="180" t="str">
        <v>Kevin Tribley</v>
      </c>
      <c r="F60" s="181">
        <v>0</v>
      </c>
      <c r="G60" t="str">
        <v/>
      </c>
    </row>
    <row r="61" spans="2:7" ht="12" x14ac:dyDescent="0.2">
      <c r="B61" s="57" t="str">
        <f>'Name List'!B61</f>
        <v>Jason Wale</v>
      </c>
      <c r="C61" s="60">
        <f>'Scores and stats'!RM61</f>
        <v>0</v>
      </c>
      <c r="D61" t="str">
        <f t="shared" si="0"/>
        <v/>
      </c>
      <c r="E61" s="180" t="str">
        <v>Russell Turner</v>
      </c>
      <c r="F61" s="181">
        <v>0</v>
      </c>
      <c r="G61" t="str">
        <v/>
      </c>
    </row>
    <row r="62" spans="2:7" ht="12" x14ac:dyDescent="0.2">
      <c r="B62" s="57" t="str">
        <f>'Name List'!B62</f>
        <v>Terry Walker</v>
      </c>
      <c r="C62" s="60">
        <f>'Scores and stats'!RM62</f>
        <v>0</v>
      </c>
      <c r="D62" t="str">
        <f t="shared" si="0"/>
        <v/>
      </c>
      <c r="E62" s="180" t="str">
        <v>Peter Vallely</v>
      </c>
      <c r="F62" s="181">
        <v>0</v>
      </c>
      <c r="G62" t="str">
        <v/>
      </c>
    </row>
    <row r="63" spans="2:7" ht="12" x14ac:dyDescent="0.2">
      <c r="B63" s="57" t="str">
        <f>'Name List'!B63</f>
        <v>Finn Wheeler</v>
      </c>
      <c r="C63" s="60">
        <f>'Scores and stats'!RM63</f>
        <v>0</v>
      </c>
      <c r="D63" t="str">
        <f t="shared" si="0"/>
        <v/>
      </c>
      <c r="E63" s="180" t="str">
        <v>Ryan Vaughan</v>
      </c>
      <c r="F63" s="181">
        <v>0</v>
      </c>
      <c r="G63" t="str">
        <v/>
      </c>
    </row>
    <row r="64" spans="2:7" ht="12" x14ac:dyDescent="0.2">
      <c r="B64" s="57" t="str">
        <f>'Name List'!B64</f>
        <v>Steve Wheeler</v>
      </c>
      <c r="C64" s="60">
        <f>'Scores and stats'!RM64</f>
        <v>0</v>
      </c>
      <c r="D64" t="str">
        <f t="shared" si="0"/>
        <v/>
      </c>
      <c r="E64" s="180" t="str">
        <v>Jason Wale</v>
      </c>
      <c r="F64" s="181">
        <v>0</v>
      </c>
      <c r="G64" t="str">
        <v/>
      </c>
    </row>
    <row r="65" spans="2:7" ht="12" x14ac:dyDescent="0.2">
      <c r="B65" s="57" t="str">
        <f>'Name List'!B65</f>
        <v>Brad Whitehead</v>
      </c>
      <c r="C65" s="60">
        <f>'Scores and stats'!RM65</f>
        <v>85</v>
      </c>
      <c r="D65">
        <f t="shared" si="0"/>
        <v>95</v>
      </c>
      <c r="E65" s="180" t="str">
        <v>Terry Walker</v>
      </c>
      <c r="F65" s="181">
        <v>0</v>
      </c>
      <c r="G65" t="str">
        <v/>
      </c>
    </row>
    <row r="66" spans="2:7" ht="12" x14ac:dyDescent="0.2">
      <c r="B66" s="57" t="str">
        <f>'Name List'!B66</f>
        <v>Dave Woodget</v>
      </c>
      <c r="C66" s="60">
        <f>'Scores and stats'!RM66</f>
        <v>0</v>
      </c>
      <c r="D66" t="str">
        <f t="shared" si="0"/>
        <v/>
      </c>
      <c r="E66" s="180" t="str">
        <v>Finn Wheeler</v>
      </c>
      <c r="F66" s="181">
        <v>0</v>
      </c>
      <c r="G66" t="str">
        <v/>
      </c>
    </row>
    <row r="67" spans="2:7" ht="12" x14ac:dyDescent="0.2">
      <c r="B67" s="57" t="str">
        <f>'Name List'!B67</f>
        <v>Jonathan Kanareck</v>
      </c>
      <c r="C67" s="60">
        <f>'Scores and stats'!RM67</f>
        <v>0</v>
      </c>
      <c r="D67" t="str">
        <f t="shared" si="0"/>
        <v/>
      </c>
      <c r="E67" s="180" t="str">
        <v>Steve Wheeler</v>
      </c>
      <c r="F67" s="181">
        <v>0</v>
      </c>
      <c r="G67" t="str">
        <v/>
      </c>
    </row>
    <row r="68" spans="2:7" ht="12" x14ac:dyDescent="0.2">
      <c r="B68" s="57" t="str">
        <f>'Name List'!B68</f>
        <v>Oliver Proud</v>
      </c>
      <c r="C68" s="60">
        <f>'Scores and stats'!RM68</f>
        <v>0</v>
      </c>
      <c r="D68" t="str">
        <f t="shared" si="0"/>
        <v/>
      </c>
      <c r="E68" s="180" t="str">
        <v>Dave Woodget</v>
      </c>
      <c r="F68" s="181">
        <v>0</v>
      </c>
      <c r="G68" t="str">
        <v/>
      </c>
    </row>
    <row r="69" spans="2:7" ht="12" x14ac:dyDescent="0.2">
      <c r="B69" s="57" t="str">
        <f>'Name List'!B69</f>
        <v>Joe Hooper</v>
      </c>
      <c r="C69" s="60">
        <f>'Scores and stats'!RM69</f>
        <v>0</v>
      </c>
      <c r="D69" t="str">
        <f t="shared" si="0"/>
        <v/>
      </c>
      <c r="E69" s="180" t="str">
        <v>Jonathan Kanareck</v>
      </c>
      <c r="F69" s="181">
        <v>0</v>
      </c>
      <c r="G69" t="str">
        <v/>
      </c>
    </row>
    <row r="70" spans="2:7" ht="12" x14ac:dyDescent="0.2">
      <c r="B70" s="57" t="str">
        <f>'Name List'!B70</f>
        <v>Danny Jones</v>
      </c>
      <c r="C70" s="60">
        <f>'Scores and stats'!RM70</f>
        <v>75</v>
      </c>
      <c r="D70">
        <f t="shared" si="0"/>
        <v>87</v>
      </c>
      <c r="E70" s="180" t="str">
        <v>Oliver Proud</v>
      </c>
      <c r="F70" s="181">
        <v>0</v>
      </c>
      <c r="G70" t="str">
        <v/>
      </c>
    </row>
    <row r="71" spans="2:7" ht="12" x14ac:dyDescent="0.2">
      <c r="B71" s="57" t="str">
        <f>'Name List'!B71</f>
        <v>Liam Anderson</v>
      </c>
      <c r="C71" s="60">
        <f>'Scores and stats'!RM71</f>
        <v>0</v>
      </c>
      <c r="D71" t="str">
        <f t="shared" ref="D71:D105" si="1">IF(C71=0,"",RANK(C71,$C$6:$C$105,-1))</f>
        <v/>
      </c>
      <c r="E71" s="180" t="str">
        <v>Joe Hooper</v>
      </c>
      <c r="F71" s="181">
        <v>0</v>
      </c>
      <c r="G71" t="str">
        <v/>
      </c>
    </row>
    <row r="72" spans="2:7" ht="12" x14ac:dyDescent="0.2">
      <c r="B72" s="57" t="str">
        <f>'Name List'!B72</f>
        <v>Sam Cochrane</v>
      </c>
      <c r="C72" s="60">
        <f>'Scores and stats'!RM72</f>
        <v>0</v>
      </c>
      <c r="D72" t="str">
        <f t="shared" si="1"/>
        <v/>
      </c>
      <c r="E72" s="180" t="str">
        <v>Liam Anderson</v>
      </c>
      <c r="F72" s="181">
        <v>0</v>
      </c>
      <c r="G72" t="str">
        <v/>
      </c>
    </row>
    <row r="73" spans="2:7" ht="12" x14ac:dyDescent="0.2">
      <c r="B73" s="57" t="str">
        <f>'Name List'!B73</f>
        <v>Shaun Alexander</v>
      </c>
      <c r="C73" s="60">
        <f>'Scores and stats'!RM73</f>
        <v>80</v>
      </c>
      <c r="D73">
        <f t="shared" si="1"/>
        <v>90</v>
      </c>
      <c r="E73" s="180" t="str">
        <v>Sam Cochrane</v>
      </c>
      <c r="F73" s="181">
        <v>0</v>
      </c>
      <c r="G73" t="str">
        <v/>
      </c>
    </row>
    <row r="74" spans="2:7" ht="12" x14ac:dyDescent="0.2">
      <c r="B74" s="57" t="str">
        <f>'Name List'!B74</f>
        <v>Kyle Deane</v>
      </c>
      <c r="C74" s="60">
        <f>'Scores and stats'!RM74</f>
        <v>0</v>
      </c>
      <c r="D74" t="str">
        <f t="shared" si="1"/>
        <v/>
      </c>
      <c r="E74" s="180" t="str">
        <v>Kyle Deane</v>
      </c>
      <c r="F74" s="181">
        <v>0</v>
      </c>
      <c r="G74" t="str">
        <v/>
      </c>
    </row>
    <row r="75" spans="2:7" ht="12" x14ac:dyDescent="0.2">
      <c r="B75" s="57">
        <f>'Name List'!B75</f>
        <v>1</v>
      </c>
      <c r="C75" s="60">
        <f>'Scores and stats'!RM75</f>
        <v>0</v>
      </c>
      <c r="D75" t="str">
        <f t="shared" si="1"/>
        <v/>
      </c>
      <c r="E75" s="180">
        <v>1</v>
      </c>
      <c r="F75" s="181">
        <v>0</v>
      </c>
      <c r="G75" t="str">
        <v/>
      </c>
    </row>
    <row r="76" spans="2:7" ht="12" x14ac:dyDescent="0.2">
      <c r="B76" s="57">
        <f>'Name List'!B76</f>
        <v>2</v>
      </c>
      <c r="C76" s="60">
        <f>'Scores and stats'!RM76</f>
        <v>0</v>
      </c>
      <c r="D76" t="str">
        <f t="shared" si="1"/>
        <v/>
      </c>
      <c r="E76" s="180">
        <v>2</v>
      </c>
      <c r="F76" s="181">
        <v>0</v>
      </c>
      <c r="G76" t="str">
        <v/>
      </c>
    </row>
    <row r="77" spans="2:7" ht="12" x14ac:dyDescent="0.2">
      <c r="B77" s="57">
        <f>'Name List'!B77</f>
        <v>3</v>
      </c>
      <c r="C77" s="60">
        <f>'Scores and stats'!RM77</f>
        <v>0</v>
      </c>
      <c r="D77" t="str">
        <f t="shared" si="1"/>
        <v/>
      </c>
      <c r="E77" s="180">
        <v>3</v>
      </c>
      <c r="F77" s="181">
        <v>0</v>
      </c>
      <c r="G77" t="str">
        <v/>
      </c>
    </row>
    <row r="78" spans="2:7" ht="12" x14ac:dyDescent="0.2">
      <c r="B78" s="57">
        <f>'Name List'!B78</f>
        <v>4</v>
      </c>
      <c r="C78" s="60">
        <f>'Scores and stats'!RM78</f>
        <v>0</v>
      </c>
      <c r="D78" t="str">
        <f t="shared" si="1"/>
        <v/>
      </c>
      <c r="E78" s="180">
        <v>4</v>
      </c>
      <c r="F78" s="181">
        <v>0</v>
      </c>
      <c r="G78" t="str">
        <v/>
      </c>
    </row>
    <row r="79" spans="2:7" ht="12" x14ac:dyDescent="0.2">
      <c r="B79" s="57">
        <f>'Name List'!B79</f>
        <v>5</v>
      </c>
      <c r="C79" s="60">
        <f>'Scores and stats'!RM79</f>
        <v>0</v>
      </c>
      <c r="D79" t="str">
        <f t="shared" si="1"/>
        <v/>
      </c>
      <c r="E79" s="180">
        <v>5</v>
      </c>
      <c r="F79" s="181">
        <v>0</v>
      </c>
      <c r="G79" t="str">
        <v/>
      </c>
    </row>
    <row r="80" spans="2:7" ht="12" x14ac:dyDescent="0.2">
      <c r="B80" s="57">
        <f>'Name List'!B80</f>
        <v>6</v>
      </c>
      <c r="C80" s="60">
        <f>'Scores and stats'!RM80</f>
        <v>0</v>
      </c>
      <c r="D80" t="str">
        <f t="shared" si="1"/>
        <v/>
      </c>
      <c r="E80" s="180">
        <v>6</v>
      </c>
      <c r="F80" s="181">
        <v>0</v>
      </c>
      <c r="G80" t="str">
        <v/>
      </c>
    </row>
    <row r="81" spans="2:7" ht="12" x14ac:dyDescent="0.2">
      <c r="B81" s="57">
        <f>'Name List'!B81</f>
        <v>7</v>
      </c>
      <c r="C81" s="60">
        <f>'Scores and stats'!RM81</f>
        <v>0</v>
      </c>
      <c r="D81" t="str">
        <f t="shared" si="1"/>
        <v/>
      </c>
      <c r="E81" s="180">
        <v>7</v>
      </c>
      <c r="F81" s="181">
        <v>0</v>
      </c>
      <c r="G81" t="str">
        <v/>
      </c>
    </row>
    <row r="82" spans="2:7" ht="12" x14ac:dyDescent="0.2">
      <c r="B82" s="57">
        <f>'Name List'!B82</f>
        <v>8</v>
      </c>
      <c r="C82" s="60">
        <f>'Scores and stats'!RM82</f>
        <v>0</v>
      </c>
      <c r="D82" t="str">
        <f t="shared" si="1"/>
        <v/>
      </c>
      <c r="E82" s="180">
        <v>8</v>
      </c>
      <c r="F82" s="181">
        <v>0</v>
      </c>
      <c r="G82" t="str">
        <v/>
      </c>
    </row>
    <row r="83" spans="2:7" ht="12" x14ac:dyDescent="0.2">
      <c r="B83" s="57">
        <f>'Name List'!B83</f>
        <v>9</v>
      </c>
      <c r="C83" s="60">
        <f>'Scores and stats'!RM83</f>
        <v>0</v>
      </c>
      <c r="D83" t="str">
        <f t="shared" si="1"/>
        <v/>
      </c>
      <c r="E83" s="180">
        <v>9</v>
      </c>
      <c r="F83" s="181">
        <v>0</v>
      </c>
      <c r="G83" t="str">
        <v/>
      </c>
    </row>
    <row r="84" spans="2:7" ht="12" x14ac:dyDescent="0.2">
      <c r="B84" s="57">
        <f>'Name List'!B84</f>
        <v>10</v>
      </c>
      <c r="C84" s="60">
        <f>'Scores and stats'!RM84</f>
        <v>0</v>
      </c>
      <c r="D84" t="str">
        <f t="shared" si="1"/>
        <v/>
      </c>
      <c r="E84" s="180">
        <v>10</v>
      </c>
      <c r="F84" s="181">
        <v>0</v>
      </c>
      <c r="G84" t="str">
        <v/>
      </c>
    </row>
    <row r="85" spans="2:7" ht="12" x14ac:dyDescent="0.2">
      <c r="B85" s="57">
        <f>'Name List'!B85</f>
        <v>11</v>
      </c>
      <c r="C85" s="60">
        <f>'Scores and stats'!RM85</f>
        <v>0</v>
      </c>
      <c r="D85" t="str">
        <f t="shared" si="1"/>
        <v/>
      </c>
      <c r="E85" s="180">
        <v>11</v>
      </c>
      <c r="F85" s="181">
        <v>0</v>
      </c>
      <c r="G85" t="str">
        <v/>
      </c>
    </row>
    <row r="86" spans="2:7" ht="12" x14ac:dyDescent="0.2">
      <c r="B86" s="57">
        <f>'Name List'!B86</f>
        <v>12</v>
      </c>
      <c r="C86" s="60">
        <f>'Scores and stats'!RM86</f>
        <v>0</v>
      </c>
      <c r="D86" t="str">
        <f t="shared" si="1"/>
        <v/>
      </c>
      <c r="E86" s="180">
        <v>12</v>
      </c>
      <c r="F86" s="181">
        <v>0</v>
      </c>
      <c r="G86" t="str">
        <v/>
      </c>
    </row>
    <row r="87" spans="2:7" ht="12" x14ac:dyDescent="0.2">
      <c r="B87" s="57">
        <f>'Name List'!B87</f>
        <v>13</v>
      </c>
      <c r="C87" s="60">
        <f>'Scores and stats'!RM87</f>
        <v>0</v>
      </c>
      <c r="D87" t="str">
        <f t="shared" si="1"/>
        <v/>
      </c>
      <c r="E87" s="180">
        <v>13</v>
      </c>
      <c r="F87" s="181">
        <v>0</v>
      </c>
      <c r="G87" t="str">
        <v/>
      </c>
    </row>
    <row r="88" spans="2:7" ht="12" x14ac:dyDescent="0.2">
      <c r="B88" s="57">
        <f>'Name List'!B88</f>
        <v>14</v>
      </c>
      <c r="C88" s="60">
        <f>'Scores and stats'!RM88</f>
        <v>0</v>
      </c>
      <c r="D88" t="str">
        <f t="shared" si="1"/>
        <v/>
      </c>
      <c r="E88" s="180">
        <v>14</v>
      </c>
      <c r="F88" s="181">
        <v>0</v>
      </c>
      <c r="G88" t="str">
        <v/>
      </c>
    </row>
    <row r="89" spans="2:7" ht="12" x14ac:dyDescent="0.2">
      <c r="B89" s="57">
        <f>'Name List'!B89</f>
        <v>15</v>
      </c>
      <c r="C89" s="60">
        <f>'Scores and stats'!RM89</f>
        <v>0</v>
      </c>
      <c r="D89" t="str">
        <f t="shared" si="1"/>
        <v/>
      </c>
      <c r="E89" s="180">
        <v>15</v>
      </c>
      <c r="F89" s="181">
        <v>0</v>
      </c>
      <c r="G89" t="str">
        <v/>
      </c>
    </row>
    <row r="90" spans="2:7" ht="12" x14ac:dyDescent="0.2">
      <c r="B90" s="57">
        <f>'Name List'!B90</f>
        <v>16</v>
      </c>
      <c r="C90" s="60">
        <f>'Scores and stats'!RM90</f>
        <v>0</v>
      </c>
      <c r="D90" t="str">
        <f t="shared" si="1"/>
        <v/>
      </c>
      <c r="E90" s="180">
        <v>16</v>
      </c>
      <c r="F90" s="181">
        <v>0</v>
      </c>
      <c r="G90" t="str">
        <v/>
      </c>
    </row>
    <row r="91" spans="2:7" ht="12" x14ac:dyDescent="0.2">
      <c r="B91" s="57">
        <f>'Name List'!B91</f>
        <v>17</v>
      </c>
      <c r="C91" s="60">
        <f>'Scores and stats'!RM91</f>
        <v>0</v>
      </c>
      <c r="D91" t="str">
        <f t="shared" si="1"/>
        <v/>
      </c>
      <c r="E91" s="180">
        <v>17</v>
      </c>
      <c r="F91" s="181">
        <v>0</v>
      </c>
      <c r="G91" t="str">
        <v/>
      </c>
    </row>
    <row r="92" spans="2:7" ht="12" x14ac:dyDescent="0.2">
      <c r="B92" s="57">
        <f>'Name List'!B92</f>
        <v>18</v>
      </c>
      <c r="C92" s="60">
        <f>'Scores and stats'!RM92</f>
        <v>0</v>
      </c>
      <c r="D92" t="str">
        <f t="shared" si="1"/>
        <v/>
      </c>
      <c r="E92" s="180">
        <v>18</v>
      </c>
      <c r="F92" s="181">
        <v>0</v>
      </c>
      <c r="G92" t="str">
        <v/>
      </c>
    </row>
    <row r="93" spans="2:7" ht="12" x14ac:dyDescent="0.2">
      <c r="B93" s="57">
        <f>'Name List'!B93</f>
        <v>19</v>
      </c>
      <c r="C93" s="60">
        <f>'Scores and stats'!RM93</f>
        <v>0</v>
      </c>
      <c r="D93" t="str">
        <f t="shared" si="1"/>
        <v/>
      </c>
      <c r="E93" s="180">
        <v>19</v>
      </c>
      <c r="F93" s="181">
        <v>0</v>
      </c>
      <c r="G93" t="str">
        <v/>
      </c>
    </row>
    <row r="94" spans="2:7" ht="12" x14ac:dyDescent="0.2">
      <c r="B94" s="57">
        <f>'Name List'!B94</f>
        <v>20</v>
      </c>
      <c r="C94" s="60">
        <f>'Scores and stats'!RM94</f>
        <v>0</v>
      </c>
      <c r="D94" t="str">
        <f t="shared" si="1"/>
        <v/>
      </c>
      <c r="E94" s="180">
        <v>20</v>
      </c>
      <c r="F94" s="181">
        <v>0</v>
      </c>
      <c r="G94" t="str">
        <v/>
      </c>
    </row>
    <row r="95" spans="2:7" ht="12" x14ac:dyDescent="0.2">
      <c r="B95" s="57">
        <f>'Name List'!B95</f>
        <v>21</v>
      </c>
      <c r="C95" s="60">
        <f>'Scores and stats'!RM95</f>
        <v>0</v>
      </c>
      <c r="D95" t="str">
        <f t="shared" si="1"/>
        <v/>
      </c>
      <c r="E95" s="180">
        <v>21</v>
      </c>
      <c r="F95" s="181">
        <v>0</v>
      </c>
      <c r="G95" t="str">
        <v/>
      </c>
    </row>
    <row r="96" spans="2:7" ht="12" x14ac:dyDescent="0.2">
      <c r="B96" s="57">
        <f>'Name List'!B96</f>
        <v>22</v>
      </c>
      <c r="C96" s="60">
        <f>'Scores and stats'!RM96</f>
        <v>0</v>
      </c>
      <c r="D96" t="str">
        <f t="shared" si="1"/>
        <v/>
      </c>
      <c r="E96" s="180">
        <v>22</v>
      </c>
      <c r="F96" s="181">
        <v>0</v>
      </c>
      <c r="G96" t="str">
        <v/>
      </c>
    </row>
    <row r="97" spans="2:7" ht="12" x14ac:dyDescent="0.2">
      <c r="B97" s="57">
        <f>'Name List'!B97</f>
        <v>23</v>
      </c>
      <c r="C97" s="60">
        <f>'Scores and stats'!RM97</f>
        <v>0</v>
      </c>
      <c r="D97" t="str">
        <f t="shared" si="1"/>
        <v/>
      </c>
      <c r="E97" s="180">
        <v>23</v>
      </c>
      <c r="F97" s="181">
        <v>0</v>
      </c>
      <c r="G97" t="str">
        <v/>
      </c>
    </row>
    <row r="98" spans="2:7" ht="12" x14ac:dyDescent="0.2">
      <c r="B98" s="57">
        <f>'Name List'!B98</f>
        <v>24</v>
      </c>
      <c r="C98" s="60">
        <f>'Scores and stats'!RM98</f>
        <v>0</v>
      </c>
      <c r="D98" t="str">
        <f t="shared" si="1"/>
        <v/>
      </c>
      <c r="E98" s="180">
        <v>24</v>
      </c>
      <c r="F98" s="181">
        <v>0</v>
      </c>
      <c r="G98" t="str">
        <v/>
      </c>
    </row>
    <row r="99" spans="2:7" ht="12" x14ac:dyDescent="0.2">
      <c r="B99" s="57">
        <f>'Name List'!B99</f>
        <v>25</v>
      </c>
      <c r="C99" s="60">
        <f>'Scores and stats'!RM99</f>
        <v>0</v>
      </c>
      <c r="D99" t="str">
        <f t="shared" si="1"/>
        <v/>
      </c>
      <c r="E99" s="180">
        <v>25</v>
      </c>
      <c r="F99" s="181">
        <v>0</v>
      </c>
      <c r="G99" t="str">
        <v/>
      </c>
    </row>
    <row r="100" spans="2:7" ht="12" x14ac:dyDescent="0.2">
      <c r="B100" s="57">
        <f>'Name List'!B100</f>
        <v>26</v>
      </c>
      <c r="C100" s="60">
        <f>'Scores and stats'!RM100</f>
        <v>0</v>
      </c>
      <c r="D100" t="str">
        <f t="shared" si="1"/>
        <v/>
      </c>
      <c r="E100" s="180">
        <v>26</v>
      </c>
      <c r="F100" s="181">
        <v>0</v>
      </c>
      <c r="G100" t="str">
        <v/>
      </c>
    </row>
    <row r="101" spans="2:7" ht="12" x14ac:dyDescent="0.2">
      <c r="B101" s="57">
        <f>'Name List'!B101</f>
        <v>27</v>
      </c>
      <c r="C101" s="60">
        <f>'Scores and stats'!RM101</f>
        <v>0</v>
      </c>
      <c r="D101" t="str">
        <f t="shared" si="1"/>
        <v/>
      </c>
      <c r="E101" s="180">
        <v>27</v>
      </c>
      <c r="F101" s="181">
        <v>0</v>
      </c>
      <c r="G101" t="str">
        <v/>
      </c>
    </row>
    <row r="102" spans="2:7" ht="12" x14ac:dyDescent="0.2">
      <c r="B102" s="57">
        <f>'Name List'!B102</f>
        <v>28</v>
      </c>
      <c r="C102" s="60">
        <f>'Scores and stats'!RM102</f>
        <v>0</v>
      </c>
      <c r="D102" t="str">
        <f t="shared" si="1"/>
        <v/>
      </c>
      <c r="E102" s="180">
        <v>28</v>
      </c>
      <c r="F102" s="181">
        <v>0</v>
      </c>
      <c r="G102" t="str">
        <v/>
      </c>
    </row>
    <row r="103" spans="2:7" ht="12" x14ac:dyDescent="0.2">
      <c r="B103" s="57">
        <f>'Name List'!B103</f>
        <v>29</v>
      </c>
      <c r="C103" s="60">
        <f>'Scores and stats'!RM103</f>
        <v>0</v>
      </c>
      <c r="D103" t="str">
        <f t="shared" si="1"/>
        <v/>
      </c>
      <c r="E103" s="180">
        <v>29</v>
      </c>
      <c r="F103" s="181">
        <v>0</v>
      </c>
      <c r="G103" t="str">
        <v/>
      </c>
    </row>
    <row r="104" spans="2:7" ht="12" x14ac:dyDescent="0.2">
      <c r="B104" s="57">
        <f>'Name List'!B104</f>
        <v>30</v>
      </c>
      <c r="C104" s="60">
        <f>'Scores and stats'!RM104</f>
        <v>0</v>
      </c>
      <c r="D104" t="str">
        <f t="shared" si="1"/>
        <v/>
      </c>
      <c r="E104" s="180">
        <v>30</v>
      </c>
      <c r="F104" s="181">
        <v>0</v>
      </c>
      <c r="G104" t="str">
        <v/>
      </c>
    </row>
    <row r="105" spans="2:7" ht="12" x14ac:dyDescent="0.2">
      <c r="B105" s="57">
        <f>'Name List'!B105</f>
        <v>31</v>
      </c>
      <c r="C105" s="60">
        <f>'Scores and stats'!RM105</f>
        <v>0</v>
      </c>
      <c r="D105" t="str">
        <f t="shared" si="1"/>
        <v/>
      </c>
      <c r="E105" s="196">
        <v>31</v>
      </c>
      <c r="F105" s="197">
        <v>0</v>
      </c>
      <c r="G105" t="str">
        <v/>
      </c>
    </row>
  </sheetData>
  <mergeCells count="1">
    <mergeCell ref="E3:F3"/>
  </mergeCells>
  <pageMargins left="0.7" right="0.7" top="0.75" bottom="0.75" header="0.3" footer="0.3"/>
  <pageSetup paperSize="9" orientation="portrait" r:id="rId1"/>
  <headerFooter>
    <oddFooter>&amp;C&amp;1#&amp;"Calibri"&amp;10&amp;K000000PUBLIC</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5140-038C-43C8-A0DD-D0F572DB0227}">
  <dimension ref="B2:I105"/>
  <sheetViews>
    <sheetView view="pageLayout" topLeftCell="A67" workbookViewId="0">
      <selection activeCell="C99" sqref="C99"/>
    </sheetView>
  </sheetViews>
  <sheetFormatPr defaultColWidth="9.33203125" defaultRowHeight="11.25" x14ac:dyDescent="0.2"/>
  <cols>
    <col min="2" max="2" width="23.1640625" customWidth="1"/>
    <col min="3" max="3" width="23.1640625" hidden="1" customWidth="1"/>
    <col min="4" max="4" width="17.6640625" customWidth="1"/>
    <col min="5" max="5" width="8.1640625" customWidth="1"/>
    <col min="6" max="6" width="25" customWidth="1"/>
  </cols>
  <sheetData>
    <row r="2" spans="2:9" ht="12" x14ac:dyDescent="0.2">
      <c r="B2" s="57"/>
      <c r="C2" s="57"/>
      <c r="D2" s="58"/>
      <c r="E2" s="57"/>
      <c r="F2" s="59"/>
      <c r="G2" s="59"/>
    </row>
    <row r="3" spans="2:9" ht="12" x14ac:dyDescent="0.2">
      <c r="B3" s="57"/>
      <c r="C3" s="57"/>
      <c r="D3" s="58" t="s">
        <v>163</v>
      </c>
      <c r="E3" s="58"/>
      <c r="F3" s="731" t="str">
        <f>D3</f>
        <v>Worst Overall</v>
      </c>
      <c r="G3" s="732"/>
    </row>
    <row r="4" spans="2:9" ht="12" x14ac:dyDescent="0.2">
      <c r="B4" s="57"/>
      <c r="C4" s="57"/>
      <c r="D4" s="58"/>
      <c r="E4" s="57"/>
      <c r="F4" s="180"/>
      <c r="G4" s="181"/>
      <c r="H4" s="198"/>
    </row>
    <row r="5" spans="2:9" ht="12" x14ac:dyDescent="0.2">
      <c r="B5" s="57"/>
      <c r="C5" s="57"/>
      <c r="D5" s="58"/>
      <c r="E5" s="57" t="s">
        <v>173</v>
      </c>
      <c r="F5" s="180"/>
      <c r="G5" s="181"/>
      <c r="H5" s="198"/>
    </row>
    <row r="6" spans="2:9" ht="12" x14ac:dyDescent="0.2">
      <c r="B6" s="57" t="str">
        <f>'Name List'!B6</f>
        <v>Stuart Anderson</v>
      </c>
      <c r="C6" s="59">
        <f>IF(D6=0,0,D6)</f>
        <v>0</v>
      </c>
      <c r="D6" s="60">
        <f>'Scores and stats'!RN6</f>
        <v>0</v>
      </c>
      <c r="E6" s="61" t="str">
        <f>IF(D6=0,"",RANK(D6,$D$6:$D$105,-1))</f>
        <v/>
      </c>
      <c r="F6" s="180" t="str" cm="1">
        <f t="array" ref="F6:I105">_xlfn._xlws.SORT(B6:E105,2,-1)</f>
        <v>Tony Forsyth-James</v>
      </c>
      <c r="G6" s="181">
        <v>102</v>
      </c>
      <c r="H6" s="198">
        <v>102</v>
      </c>
      <c r="I6">
        <v>100</v>
      </c>
    </row>
    <row r="7" spans="2:9" ht="12" x14ac:dyDescent="0.2">
      <c r="B7" s="57" t="str">
        <f>'Name List'!B7</f>
        <v>Max Ball</v>
      </c>
      <c r="C7" s="59">
        <f t="shared" ref="C7:C70" si="0">IF(D7=0,0,D7)</f>
        <v>83</v>
      </c>
      <c r="D7" s="60">
        <f>'Scores and stats'!RN7</f>
        <v>83</v>
      </c>
      <c r="E7" s="61">
        <f t="shared" ref="E7:E70" si="1">IF(D7=0,"",RANK(D7,$D$6:$D$105,-1))</f>
        <v>93</v>
      </c>
      <c r="F7" s="180" t="str">
        <v>Anthony Harris</v>
      </c>
      <c r="G7" s="181">
        <v>95</v>
      </c>
      <c r="H7" s="198">
        <v>95</v>
      </c>
      <c r="I7">
        <v>98</v>
      </c>
    </row>
    <row r="8" spans="2:9" ht="12" x14ac:dyDescent="0.2">
      <c r="B8" s="57" t="str">
        <f>'Name List'!B8</f>
        <v>Harley Bishop</v>
      </c>
      <c r="C8" s="59">
        <f t="shared" si="0"/>
        <v>0</v>
      </c>
      <c r="D8" s="60">
        <f>'Scores and stats'!RN8</f>
        <v>0</v>
      </c>
      <c r="E8" s="61" t="str">
        <f t="shared" si="1"/>
        <v/>
      </c>
      <c r="F8" s="180" t="str">
        <v>Dave Randall</v>
      </c>
      <c r="G8" s="181">
        <v>95</v>
      </c>
      <c r="H8" s="198">
        <v>95</v>
      </c>
      <c r="I8">
        <v>98</v>
      </c>
    </row>
    <row r="9" spans="2:9" ht="12" x14ac:dyDescent="0.2">
      <c r="B9" s="57" t="str">
        <f>'Name List'!B9</f>
        <v>Chris Burroughs</v>
      </c>
      <c r="C9" s="59">
        <f t="shared" si="0"/>
        <v>0</v>
      </c>
      <c r="D9" s="60">
        <f>'Scores and stats'!RN9</f>
        <v>0</v>
      </c>
      <c r="E9" s="61" t="str">
        <f t="shared" si="1"/>
        <v/>
      </c>
      <c r="F9" s="180" t="str">
        <v>Andy Johnson</v>
      </c>
      <c r="G9" s="181">
        <v>93</v>
      </c>
      <c r="H9" s="198">
        <v>93</v>
      </c>
      <c r="I9">
        <v>97</v>
      </c>
    </row>
    <row r="10" spans="2:9" ht="12" x14ac:dyDescent="0.2">
      <c r="B10" s="57" t="str">
        <f>'Name List'!B10</f>
        <v>George Burton</v>
      </c>
      <c r="C10" s="59">
        <f t="shared" si="0"/>
        <v>0</v>
      </c>
      <c r="D10" s="60">
        <f>'Scores and stats'!RN10</f>
        <v>0</v>
      </c>
      <c r="E10" s="61" t="str">
        <f t="shared" si="1"/>
        <v/>
      </c>
      <c r="F10" s="180" t="str">
        <v>Ben Fleet</v>
      </c>
      <c r="G10" s="181">
        <v>89</v>
      </c>
      <c r="H10" s="198">
        <v>89</v>
      </c>
      <c r="I10">
        <v>96</v>
      </c>
    </row>
    <row r="11" spans="2:9" ht="12" x14ac:dyDescent="0.2">
      <c r="B11" s="57" t="str">
        <f>'Name List'!B11</f>
        <v>Tom Burton</v>
      </c>
      <c r="C11" s="59">
        <f t="shared" si="0"/>
        <v>0</v>
      </c>
      <c r="D11" s="60">
        <f>'Scores and stats'!RN11</f>
        <v>0</v>
      </c>
      <c r="E11" s="61" t="str">
        <f t="shared" si="1"/>
        <v/>
      </c>
      <c r="F11" s="180" t="str">
        <v>Brad Whitehead</v>
      </c>
      <c r="G11" s="181">
        <v>85</v>
      </c>
      <c r="H11" s="198">
        <v>85</v>
      </c>
      <c r="I11">
        <v>95</v>
      </c>
    </row>
    <row r="12" spans="2:9" ht="12" x14ac:dyDescent="0.2">
      <c r="B12" s="57" t="str">
        <f>'Name List'!B12</f>
        <v>Mike Chubb</v>
      </c>
      <c r="C12" s="59">
        <f t="shared" si="0"/>
        <v>0</v>
      </c>
      <c r="D12" s="60">
        <f>'Scores and stats'!RN12</f>
        <v>0</v>
      </c>
      <c r="E12" s="61" t="str">
        <f t="shared" si="1"/>
        <v/>
      </c>
      <c r="F12" s="180" t="str">
        <v>Paul Martin</v>
      </c>
      <c r="G12" s="181">
        <v>84</v>
      </c>
      <c r="H12" s="198">
        <v>84</v>
      </c>
      <c r="I12">
        <v>94</v>
      </c>
    </row>
    <row r="13" spans="2:9" ht="12" x14ac:dyDescent="0.2">
      <c r="B13" s="57" t="str">
        <f>'Name List'!B13</f>
        <v>George Clarke</v>
      </c>
      <c r="C13" s="59">
        <f t="shared" si="0"/>
        <v>0</v>
      </c>
      <c r="D13" s="60">
        <f>'Scores and stats'!RN13</f>
        <v>0</v>
      </c>
      <c r="E13" s="61" t="str">
        <f t="shared" si="1"/>
        <v/>
      </c>
      <c r="F13" s="180" t="str">
        <v>Max Ball</v>
      </c>
      <c r="G13" s="181">
        <v>83</v>
      </c>
      <c r="H13" s="198">
        <v>83</v>
      </c>
      <c r="I13">
        <v>93</v>
      </c>
    </row>
    <row r="14" spans="2:9" ht="12" x14ac:dyDescent="0.2">
      <c r="B14" s="57" t="str">
        <f>'Name List'!B14</f>
        <v>Paul Clarke</v>
      </c>
      <c r="C14" s="59">
        <f t="shared" si="0"/>
        <v>0</v>
      </c>
      <c r="D14" s="60">
        <f>'Scores and stats'!RN14</f>
        <v>0</v>
      </c>
      <c r="E14" s="61" t="str">
        <f t="shared" si="1"/>
        <v/>
      </c>
      <c r="F14" s="180" t="str">
        <v>Gareth Davies</v>
      </c>
      <c r="G14" s="181">
        <v>82</v>
      </c>
      <c r="H14" s="198">
        <v>82</v>
      </c>
      <c r="I14">
        <v>91</v>
      </c>
    </row>
    <row r="15" spans="2:9" ht="12" x14ac:dyDescent="0.2">
      <c r="B15" s="57" t="str">
        <f>'Name List'!B15</f>
        <v>Martin Coomber</v>
      </c>
      <c r="C15" s="59">
        <f t="shared" si="0"/>
        <v>0</v>
      </c>
      <c r="D15" s="60">
        <f>'Scores and stats'!RN15</f>
        <v>0</v>
      </c>
      <c r="E15" s="61" t="str">
        <f t="shared" si="1"/>
        <v/>
      </c>
      <c r="F15" s="180" t="str">
        <v>Justin Hunt</v>
      </c>
      <c r="G15" s="181">
        <v>82</v>
      </c>
      <c r="H15" s="198">
        <v>82</v>
      </c>
      <c r="I15">
        <v>91</v>
      </c>
    </row>
    <row r="16" spans="2:9" ht="12" x14ac:dyDescent="0.2">
      <c r="B16" s="57" t="str">
        <f>'Name List'!B16</f>
        <v>Dominic Coughlin</v>
      </c>
      <c r="C16" s="59">
        <f t="shared" si="0"/>
        <v>0</v>
      </c>
      <c r="D16" s="60">
        <f>'Scores and stats'!RN16</f>
        <v>0</v>
      </c>
      <c r="E16" s="61" t="str">
        <f t="shared" si="1"/>
        <v/>
      </c>
      <c r="F16" s="180" t="str">
        <v>Shaun Alexander</v>
      </c>
      <c r="G16" s="181">
        <v>80</v>
      </c>
      <c r="H16" s="198">
        <v>80</v>
      </c>
      <c r="I16">
        <v>90</v>
      </c>
    </row>
    <row r="17" spans="2:9" ht="12" x14ac:dyDescent="0.2">
      <c r="B17" s="57" t="str">
        <f>'Name List'!B17</f>
        <v>Gareth Davies</v>
      </c>
      <c r="C17" s="59">
        <f t="shared" si="0"/>
        <v>82</v>
      </c>
      <c r="D17" s="60">
        <f>'Scores and stats'!RN17</f>
        <v>82</v>
      </c>
      <c r="E17" s="61">
        <f t="shared" si="1"/>
        <v>91</v>
      </c>
      <c r="F17" s="180" t="str">
        <v>Chris Smith</v>
      </c>
      <c r="G17" s="181">
        <v>79</v>
      </c>
      <c r="H17" s="198">
        <v>79</v>
      </c>
      <c r="I17">
        <v>89</v>
      </c>
    </row>
    <row r="18" spans="2:9" ht="12" x14ac:dyDescent="0.2">
      <c r="B18" s="57" t="str">
        <f>'Name List'!B18</f>
        <v>Peter Donovan</v>
      </c>
      <c r="C18" s="59">
        <f t="shared" si="0"/>
        <v>0</v>
      </c>
      <c r="D18" s="60">
        <f>'Scores and stats'!RN18</f>
        <v>0</v>
      </c>
      <c r="E18" s="61" t="str">
        <f t="shared" si="1"/>
        <v/>
      </c>
      <c r="F18" s="180" t="str">
        <v>Dan Thomas</v>
      </c>
      <c r="G18" s="181">
        <v>78</v>
      </c>
      <c r="H18" s="198">
        <v>78</v>
      </c>
      <c r="I18">
        <v>88</v>
      </c>
    </row>
    <row r="19" spans="2:9" ht="12" x14ac:dyDescent="0.2">
      <c r="B19" s="57" t="str">
        <f>'Name List'!B19</f>
        <v>James Dunn</v>
      </c>
      <c r="C19" s="59">
        <f t="shared" si="0"/>
        <v>0</v>
      </c>
      <c r="D19" s="60">
        <f>'Scores and stats'!RN19</f>
        <v>0</v>
      </c>
      <c r="E19" s="61" t="str">
        <f t="shared" si="1"/>
        <v/>
      </c>
      <c r="F19" s="180" t="str">
        <v>Danny Jones</v>
      </c>
      <c r="G19" s="181">
        <v>75</v>
      </c>
      <c r="H19" s="198">
        <v>75</v>
      </c>
      <c r="I19">
        <v>87</v>
      </c>
    </row>
    <row r="20" spans="2:9" ht="12" x14ac:dyDescent="0.2">
      <c r="B20" s="57" t="str">
        <f>'Name List'!B20</f>
        <v>Gordon Fielding</v>
      </c>
      <c r="C20" s="59">
        <f t="shared" si="0"/>
        <v>0</v>
      </c>
      <c r="D20" s="60">
        <f>'Scores and stats'!RN20</f>
        <v>0</v>
      </c>
      <c r="E20" s="61" t="str">
        <f t="shared" si="1"/>
        <v/>
      </c>
      <c r="F20" s="180" t="str">
        <v>Stuart Anderson</v>
      </c>
      <c r="G20" s="181">
        <v>0</v>
      </c>
      <c r="H20" s="198">
        <v>0</v>
      </c>
      <c r="I20" t="str">
        <v/>
      </c>
    </row>
    <row r="21" spans="2:9" ht="12" x14ac:dyDescent="0.2">
      <c r="B21" s="57" t="str">
        <f>'Name List'!B21</f>
        <v>Paul Fitzgerald</v>
      </c>
      <c r="C21" s="59">
        <f t="shared" si="0"/>
        <v>0</v>
      </c>
      <c r="D21" s="60">
        <f>'Scores and stats'!RN21</f>
        <v>0</v>
      </c>
      <c r="E21" s="61" t="str">
        <f t="shared" si="1"/>
        <v/>
      </c>
      <c r="F21" s="180" t="str">
        <v>Harley Bishop</v>
      </c>
      <c r="G21" s="181">
        <v>0</v>
      </c>
      <c r="H21" s="198">
        <v>0</v>
      </c>
      <c r="I21" t="str">
        <v/>
      </c>
    </row>
    <row r="22" spans="2:9" ht="12" x14ac:dyDescent="0.2">
      <c r="B22" s="57" t="str">
        <f>'Name List'!B22</f>
        <v>Ben Fleet</v>
      </c>
      <c r="C22" s="59">
        <f t="shared" si="0"/>
        <v>89</v>
      </c>
      <c r="D22" s="60">
        <f>'Scores and stats'!RN22</f>
        <v>89</v>
      </c>
      <c r="E22" s="61">
        <f t="shared" si="1"/>
        <v>96</v>
      </c>
      <c r="F22" s="180" t="str">
        <v>Chris Burroughs</v>
      </c>
      <c r="G22" s="181">
        <v>0</v>
      </c>
      <c r="H22" s="198">
        <v>0</v>
      </c>
      <c r="I22" t="str">
        <v/>
      </c>
    </row>
    <row r="23" spans="2:9" ht="12" x14ac:dyDescent="0.2">
      <c r="B23" s="57" t="str">
        <f>'Name List'!B23</f>
        <v>Mike Forrest</v>
      </c>
      <c r="C23" s="59">
        <f t="shared" si="0"/>
        <v>0</v>
      </c>
      <c r="D23" s="60">
        <f>'Scores and stats'!RN23</f>
        <v>0</v>
      </c>
      <c r="E23" s="61" t="str">
        <f t="shared" si="1"/>
        <v/>
      </c>
      <c r="F23" s="180" t="str">
        <v>George Burton</v>
      </c>
      <c r="G23" s="181">
        <v>0</v>
      </c>
      <c r="H23" s="198">
        <v>0</v>
      </c>
      <c r="I23" t="str">
        <v/>
      </c>
    </row>
    <row r="24" spans="2:9" ht="12" x14ac:dyDescent="0.2">
      <c r="B24" s="57" t="str">
        <f>'Name List'!B24</f>
        <v>Tony Forsyth-James</v>
      </c>
      <c r="C24" s="59">
        <f t="shared" si="0"/>
        <v>102</v>
      </c>
      <c r="D24" s="60">
        <f>'Scores and stats'!RN24</f>
        <v>102</v>
      </c>
      <c r="E24" s="61">
        <f t="shared" si="1"/>
        <v>100</v>
      </c>
      <c r="F24" s="180" t="str">
        <v>Tom Burton</v>
      </c>
      <c r="G24" s="181">
        <v>0</v>
      </c>
      <c r="H24" s="198">
        <v>0</v>
      </c>
      <c r="I24" t="str">
        <v/>
      </c>
    </row>
    <row r="25" spans="2:9" ht="12" x14ac:dyDescent="0.2">
      <c r="B25" s="57" t="str">
        <f>'Name List'!B25</f>
        <v>Archie Fraser</v>
      </c>
      <c r="C25" s="59">
        <f t="shared" si="0"/>
        <v>0</v>
      </c>
      <c r="D25" s="60">
        <f>'Scores and stats'!RN25</f>
        <v>0</v>
      </c>
      <c r="E25" s="61" t="str">
        <f t="shared" si="1"/>
        <v/>
      </c>
      <c r="F25" s="180" t="str">
        <v>Mike Chubb</v>
      </c>
      <c r="G25" s="181">
        <v>0</v>
      </c>
      <c r="H25" s="198">
        <v>0</v>
      </c>
      <c r="I25" t="str">
        <v/>
      </c>
    </row>
    <row r="26" spans="2:9" ht="12" x14ac:dyDescent="0.2">
      <c r="B26" s="57" t="str">
        <f>'Name List'!B26</f>
        <v>Ross Fraser</v>
      </c>
      <c r="C26" s="59">
        <f t="shared" si="0"/>
        <v>0</v>
      </c>
      <c r="D26" s="60">
        <f>'Scores and stats'!RN26</f>
        <v>0</v>
      </c>
      <c r="E26" s="61" t="str">
        <f t="shared" si="1"/>
        <v/>
      </c>
      <c r="F26" s="180" t="str">
        <v>George Clarke</v>
      </c>
      <c r="G26" s="181">
        <v>0</v>
      </c>
      <c r="H26" s="198">
        <v>0</v>
      </c>
      <c r="I26" t="str">
        <v/>
      </c>
    </row>
    <row r="27" spans="2:9" ht="12" x14ac:dyDescent="0.2">
      <c r="B27" s="57" t="str">
        <f>'Name List'!B27</f>
        <v>Nick Garner</v>
      </c>
      <c r="C27" s="59">
        <f t="shared" si="0"/>
        <v>0</v>
      </c>
      <c r="D27" s="60">
        <f>'Scores and stats'!RN27</f>
        <v>0</v>
      </c>
      <c r="E27" s="61" t="str">
        <f t="shared" si="1"/>
        <v/>
      </c>
      <c r="F27" s="180" t="str">
        <v>Paul Clarke</v>
      </c>
      <c r="G27" s="181">
        <v>0</v>
      </c>
      <c r="H27" s="198">
        <v>0</v>
      </c>
      <c r="I27" t="str">
        <v/>
      </c>
    </row>
    <row r="28" spans="2:9" ht="12" x14ac:dyDescent="0.2">
      <c r="B28" s="57" t="str">
        <f>'Name List'!B28</f>
        <v>Stuart Gay</v>
      </c>
      <c r="C28" s="59">
        <f t="shared" si="0"/>
        <v>0</v>
      </c>
      <c r="D28" s="60">
        <f>'Scores and stats'!RN28</f>
        <v>0</v>
      </c>
      <c r="E28" s="61" t="str">
        <f t="shared" si="1"/>
        <v/>
      </c>
      <c r="F28" s="180" t="str">
        <v>Martin Coomber</v>
      </c>
      <c r="G28" s="181">
        <v>0</v>
      </c>
      <c r="H28" s="198">
        <v>0</v>
      </c>
      <c r="I28" t="str">
        <v/>
      </c>
    </row>
    <row r="29" spans="2:9" ht="12" x14ac:dyDescent="0.2">
      <c r="B29" s="57" t="str">
        <f>'Name List'!B29</f>
        <v>Jordan Hall</v>
      </c>
      <c r="C29" s="59">
        <f t="shared" si="0"/>
        <v>0</v>
      </c>
      <c r="D29" s="60">
        <f>'Scores and stats'!RN29</f>
        <v>0</v>
      </c>
      <c r="E29" s="61" t="str">
        <f t="shared" si="1"/>
        <v/>
      </c>
      <c r="F29" s="180" t="str">
        <v>Dominic Coughlin</v>
      </c>
      <c r="G29" s="181">
        <v>0</v>
      </c>
      <c r="H29" s="198">
        <v>0</v>
      </c>
      <c r="I29" t="str">
        <v/>
      </c>
    </row>
    <row r="30" spans="2:9" ht="12" x14ac:dyDescent="0.2">
      <c r="B30" s="57" t="str">
        <f>'Name List'!B30</f>
        <v>Gary Hall</v>
      </c>
      <c r="C30" s="59">
        <f t="shared" si="0"/>
        <v>0</v>
      </c>
      <c r="D30" s="60">
        <f>'Scores and stats'!RN30</f>
        <v>0</v>
      </c>
      <c r="E30" s="61" t="str">
        <f t="shared" si="1"/>
        <v/>
      </c>
      <c r="F30" s="180" t="str">
        <v>Peter Donovan</v>
      </c>
      <c r="G30" s="181">
        <v>0</v>
      </c>
      <c r="H30" s="198">
        <v>0</v>
      </c>
      <c r="I30" t="str">
        <v/>
      </c>
    </row>
    <row r="31" spans="2:9" ht="12" x14ac:dyDescent="0.2">
      <c r="B31" s="57" t="str">
        <f>'Name List'!B31</f>
        <v>Anthony Harris</v>
      </c>
      <c r="C31" s="59">
        <f t="shared" si="0"/>
        <v>95</v>
      </c>
      <c r="D31" s="60">
        <f>'Scores and stats'!RN31</f>
        <v>95</v>
      </c>
      <c r="E31" s="61">
        <f t="shared" si="1"/>
        <v>98</v>
      </c>
      <c r="F31" s="180" t="str">
        <v>James Dunn</v>
      </c>
      <c r="G31" s="181">
        <v>0</v>
      </c>
      <c r="H31" s="198">
        <v>0</v>
      </c>
      <c r="I31" t="str">
        <v/>
      </c>
    </row>
    <row r="32" spans="2:9" ht="12" x14ac:dyDescent="0.2">
      <c r="B32" s="57" t="str">
        <f>'Name List'!B32</f>
        <v>Neil Hart</v>
      </c>
      <c r="C32" s="59">
        <f t="shared" si="0"/>
        <v>0</v>
      </c>
      <c r="D32" s="60">
        <f>'Scores and stats'!RN32</f>
        <v>0</v>
      </c>
      <c r="E32" s="61" t="str">
        <f t="shared" si="1"/>
        <v/>
      </c>
      <c r="F32" s="180" t="str">
        <v>Gordon Fielding</v>
      </c>
      <c r="G32" s="181">
        <v>0</v>
      </c>
      <c r="H32" s="198">
        <v>0</v>
      </c>
      <c r="I32" t="str">
        <v/>
      </c>
    </row>
    <row r="33" spans="2:9" ht="12" x14ac:dyDescent="0.2">
      <c r="B33" s="57" t="str">
        <f>'Name List'!B33</f>
        <v>Tony Hearson</v>
      </c>
      <c r="C33" s="59">
        <f t="shared" si="0"/>
        <v>0</v>
      </c>
      <c r="D33" s="60">
        <f>'Scores and stats'!RN33</f>
        <v>0</v>
      </c>
      <c r="E33" s="61" t="str">
        <f t="shared" si="1"/>
        <v/>
      </c>
      <c r="F33" s="180" t="str">
        <v>Paul Fitzgerald</v>
      </c>
      <c r="G33" s="181">
        <v>0</v>
      </c>
      <c r="H33" s="198">
        <v>0</v>
      </c>
      <c r="I33" t="str">
        <v/>
      </c>
    </row>
    <row r="34" spans="2:9" ht="12" x14ac:dyDescent="0.2">
      <c r="B34" s="57" t="str">
        <f>'Name List'!B34</f>
        <v>David Hilton</v>
      </c>
      <c r="C34" s="59">
        <f t="shared" si="0"/>
        <v>0</v>
      </c>
      <c r="D34" s="60">
        <f>'Scores and stats'!RN34</f>
        <v>0</v>
      </c>
      <c r="E34" s="61" t="str">
        <f t="shared" si="1"/>
        <v/>
      </c>
      <c r="F34" s="180" t="str">
        <v>Mike Forrest</v>
      </c>
      <c r="G34" s="181">
        <v>0</v>
      </c>
      <c r="H34" s="198">
        <v>0</v>
      </c>
      <c r="I34" t="str">
        <v/>
      </c>
    </row>
    <row r="35" spans="2:9" ht="12" x14ac:dyDescent="0.2">
      <c r="B35" s="57" t="str">
        <f>'Name List'!B35</f>
        <v>Eoghan Hilton</v>
      </c>
      <c r="C35" s="59">
        <f t="shared" si="0"/>
        <v>0</v>
      </c>
      <c r="D35" s="60">
        <f>'Scores and stats'!RN35</f>
        <v>0</v>
      </c>
      <c r="E35" s="61" t="str">
        <f t="shared" si="1"/>
        <v/>
      </c>
      <c r="F35" s="180" t="str">
        <v>Archie Fraser</v>
      </c>
      <c r="G35" s="181">
        <v>0</v>
      </c>
      <c r="H35" s="198">
        <v>0</v>
      </c>
      <c r="I35" t="str">
        <v/>
      </c>
    </row>
    <row r="36" spans="2:9" ht="12" x14ac:dyDescent="0.2">
      <c r="B36" s="57" t="str">
        <f>'Name List'!B36</f>
        <v>Martin Holder</v>
      </c>
      <c r="C36" s="59">
        <f t="shared" si="0"/>
        <v>0</v>
      </c>
      <c r="D36" s="60">
        <f>'Scores and stats'!RN36</f>
        <v>0</v>
      </c>
      <c r="E36" s="61" t="str">
        <f t="shared" si="1"/>
        <v/>
      </c>
      <c r="F36" s="180" t="str">
        <v>Ross Fraser</v>
      </c>
      <c r="G36" s="181">
        <v>0</v>
      </c>
      <c r="H36" s="198">
        <v>0</v>
      </c>
      <c r="I36" t="str">
        <v/>
      </c>
    </row>
    <row r="37" spans="2:9" ht="12" x14ac:dyDescent="0.2">
      <c r="B37" s="57" t="str">
        <f>'Name List'!B37</f>
        <v>Justin Hunt</v>
      </c>
      <c r="C37" s="59">
        <f t="shared" si="0"/>
        <v>82</v>
      </c>
      <c r="D37" s="60">
        <f>'Scores and stats'!RN37</f>
        <v>82</v>
      </c>
      <c r="E37" s="61">
        <f t="shared" si="1"/>
        <v>91</v>
      </c>
      <c r="F37" s="180" t="str">
        <v>Nick Garner</v>
      </c>
      <c r="G37" s="181">
        <v>0</v>
      </c>
      <c r="H37" s="198">
        <v>0</v>
      </c>
      <c r="I37" t="str">
        <v/>
      </c>
    </row>
    <row r="38" spans="2:9" ht="12" x14ac:dyDescent="0.2">
      <c r="B38" s="57" t="str">
        <f>'Name List'!B38</f>
        <v>Mark Hutchinson</v>
      </c>
      <c r="C38" s="59">
        <f t="shared" si="0"/>
        <v>0</v>
      </c>
      <c r="D38" s="60">
        <f>'Scores and stats'!RN38</f>
        <v>0</v>
      </c>
      <c r="E38" s="61" t="str">
        <f t="shared" si="1"/>
        <v/>
      </c>
      <c r="F38" s="180" t="str">
        <v>Stuart Gay</v>
      </c>
      <c r="G38" s="181">
        <v>0</v>
      </c>
      <c r="H38" s="198">
        <v>0</v>
      </c>
      <c r="I38" t="str">
        <v/>
      </c>
    </row>
    <row r="39" spans="2:9" ht="12" x14ac:dyDescent="0.2">
      <c r="B39" s="57" t="str">
        <f>'Name List'!B39</f>
        <v>Andy Johnson</v>
      </c>
      <c r="C39" s="59">
        <f t="shared" si="0"/>
        <v>93</v>
      </c>
      <c r="D39" s="60">
        <f>'Scores and stats'!RN39</f>
        <v>93</v>
      </c>
      <c r="E39" s="61">
        <f t="shared" si="1"/>
        <v>97</v>
      </c>
      <c r="F39" s="180" t="str">
        <v>Jordan Hall</v>
      </c>
      <c r="G39" s="181">
        <v>0</v>
      </c>
      <c r="H39" s="198">
        <v>0</v>
      </c>
      <c r="I39" t="str">
        <v/>
      </c>
    </row>
    <row r="40" spans="2:9" ht="12" x14ac:dyDescent="0.2">
      <c r="B40" s="57" t="str">
        <f>'Name List'!B40</f>
        <v>Oli Lloyd</v>
      </c>
      <c r="C40" s="59">
        <f t="shared" si="0"/>
        <v>0</v>
      </c>
      <c r="D40" s="60">
        <f>'Scores and stats'!RN40</f>
        <v>0</v>
      </c>
      <c r="E40" s="61" t="str">
        <f t="shared" si="1"/>
        <v/>
      </c>
      <c r="F40" s="180" t="str">
        <v>Gary Hall</v>
      </c>
      <c r="G40" s="181">
        <v>0</v>
      </c>
      <c r="H40" s="198">
        <v>0</v>
      </c>
      <c r="I40" t="str">
        <v/>
      </c>
    </row>
    <row r="41" spans="2:9" ht="12" x14ac:dyDescent="0.2">
      <c r="B41" s="57" t="str">
        <f>'Name List'!B41</f>
        <v>Andy Lucey</v>
      </c>
      <c r="C41" s="59">
        <f t="shared" si="0"/>
        <v>0</v>
      </c>
      <c r="D41" s="60">
        <f>'Scores and stats'!RN41</f>
        <v>0</v>
      </c>
      <c r="E41" s="61" t="str">
        <f t="shared" si="1"/>
        <v/>
      </c>
      <c r="F41" s="180" t="str">
        <v>Neil Hart</v>
      </c>
      <c r="G41" s="181">
        <v>0</v>
      </c>
      <c r="H41" s="198">
        <v>0</v>
      </c>
      <c r="I41" t="str">
        <v/>
      </c>
    </row>
    <row r="42" spans="2:9" ht="12" x14ac:dyDescent="0.2">
      <c r="B42" s="57" t="str">
        <f>'Name List'!B42</f>
        <v>Paul Martin</v>
      </c>
      <c r="C42" s="59">
        <f t="shared" si="0"/>
        <v>84</v>
      </c>
      <c r="D42" s="60">
        <f>'Scores and stats'!RN42</f>
        <v>84</v>
      </c>
      <c r="E42" s="61">
        <f t="shared" si="1"/>
        <v>94</v>
      </c>
      <c r="F42" s="180" t="str">
        <v>Tony Hearson</v>
      </c>
      <c r="G42" s="181">
        <v>0</v>
      </c>
      <c r="H42" s="198">
        <v>0</v>
      </c>
      <c r="I42" t="str">
        <v/>
      </c>
    </row>
    <row r="43" spans="2:9" ht="12" x14ac:dyDescent="0.2">
      <c r="B43" s="57" t="str">
        <f>'Name List'!B43</f>
        <v>Edward Money</v>
      </c>
      <c r="C43" s="59">
        <f t="shared" si="0"/>
        <v>0</v>
      </c>
      <c r="D43" s="60">
        <f>'Scores and stats'!RN43</f>
        <v>0</v>
      </c>
      <c r="E43" s="61" t="str">
        <f t="shared" si="1"/>
        <v/>
      </c>
      <c r="F43" s="180" t="str">
        <v>David Hilton</v>
      </c>
      <c r="G43" s="181">
        <v>0</v>
      </c>
      <c r="H43" s="198">
        <v>0</v>
      </c>
      <c r="I43" t="str">
        <v/>
      </c>
    </row>
    <row r="44" spans="2:9" ht="12" x14ac:dyDescent="0.2">
      <c r="B44" s="57" t="str">
        <f>'Name List'!B44</f>
        <v>Dickie Moxham</v>
      </c>
      <c r="C44" s="59">
        <f t="shared" si="0"/>
        <v>0</v>
      </c>
      <c r="D44" s="60">
        <f>'Scores and stats'!RN44</f>
        <v>0</v>
      </c>
      <c r="E44" s="61" t="str">
        <f t="shared" si="1"/>
        <v/>
      </c>
      <c r="F44" s="180" t="str">
        <v>Eoghan Hilton</v>
      </c>
      <c r="G44" s="181">
        <v>0</v>
      </c>
      <c r="H44" s="198">
        <v>0</v>
      </c>
      <c r="I44" t="str">
        <v/>
      </c>
    </row>
    <row r="45" spans="2:9" ht="12" x14ac:dyDescent="0.2">
      <c r="B45" s="57" t="str">
        <f>'Name List'!B45</f>
        <v>Dave Randall</v>
      </c>
      <c r="C45" s="59">
        <f t="shared" si="0"/>
        <v>95</v>
      </c>
      <c r="D45" s="60">
        <f>'Scores and stats'!RN45</f>
        <v>95</v>
      </c>
      <c r="E45" s="61">
        <f t="shared" si="1"/>
        <v>98</v>
      </c>
      <c r="F45" s="180" t="str">
        <v>Martin Holder</v>
      </c>
      <c r="G45" s="181">
        <v>0</v>
      </c>
      <c r="H45" s="198">
        <v>0</v>
      </c>
      <c r="I45" t="str">
        <v/>
      </c>
    </row>
    <row r="46" spans="2:9" ht="12" x14ac:dyDescent="0.2">
      <c r="B46" s="57" t="str">
        <f>'Name List'!B46</f>
        <v>Arron Rutherford</v>
      </c>
      <c r="C46" s="59">
        <f t="shared" si="0"/>
        <v>0</v>
      </c>
      <c r="D46" s="60">
        <f>'Scores and stats'!RN46</f>
        <v>0</v>
      </c>
      <c r="E46" s="61" t="str">
        <f t="shared" si="1"/>
        <v/>
      </c>
      <c r="F46" s="180" t="str">
        <v>Mark Hutchinson</v>
      </c>
      <c r="G46" s="181">
        <v>0</v>
      </c>
      <c r="H46" s="198">
        <v>0</v>
      </c>
      <c r="I46" t="str">
        <v/>
      </c>
    </row>
    <row r="47" spans="2:9" ht="12" x14ac:dyDescent="0.2">
      <c r="B47" s="57" t="str">
        <f>'Name List'!B47</f>
        <v>Terry Shoker</v>
      </c>
      <c r="C47" s="59">
        <f t="shared" si="0"/>
        <v>0</v>
      </c>
      <c r="D47" s="60">
        <f>'Scores and stats'!RN47</f>
        <v>0</v>
      </c>
      <c r="E47" s="61" t="str">
        <f t="shared" si="1"/>
        <v/>
      </c>
      <c r="F47" s="180" t="str">
        <v>Oli Lloyd</v>
      </c>
      <c r="G47" s="181">
        <v>0</v>
      </c>
      <c r="H47" s="198">
        <v>0</v>
      </c>
      <c r="I47" t="str">
        <v/>
      </c>
    </row>
    <row r="48" spans="2:9" ht="12" x14ac:dyDescent="0.2">
      <c r="B48" s="57" t="str">
        <f>'Name List'!B48</f>
        <v>Chris Smith</v>
      </c>
      <c r="C48" s="59">
        <f t="shared" si="0"/>
        <v>79</v>
      </c>
      <c r="D48" s="60">
        <f>'Scores and stats'!RN48</f>
        <v>79</v>
      </c>
      <c r="E48" s="61">
        <f t="shared" si="1"/>
        <v>89</v>
      </c>
      <c r="F48" s="180" t="str">
        <v>Andy Lucey</v>
      </c>
      <c r="G48" s="181">
        <v>0</v>
      </c>
      <c r="H48" s="198">
        <v>0</v>
      </c>
      <c r="I48" t="str">
        <v/>
      </c>
    </row>
    <row r="49" spans="2:9" ht="12" x14ac:dyDescent="0.2">
      <c r="B49" s="57" t="str">
        <f>'Name List'!B49</f>
        <v>Justin Spencer</v>
      </c>
      <c r="C49" s="59">
        <f t="shared" si="0"/>
        <v>0</v>
      </c>
      <c r="D49" s="60">
        <f>'Scores and stats'!RN49</f>
        <v>0</v>
      </c>
      <c r="E49" s="61" t="str">
        <f t="shared" si="1"/>
        <v/>
      </c>
      <c r="F49" s="180" t="str">
        <v>Edward Money</v>
      </c>
      <c r="G49" s="181">
        <v>0</v>
      </c>
      <c r="H49" s="198">
        <v>0</v>
      </c>
      <c r="I49" t="str">
        <v/>
      </c>
    </row>
    <row r="50" spans="2:9" ht="12" x14ac:dyDescent="0.2">
      <c r="B50" s="57" t="str">
        <f>'Name List'!B50</f>
        <v>Jake Sprosen</v>
      </c>
      <c r="C50" s="59">
        <f t="shared" si="0"/>
        <v>0</v>
      </c>
      <c r="D50" s="60">
        <f>'Scores and stats'!RN50</f>
        <v>0</v>
      </c>
      <c r="E50" s="61" t="str">
        <f t="shared" si="1"/>
        <v/>
      </c>
      <c r="F50" s="180" t="str">
        <v>Dickie Moxham</v>
      </c>
      <c r="G50" s="181">
        <v>0</v>
      </c>
      <c r="H50" s="198">
        <v>0</v>
      </c>
      <c r="I50" t="str">
        <v/>
      </c>
    </row>
    <row r="51" spans="2:9" ht="12" x14ac:dyDescent="0.2">
      <c r="B51" s="57" t="str">
        <f>'Name List'!B51</f>
        <v>Tosh Sprosen</v>
      </c>
      <c r="C51" s="59">
        <f t="shared" si="0"/>
        <v>0</v>
      </c>
      <c r="D51" s="60">
        <f>'Scores and stats'!RN51</f>
        <v>0</v>
      </c>
      <c r="E51" s="61" t="str">
        <f t="shared" si="1"/>
        <v/>
      </c>
      <c r="F51" s="180" t="str">
        <v>Arron Rutherford</v>
      </c>
      <c r="G51" s="181">
        <v>0</v>
      </c>
      <c r="H51" s="198">
        <v>0</v>
      </c>
      <c r="I51" t="str">
        <v/>
      </c>
    </row>
    <row r="52" spans="2:9" ht="12" x14ac:dyDescent="0.2">
      <c r="B52" s="57" t="str">
        <f>'Name List'!B52</f>
        <v>Bill Sutton</v>
      </c>
      <c r="C52" s="59">
        <f t="shared" si="0"/>
        <v>0</v>
      </c>
      <c r="D52" s="60">
        <f>'Scores and stats'!RN52</f>
        <v>0</v>
      </c>
      <c r="E52" s="61" t="str">
        <f t="shared" si="1"/>
        <v/>
      </c>
      <c r="F52" s="180" t="str">
        <v>Terry Shoker</v>
      </c>
      <c r="G52" s="181">
        <v>0</v>
      </c>
      <c r="H52" s="198">
        <v>0</v>
      </c>
      <c r="I52" t="str">
        <v/>
      </c>
    </row>
    <row r="53" spans="2:9" ht="12" x14ac:dyDescent="0.2">
      <c r="B53" s="57" t="str">
        <f>'Name List'!B53</f>
        <v>Dan Thomas</v>
      </c>
      <c r="C53" s="59">
        <f t="shared" si="0"/>
        <v>78</v>
      </c>
      <c r="D53" s="60">
        <f>'Scores and stats'!RN53</f>
        <v>78</v>
      </c>
      <c r="E53" s="61">
        <f t="shared" si="1"/>
        <v>88</v>
      </c>
      <c r="F53" s="180" t="str">
        <v>Justin Spencer</v>
      </c>
      <c r="G53" s="181">
        <v>0</v>
      </c>
      <c r="H53" s="198">
        <v>0</v>
      </c>
      <c r="I53" t="str">
        <v/>
      </c>
    </row>
    <row r="54" spans="2:9" ht="12" x14ac:dyDescent="0.2">
      <c r="B54" s="57" t="str">
        <f>'Name List'!B54</f>
        <v>Andy Thompson</v>
      </c>
      <c r="C54" s="59">
        <f t="shared" si="0"/>
        <v>0</v>
      </c>
      <c r="D54" s="60">
        <f>'Scores and stats'!RN54</f>
        <v>0</v>
      </c>
      <c r="E54" s="61" t="str">
        <f t="shared" si="1"/>
        <v/>
      </c>
      <c r="F54" s="180" t="str">
        <v>Jake Sprosen</v>
      </c>
      <c r="G54" s="181">
        <v>0</v>
      </c>
      <c r="H54" s="198">
        <v>0</v>
      </c>
      <c r="I54" t="str">
        <v/>
      </c>
    </row>
    <row r="55" spans="2:9" ht="12" x14ac:dyDescent="0.2">
      <c r="B55" s="57" t="str">
        <f>'Name List'!B55</f>
        <v>Rory Thompson</v>
      </c>
      <c r="C55" s="59">
        <f t="shared" si="0"/>
        <v>0</v>
      </c>
      <c r="D55" s="60">
        <f>'Scores and stats'!RN55</f>
        <v>0</v>
      </c>
      <c r="E55" s="61" t="str">
        <f t="shared" si="1"/>
        <v/>
      </c>
      <c r="F55" s="180" t="str">
        <v>Tosh Sprosen</v>
      </c>
      <c r="G55" s="181">
        <v>0</v>
      </c>
      <c r="H55" s="198">
        <v>0</v>
      </c>
      <c r="I55" t="str">
        <v/>
      </c>
    </row>
    <row r="56" spans="2:9" ht="12" x14ac:dyDescent="0.2">
      <c r="B56" s="57" t="str">
        <f>'Name List'!B56</f>
        <v>Sonny Thompson</v>
      </c>
      <c r="C56" s="59">
        <f t="shared" si="0"/>
        <v>0</v>
      </c>
      <c r="D56" s="60">
        <f>'Scores and stats'!RN56</f>
        <v>0</v>
      </c>
      <c r="E56" s="61" t="str">
        <f t="shared" si="1"/>
        <v/>
      </c>
      <c r="F56" s="180" t="str">
        <v>Bill Sutton</v>
      </c>
      <c r="G56" s="181">
        <v>0</v>
      </c>
      <c r="H56" s="198">
        <v>0</v>
      </c>
      <c r="I56" t="str">
        <v/>
      </c>
    </row>
    <row r="57" spans="2:9" ht="12" x14ac:dyDescent="0.2">
      <c r="B57" s="57" t="str">
        <f>'Name List'!B57</f>
        <v>Kevin Tribley</v>
      </c>
      <c r="C57" s="59">
        <f t="shared" si="0"/>
        <v>0</v>
      </c>
      <c r="D57" s="60">
        <f>'Scores and stats'!RN57</f>
        <v>0</v>
      </c>
      <c r="E57" s="61" t="str">
        <f t="shared" si="1"/>
        <v/>
      </c>
      <c r="F57" s="180" t="str">
        <v>Andy Thompson</v>
      </c>
      <c r="G57" s="181">
        <v>0</v>
      </c>
      <c r="H57" s="198">
        <v>0</v>
      </c>
      <c r="I57" t="str">
        <v/>
      </c>
    </row>
    <row r="58" spans="2:9" ht="12" x14ac:dyDescent="0.2">
      <c r="B58" s="57" t="str">
        <f>'Name List'!B58</f>
        <v>Russell Turner</v>
      </c>
      <c r="C58" s="59">
        <f t="shared" si="0"/>
        <v>0</v>
      </c>
      <c r="D58" s="60">
        <f>'Scores and stats'!RN58</f>
        <v>0</v>
      </c>
      <c r="E58" s="61" t="str">
        <f t="shared" si="1"/>
        <v/>
      </c>
      <c r="F58" s="180" t="str">
        <v>Rory Thompson</v>
      </c>
      <c r="G58" s="181">
        <v>0</v>
      </c>
      <c r="H58" s="198">
        <v>0</v>
      </c>
      <c r="I58" t="str">
        <v/>
      </c>
    </row>
    <row r="59" spans="2:9" ht="12" x14ac:dyDescent="0.2">
      <c r="B59" s="57" t="str">
        <f>'Name List'!B59</f>
        <v>Peter Vallely</v>
      </c>
      <c r="C59" s="59">
        <f t="shared" si="0"/>
        <v>0</v>
      </c>
      <c r="D59" s="60">
        <f>'Scores and stats'!RN59</f>
        <v>0</v>
      </c>
      <c r="E59" s="61" t="str">
        <f t="shared" si="1"/>
        <v/>
      </c>
      <c r="F59" s="180" t="str">
        <v>Sonny Thompson</v>
      </c>
      <c r="G59" s="181">
        <v>0</v>
      </c>
      <c r="H59" s="198">
        <v>0</v>
      </c>
      <c r="I59" t="str">
        <v/>
      </c>
    </row>
    <row r="60" spans="2:9" ht="12" x14ac:dyDescent="0.2">
      <c r="B60" s="57" t="str">
        <f>'Name List'!B60</f>
        <v>Ryan Vaughan</v>
      </c>
      <c r="C60" s="59">
        <f t="shared" si="0"/>
        <v>0</v>
      </c>
      <c r="D60" s="60">
        <f>'Scores and stats'!RN60</f>
        <v>0</v>
      </c>
      <c r="E60" s="61" t="str">
        <f t="shared" si="1"/>
        <v/>
      </c>
      <c r="F60" s="180" t="str">
        <v>Kevin Tribley</v>
      </c>
      <c r="G60" s="181">
        <v>0</v>
      </c>
      <c r="H60" s="198">
        <v>0</v>
      </c>
      <c r="I60" t="str">
        <v/>
      </c>
    </row>
    <row r="61" spans="2:9" ht="12" x14ac:dyDescent="0.2">
      <c r="B61" s="57" t="str">
        <f>'Name List'!B61</f>
        <v>Jason Wale</v>
      </c>
      <c r="C61" s="59">
        <f t="shared" si="0"/>
        <v>0</v>
      </c>
      <c r="D61" s="60">
        <f>'Scores and stats'!RN61</f>
        <v>0</v>
      </c>
      <c r="E61" s="61" t="str">
        <f t="shared" si="1"/>
        <v/>
      </c>
      <c r="F61" s="180" t="str">
        <v>Russell Turner</v>
      </c>
      <c r="G61" s="181">
        <v>0</v>
      </c>
      <c r="H61" s="198">
        <v>0</v>
      </c>
      <c r="I61" t="str">
        <v/>
      </c>
    </row>
    <row r="62" spans="2:9" ht="12" x14ac:dyDescent="0.2">
      <c r="B62" s="57" t="str">
        <f>'Name List'!B62</f>
        <v>Terry Walker</v>
      </c>
      <c r="C62" s="59">
        <f t="shared" si="0"/>
        <v>0</v>
      </c>
      <c r="D62" s="60">
        <f>'Scores and stats'!RN62</f>
        <v>0</v>
      </c>
      <c r="E62" s="61" t="str">
        <f t="shared" si="1"/>
        <v/>
      </c>
      <c r="F62" s="180" t="str">
        <v>Peter Vallely</v>
      </c>
      <c r="G62" s="181">
        <v>0</v>
      </c>
      <c r="H62" s="198">
        <v>0</v>
      </c>
      <c r="I62" t="str">
        <v/>
      </c>
    </row>
    <row r="63" spans="2:9" ht="12" x14ac:dyDescent="0.2">
      <c r="B63" s="57" t="str">
        <f>'Name List'!B63</f>
        <v>Finn Wheeler</v>
      </c>
      <c r="C63" s="59">
        <f t="shared" si="0"/>
        <v>0</v>
      </c>
      <c r="D63" s="60">
        <f>'Scores and stats'!RN63</f>
        <v>0</v>
      </c>
      <c r="E63" s="61" t="str">
        <f t="shared" si="1"/>
        <v/>
      </c>
      <c r="F63" s="180" t="str">
        <v>Ryan Vaughan</v>
      </c>
      <c r="G63" s="181">
        <v>0</v>
      </c>
      <c r="H63" s="198">
        <v>0</v>
      </c>
      <c r="I63" t="str">
        <v/>
      </c>
    </row>
    <row r="64" spans="2:9" ht="12" x14ac:dyDescent="0.2">
      <c r="B64" s="57" t="str">
        <f>'Name List'!B64</f>
        <v>Steve Wheeler</v>
      </c>
      <c r="C64" s="59">
        <f t="shared" si="0"/>
        <v>0</v>
      </c>
      <c r="D64" s="60">
        <f>'Scores and stats'!RN64</f>
        <v>0</v>
      </c>
      <c r="E64" s="61" t="str">
        <f t="shared" si="1"/>
        <v/>
      </c>
      <c r="F64" s="180" t="str">
        <v>Jason Wale</v>
      </c>
      <c r="G64" s="181">
        <v>0</v>
      </c>
      <c r="H64" s="198">
        <v>0</v>
      </c>
      <c r="I64" t="str">
        <v/>
      </c>
    </row>
    <row r="65" spans="2:9" ht="12" x14ac:dyDescent="0.2">
      <c r="B65" s="57" t="str">
        <f>'Name List'!B65</f>
        <v>Brad Whitehead</v>
      </c>
      <c r="C65" s="59">
        <f t="shared" si="0"/>
        <v>85</v>
      </c>
      <c r="D65" s="60">
        <f>'Scores and stats'!RN65</f>
        <v>85</v>
      </c>
      <c r="E65" s="61">
        <f t="shared" si="1"/>
        <v>95</v>
      </c>
      <c r="F65" s="180" t="str">
        <v>Terry Walker</v>
      </c>
      <c r="G65" s="181">
        <v>0</v>
      </c>
      <c r="H65" s="198">
        <v>0</v>
      </c>
      <c r="I65" t="str">
        <v/>
      </c>
    </row>
    <row r="66" spans="2:9" ht="12" x14ac:dyDescent="0.2">
      <c r="B66" s="57" t="str">
        <f>'Name List'!B66</f>
        <v>Dave Woodget</v>
      </c>
      <c r="C66" s="59">
        <f t="shared" si="0"/>
        <v>0</v>
      </c>
      <c r="D66" s="60">
        <f>'Scores and stats'!RN66</f>
        <v>0</v>
      </c>
      <c r="E66" s="61" t="str">
        <f t="shared" si="1"/>
        <v/>
      </c>
      <c r="F66" s="180" t="str">
        <v>Finn Wheeler</v>
      </c>
      <c r="G66" s="181">
        <v>0</v>
      </c>
      <c r="H66" s="198">
        <v>0</v>
      </c>
      <c r="I66" t="str">
        <v/>
      </c>
    </row>
    <row r="67" spans="2:9" ht="12" x14ac:dyDescent="0.2">
      <c r="B67" s="57" t="str">
        <f>'Name List'!B67</f>
        <v>Jonathan Kanareck</v>
      </c>
      <c r="C67" s="59">
        <f t="shared" si="0"/>
        <v>0</v>
      </c>
      <c r="D67" s="60">
        <f>'Scores and stats'!RN67</f>
        <v>0</v>
      </c>
      <c r="E67" s="61" t="str">
        <f t="shared" si="1"/>
        <v/>
      </c>
      <c r="F67" s="180" t="str">
        <v>Steve Wheeler</v>
      </c>
      <c r="G67" s="181">
        <v>0</v>
      </c>
      <c r="H67" s="198">
        <v>0</v>
      </c>
      <c r="I67" t="str">
        <v/>
      </c>
    </row>
    <row r="68" spans="2:9" ht="12" x14ac:dyDescent="0.2">
      <c r="B68" s="57" t="str">
        <f>'Name List'!B68</f>
        <v>Oliver Proud</v>
      </c>
      <c r="C68" s="59">
        <f t="shared" si="0"/>
        <v>0</v>
      </c>
      <c r="D68" s="60">
        <f>'Scores and stats'!RN68</f>
        <v>0</v>
      </c>
      <c r="E68" s="61" t="str">
        <f t="shared" si="1"/>
        <v/>
      </c>
      <c r="F68" s="180" t="str">
        <v>Dave Woodget</v>
      </c>
      <c r="G68" s="181">
        <v>0</v>
      </c>
      <c r="H68" s="198">
        <v>0</v>
      </c>
      <c r="I68" t="str">
        <v/>
      </c>
    </row>
    <row r="69" spans="2:9" ht="12" x14ac:dyDescent="0.2">
      <c r="B69" s="57" t="str">
        <f>'Name List'!B69</f>
        <v>Joe Hooper</v>
      </c>
      <c r="C69" s="59">
        <f t="shared" si="0"/>
        <v>0</v>
      </c>
      <c r="D69" s="60">
        <f>'Scores and stats'!RN69</f>
        <v>0</v>
      </c>
      <c r="E69" s="61" t="str">
        <f t="shared" si="1"/>
        <v/>
      </c>
      <c r="F69" s="180" t="str">
        <v>Jonathan Kanareck</v>
      </c>
      <c r="G69" s="181">
        <v>0</v>
      </c>
      <c r="H69" s="198">
        <v>0</v>
      </c>
      <c r="I69" t="str">
        <v/>
      </c>
    </row>
    <row r="70" spans="2:9" ht="12" x14ac:dyDescent="0.2">
      <c r="B70" s="57" t="str">
        <f>'Name List'!B70</f>
        <v>Danny Jones</v>
      </c>
      <c r="C70" s="59">
        <f t="shared" si="0"/>
        <v>75</v>
      </c>
      <c r="D70" s="60">
        <f>'Scores and stats'!RN70</f>
        <v>75</v>
      </c>
      <c r="E70" s="61">
        <f t="shared" si="1"/>
        <v>87</v>
      </c>
      <c r="F70" s="180" t="str">
        <v>Oliver Proud</v>
      </c>
      <c r="G70" s="181">
        <v>0</v>
      </c>
      <c r="H70" s="198">
        <v>0</v>
      </c>
      <c r="I70" t="str">
        <v/>
      </c>
    </row>
    <row r="71" spans="2:9" ht="12" x14ac:dyDescent="0.2">
      <c r="B71" s="57" t="str">
        <f>'Name List'!B71</f>
        <v>Liam Anderson</v>
      </c>
      <c r="C71" s="59">
        <f t="shared" ref="C71:C74" si="2">IF(D71=0,0,D71)</f>
        <v>0</v>
      </c>
      <c r="D71" s="60">
        <f>'Scores and stats'!RN71</f>
        <v>0</v>
      </c>
      <c r="E71" s="61" t="str">
        <f t="shared" ref="E71:E105" si="3">IF(D71=0,"",RANK(D71,$D$6:$D$105,-1))</f>
        <v/>
      </c>
      <c r="F71" s="180" t="str">
        <v>Joe Hooper</v>
      </c>
      <c r="G71" s="181">
        <v>0</v>
      </c>
      <c r="H71" s="198">
        <v>0</v>
      </c>
      <c r="I71" t="str">
        <v/>
      </c>
    </row>
    <row r="72" spans="2:9" ht="12" x14ac:dyDescent="0.2">
      <c r="B72" s="57" t="str">
        <f>'Name List'!B72</f>
        <v>Sam Cochrane</v>
      </c>
      <c r="C72" s="59">
        <f t="shared" si="2"/>
        <v>0</v>
      </c>
      <c r="D72" s="60">
        <f>'Scores and stats'!RN72</f>
        <v>0</v>
      </c>
      <c r="E72" s="61" t="str">
        <f t="shared" si="3"/>
        <v/>
      </c>
      <c r="F72" s="180" t="str">
        <v>Liam Anderson</v>
      </c>
      <c r="G72" s="181">
        <v>0</v>
      </c>
      <c r="H72" s="198">
        <v>0</v>
      </c>
      <c r="I72" t="str">
        <v/>
      </c>
    </row>
    <row r="73" spans="2:9" ht="12" x14ac:dyDescent="0.2">
      <c r="B73" s="57" t="str">
        <f>'Name List'!B73</f>
        <v>Shaun Alexander</v>
      </c>
      <c r="C73" s="59">
        <f t="shared" si="2"/>
        <v>80</v>
      </c>
      <c r="D73" s="60">
        <f>'Scores and stats'!RN73</f>
        <v>80</v>
      </c>
      <c r="E73" s="61">
        <f t="shared" si="3"/>
        <v>90</v>
      </c>
      <c r="F73" s="180" t="str">
        <v>Sam Cochrane</v>
      </c>
      <c r="G73" s="181">
        <v>0</v>
      </c>
      <c r="H73" s="198">
        <v>0</v>
      </c>
      <c r="I73" t="str">
        <v/>
      </c>
    </row>
    <row r="74" spans="2:9" ht="12" x14ac:dyDescent="0.2">
      <c r="B74" s="57" t="str">
        <f>'Name List'!B74</f>
        <v>Kyle Deane</v>
      </c>
      <c r="C74" s="59">
        <f t="shared" si="2"/>
        <v>0</v>
      </c>
      <c r="D74" s="60">
        <f>'Scores and stats'!RN74</f>
        <v>0</v>
      </c>
      <c r="E74" s="61" t="str">
        <f t="shared" si="3"/>
        <v/>
      </c>
      <c r="F74" s="180" t="str">
        <v>Kyle Deane</v>
      </c>
      <c r="G74" s="181">
        <v>0</v>
      </c>
      <c r="H74" s="198">
        <v>0</v>
      </c>
      <c r="I74" t="str">
        <v/>
      </c>
    </row>
    <row r="75" spans="2:9" ht="12" x14ac:dyDescent="0.2">
      <c r="B75" s="57">
        <f>'Name List'!B75</f>
        <v>1</v>
      </c>
      <c r="C75" s="59">
        <f t="shared" ref="C75:C105" si="4">IF(D75=0,0,D75)</f>
        <v>0</v>
      </c>
      <c r="D75" s="60">
        <f>'Scores and stats'!RN75</f>
        <v>0</v>
      </c>
      <c r="E75" s="61" t="str">
        <f t="shared" si="3"/>
        <v/>
      </c>
      <c r="F75" s="180">
        <v>1</v>
      </c>
      <c r="G75" s="181">
        <v>0</v>
      </c>
      <c r="H75" s="198">
        <v>0</v>
      </c>
      <c r="I75" t="str">
        <v/>
      </c>
    </row>
    <row r="76" spans="2:9" ht="12" x14ac:dyDescent="0.2">
      <c r="B76" s="57">
        <f>'Name List'!B76</f>
        <v>2</v>
      </c>
      <c r="C76" s="59">
        <f t="shared" si="4"/>
        <v>0</v>
      </c>
      <c r="D76" s="60">
        <f>'Scores and stats'!RN76</f>
        <v>0</v>
      </c>
      <c r="E76" s="61" t="str">
        <f t="shared" si="3"/>
        <v/>
      </c>
      <c r="F76" s="180">
        <v>2</v>
      </c>
      <c r="G76" s="181">
        <v>0</v>
      </c>
      <c r="H76" s="198">
        <v>0</v>
      </c>
      <c r="I76" t="str">
        <v/>
      </c>
    </row>
    <row r="77" spans="2:9" ht="12" x14ac:dyDescent="0.2">
      <c r="B77" s="57">
        <f>'Name List'!B77</f>
        <v>3</v>
      </c>
      <c r="C77" s="59">
        <f t="shared" si="4"/>
        <v>0</v>
      </c>
      <c r="D77" s="60">
        <f>'Scores and stats'!RN77</f>
        <v>0</v>
      </c>
      <c r="E77" s="61" t="str">
        <f t="shared" si="3"/>
        <v/>
      </c>
      <c r="F77" s="180">
        <v>3</v>
      </c>
      <c r="G77" s="181">
        <v>0</v>
      </c>
      <c r="H77" s="198">
        <v>0</v>
      </c>
      <c r="I77" t="str">
        <v/>
      </c>
    </row>
    <row r="78" spans="2:9" ht="12" x14ac:dyDescent="0.2">
      <c r="B78" s="57">
        <f>'Name List'!B78</f>
        <v>4</v>
      </c>
      <c r="C78" s="59">
        <f t="shared" si="4"/>
        <v>0</v>
      </c>
      <c r="D78" s="60">
        <f>'Scores and stats'!RN78</f>
        <v>0</v>
      </c>
      <c r="E78" s="61" t="str">
        <f t="shared" si="3"/>
        <v/>
      </c>
      <c r="F78" s="180">
        <v>4</v>
      </c>
      <c r="G78" s="181">
        <v>0</v>
      </c>
      <c r="H78" s="198">
        <v>0</v>
      </c>
      <c r="I78" t="str">
        <v/>
      </c>
    </row>
    <row r="79" spans="2:9" ht="12" x14ac:dyDescent="0.2">
      <c r="B79" s="57">
        <f>'Name List'!B79</f>
        <v>5</v>
      </c>
      <c r="C79" s="59">
        <f t="shared" si="4"/>
        <v>0</v>
      </c>
      <c r="D79" s="60">
        <f>'Scores and stats'!RN79</f>
        <v>0</v>
      </c>
      <c r="E79" s="61" t="str">
        <f t="shared" si="3"/>
        <v/>
      </c>
      <c r="F79" s="180">
        <v>5</v>
      </c>
      <c r="G79" s="181">
        <v>0</v>
      </c>
      <c r="H79" s="198">
        <v>0</v>
      </c>
      <c r="I79" t="str">
        <v/>
      </c>
    </row>
    <row r="80" spans="2:9" ht="12" x14ac:dyDescent="0.2">
      <c r="B80" s="57">
        <f>'Name List'!B80</f>
        <v>6</v>
      </c>
      <c r="C80" s="59">
        <f t="shared" si="4"/>
        <v>0</v>
      </c>
      <c r="D80" s="60">
        <f>'Scores and stats'!RN80</f>
        <v>0</v>
      </c>
      <c r="E80" s="61" t="str">
        <f t="shared" si="3"/>
        <v/>
      </c>
      <c r="F80" s="180">
        <v>6</v>
      </c>
      <c r="G80" s="181">
        <v>0</v>
      </c>
      <c r="H80" s="198">
        <v>0</v>
      </c>
      <c r="I80" t="str">
        <v/>
      </c>
    </row>
    <row r="81" spans="2:9" ht="12" x14ac:dyDescent="0.2">
      <c r="B81" s="57">
        <f>'Name List'!B81</f>
        <v>7</v>
      </c>
      <c r="C81" s="59">
        <f t="shared" si="4"/>
        <v>0</v>
      </c>
      <c r="D81" s="60">
        <f>'Scores and stats'!RN81</f>
        <v>0</v>
      </c>
      <c r="E81" s="61" t="str">
        <f t="shared" si="3"/>
        <v/>
      </c>
      <c r="F81" s="180">
        <v>7</v>
      </c>
      <c r="G81" s="181">
        <v>0</v>
      </c>
      <c r="H81" s="198">
        <v>0</v>
      </c>
      <c r="I81" t="str">
        <v/>
      </c>
    </row>
    <row r="82" spans="2:9" ht="12" x14ac:dyDescent="0.2">
      <c r="B82" s="57">
        <f>'Name List'!B82</f>
        <v>8</v>
      </c>
      <c r="C82" s="59">
        <f t="shared" si="4"/>
        <v>0</v>
      </c>
      <c r="D82" s="60">
        <f>'Scores and stats'!RN82</f>
        <v>0</v>
      </c>
      <c r="E82" s="61" t="str">
        <f t="shared" si="3"/>
        <v/>
      </c>
      <c r="F82" s="180">
        <v>8</v>
      </c>
      <c r="G82" s="181">
        <v>0</v>
      </c>
      <c r="H82" s="198">
        <v>0</v>
      </c>
      <c r="I82" t="str">
        <v/>
      </c>
    </row>
    <row r="83" spans="2:9" ht="12" x14ac:dyDescent="0.2">
      <c r="B83" s="57">
        <f>'Name List'!B83</f>
        <v>9</v>
      </c>
      <c r="C83" s="59">
        <f t="shared" si="4"/>
        <v>0</v>
      </c>
      <c r="D83" s="60">
        <f>'Scores and stats'!RN83</f>
        <v>0</v>
      </c>
      <c r="E83" s="61" t="str">
        <f t="shared" si="3"/>
        <v/>
      </c>
      <c r="F83" s="180">
        <v>9</v>
      </c>
      <c r="G83" s="181">
        <v>0</v>
      </c>
      <c r="H83" s="198">
        <v>0</v>
      </c>
      <c r="I83" t="str">
        <v/>
      </c>
    </row>
    <row r="84" spans="2:9" ht="12" x14ac:dyDescent="0.2">
      <c r="B84" s="57">
        <f>'Name List'!B84</f>
        <v>10</v>
      </c>
      <c r="C84" s="59">
        <f t="shared" si="4"/>
        <v>0</v>
      </c>
      <c r="D84" s="60">
        <f>'Scores and stats'!RN84</f>
        <v>0</v>
      </c>
      <c r="E84" s="61" t="str">
        <f t="shared" si="3"/>
        <v/>
      </c>
      <c r="F84" s="180">
        <v>10</v>
      </c>
      <c r="G84" s="181">
        <v>0</v>
      </c>
      <c r="H84" s="198">
        <v>0</v>
      </c>
      <c r="I84" t="str">
        <v/>
      </c>
    </row>
    <row r="85" spans="2:9" ht="12" x14ac:dyDescent="0.2">
      <c r="B85" s="57">
        <f>'Name List'!B85</f>
        <v>11</v>
      </c>
      <c r="C85" s="59">
        <f t="shared" si="4"/>
        <v>0</v>
      </c>
      <c r="D85" s="60">
        <f>'Scores and stats'!RN85</f>
        <v>0</v>
      </c>
      <c r="E85" s="61" t="str">
        <f t="shared" si="3"/>
        <v/>
      </c>
      <c r="F85" s="180">
        <v>11</v>
      </c>
      <c r="G85" s="181">
        <v>0</v>
      </c>
      <c r="H85" s="198">
        <v>0</v>
      </c>
      <c r="I85" t="str">
        <v/>
      </c>
    </row>
    <row r="86" spans="2:9" ht="12" x14ac:dyDescent="0.2">
      <c r="B86" s="57">
        <f>'Name List'!B86</f>
        <v>12</v>
      </c>
      <c r="C86" s="59">
        <f t="shared" si="4"/>
        <v>0</v>
      </c>
      <c r="D86" s="60">
        <f>'Scores and stats'!RN86</f>
        <v>0</v>
      </c>
      <c r="E86" s="61" t="str">
        <f t="shared" si="3"/>
        <v/>
      </c>
      <c r="F86" s="180">
        <v>12</v>
      </c>
      <c r="G86" s="181">
        <v>0</v>
      </c>
      <c r="H86" s="198">
        <v>0</v>
      </c>
      <c r="I86" t="str">
        <v/>
      </c>
    </row>
    <row r="87" spans="2:9" ht="12" x14ac:dyDescent="0.2">
      <c r="B87" s="57">
        <f>'Name List'!B87</f>
        <v>13</v>
      </c>
      <c r="C87" s="59">
        <f t="shared" si="4"/>
        <v>0</v>
      </c>
      <c r="D87" s="60">
        <f>'Scores and stats'!RN87</f>
        <v>0</v>
      </c>
      <c r="E87" s="61" t="str">
        <f t="shared" si="3"/>
        <v/>
      </c>
      <c r="F87" s="180">
        <v>13</v>
      </c>
      <c r="G87" s="181">
        <v>0</v>
      </c>
      <c r="H87" s="198">
        <v>0</v>
      </c>
      <c r="I87" t="str">
        <v/>
      </c>
    </row>
    <row r="88" spans="2:9" ht="12" x14ac:dyDescent="0.2">
      <c r="B88" s="57">
        <f>'Name List'!B88</f>
        <v>14</v>
      </c>
      <c r="C88" s="59">
        <f t="shared" si="4"/>
        <v>0</v>
      </c>
      <c r="D88" s="60">
        <f>'Scores and stats'!RN88</f>
        <v>0</v>
      </c>
      <c r="E88" s="61" t="str">
        <f t="shared" si="3"/>
        <v/>
      </c>
      <c r="F88" s="180">
        <v>14</v>
      </c>
      <c r="G88" s="181">
        <v>0</v>
      </c>
      <c r="H88" s="198">
        <v>0</v>
      </c>
      <c r="I88" t="str">
        <v/>
      </c>
    </row>
    <row r="89" spans="2:9" ht="12" x14ac:dyDescent="0.2">
      <c r="B89" s="57">
        <f>'Name List'!B89</f>
        <v>15</v>
      </c>
      <c r="C89" s="59">
        <f t="shared" si="4"/>
        <v>0</v>
      </c>
      <c r="D89" s="60">
        <f>'Scores and stats'!RN89</f>
        <v>0</v>
      </c>
      <c r="E89" s="61" t="str">
        <f t="shared" si="3"/>
        <v/>
      </c>
      <c r="F89" s="180">
        <v>15</v>
      </c>
      <c r="G89" s="181">
        <v>0</v>
      </c>
      <c r="H89" s="198">
        <v>0</v>
      </c>
      <c r="I89" t="str">
        <v/>
      </c>
    </row>
    <row r="90" spans="2:9" ht="12" x14ac:dyDescent="0.2">
      <c r="B90" s="57">
        <f>'Name List'!B90</f>
        <v>16</v>
      </c>
      <c r="C90" s="59">
        <f t="shared" si="4"/>
        <v>0</v>
      </c>
      <c r="D90" s="60">
        <f>'Scores and stats'!RN90</f>
        <v>0</v>
      </c>
      <c r="E90" s="61" t="str">
        <f t="shared" si="3"/>
        <v/>
      </c>
      <c r="F90" s="180">
        <v>16</v>
      </c>
      <c r="G90" s="181">
        <v>0</v>
      </c>
      <c r="H90" s="198">
        <v>0</v>
      </c>
      <c r="I90" t="str">
        <v/>
      </c>
    </row>
    <row r="91" spans="2:9" ht="12" x14ac:dyDescent="0.2">
      <c r="B91" s="57">
        <f>'Name List'!B91</f>
        <v>17</v>
      </c>
      <c r="C91" s="59">
        <f t="shared" si="4"/>
        <v>0</v>
      </c>
      <c r="D91" s="60">
        <f>'Scores and stats'!RN91</f>
        <v>0</v>
      </c>
      <c r="E91" s="61" t="str">
        <f t="shared" si="3"/>
        <v/>
      </c>
      <c r="F91" s="180">
        <v>17</v>
      </c>
      <c r="G91" s="181">
        <v>0</v>
      </c>
      <c r="H91" s="198">
        <v>0</v>
      </c>
      <c r="I91" t="str">
        <v/>
      </c>
    </row>
    <row r="92" spans="2:9" ht="12" x14ac:dyDescent="0.2">
      <c r="B92" s="57">
        <f>'Name List'!B92</f>
        <v>18</v>
      </c>
      <c r="C92" s="59">
        <f t="shared" si="4"/>
        <v>0</v>
      </c>
      <c r="D92" s="60">
        <f>'Scores and stats'!RN92</f>
        <v>0</v>
      </c>
      <c r="E92" s="61" t="str">
        <f t="shared" si="3"/>
        <v/>
      </c>
      <c r="F92" s="180">
        <v>18</v>
      </c>
      <c r="G92" s="181">
        <v>0</v>
      </c>
      <c r="H92">
        <v>0</v>
      </c>
      <c r="I92" t="str">
        <v/>
      </c>
    </row>
    <row r="93" spans="2:9" ht="12" x14ac:dyDescent="0.2">
      <c r="B93" s="57">
        <f>'Name List'!B93</f>
        <v>19</v>
      </c>
      <c r="C93" s="59">
        <f t="shared" si="4"/>
        <v>0</v>
      </c>
      <c r="D93" s="60">
        <f>'Scores and stats'!RN93</f>
        <v>0</v>
      </c>
      <c r="E93" s="61" t="str">
        <f t="shared" si="3"/>
        <v/>
      </c>
      <c r="F93" s="180">
        <v>19</v>
      </c>
      <c r="G93" s="181">
        <v>0</v>
      </c>
      <c r="H93">
        <v>0</v>
      </c>
      <c r="I93" t="str">
        <v/>
      </c>
    </row>
    <row r="94" spans="2:9" ht="12" x14ac:dyDescent="0.2">
      <c r="B94" s="57">
        <f>'Name List'!B94</f>
        <v>20</v>
      </c>
      <c r="C94" s="59">
        <f t="shared" si="4"/>
        <v>0</v>
      </c>
      <c r="D94" s="60">
        <f>'Scores and stats'!RN94</f>
        <v>0</v>
      </c>
      <c r="E94" s="61" t="str">
        <f t="shared" si="3"/>
        <v/>
      </c>
      <c r="F94" s="180">
        <v>20</v>
      </c>
      <c r="G94" s="181">
        <v>0</v>
      </c>
      <c r="H94">
        <v>0</v>
      </c>
      <c r="I94" t="str">
        <v/>
      </c>
    </row>
    <row r="95" spans="2:9" ht="12" x14ac:dyDescent="0.2">
      <c r="B95" s="57">
        <f>'Name List'!B95</f>
        <v>21</v>
      </c>
      <c r="C95" s="59">
        <f t="shared" si="4"/>
        <v>0</v>
      </c>
      <c r="D95" s="60">
        <f>'Scores and stats'!RN95</f>
        <v>0</v>
      </c>
      <c r="E95" s="61" t="str">
        <f t="shared" si="3"/>
        <v/>
      </c>
      <c r="F95" s="180">
        <v>21</v>
      </c>
      <c r="G95" s="181">
        <v>0</v>
      </c>
      <c r="H95">
        <v>0</v>
      </c>
      <c r="I95" t="str">
        <v/>
      </c>
    </row>
    <row r="96" spans="2:9" ht="12" x14ac:dyDescent="0.2">
      <c r="B96" s="57">
        <f>'Name List'!B96</f>
        <v>22</v>
      </c>
      <c r="C96" s="59">
        <f t="shared" si="4"/>
        <v>0</v>
      </c>
      <c r="D96" s="60">
        <f>'Scores and stats'!RN96</f>
        <v>0</v>
      </c>
      <c r="E96" s="61" t="str">
        <f t="shared" si="3"/>
        <v/>
      </c>
      <c r="F96" s="180">
        <v>22</v>
      </c>
      <c r="G96" s="181">
        <v>0</v>
      </c>
      <c r="H96">
        <v>0</v>
      </c>
      <c r="I96" t="str">
        <v/>
      </c>
    </row>
    <row r="97" spans="2:9" ht="12" x14ac:dyDescent="0.2">
      <c r="B97" s="57">
        <f>'Name List'!B97</f>
        <v>23</v>
      </c>
      <c r="C97" s="59">
        <f t="shared" si="4"/>
        <v>0</v>
      </c>
      <c r="D97" s="60">
        <f>'Scores and stats'!RN97</f>
        <v>0</v>
      </c>
      <c r="E97" s="61" t="str">
        <f t="shared" si="3"/>
        <v/>
      </c>
      <c r="F97" s="180">
        <v>23</v>
      </c>
      <c r="G97" s="181">
        <v>0</v>
      </c>
      <c r="H97">
        <v>0</v>
      </c>
      <c r="I97" t="str">
        <v/>
      </c>
    </row>
    <row r="98" spans="2:9" ht="12" x14ac:dyDescent="0.2">
      <c r="B98" s="57">
        <f>'Name List'!B98</f>
        <v>24</v>
      </c>
      <c r="C98" s="59">
        <f t="shared" si="4"/>
        <v>0</v>
      </c>
      <c r="D98" s="60">
        <f>'Scores and stats'!RN98</f>
        <v>0</v>
      </c>
      <c r="E98" s="61" t="str">
        <f t="shared" si="3"/>
        <v/>
      </c>
      <c r="F98" s="180">
        <v>24</v>
      </c>
      <c r="G98" s="181">
        <v>0</v>
      </c>
      <c r="H98">
        <v>0</v>
      </c>
      <c r="I98" t="str">
        <v/>
      </c>
    </row>
    <row r="99" spans="2:9" ht="12" x14ac:dyDescent="0.2">
      <c r="B99" s="57">
        <f>'Name List'!B99</f>
        <v>25</v>
      </c>
      <c r="C99" s="59">
        <f t="shared" si="4"/>
        <v>0</v>
      </c>
      <c r="D99" s="60">
        <f>'Scores and stats'!RN99</f>
        <v>0</v>
      </c>
      <c r="E99" s="61" t="str">
        <f t="shared" si="3"/>
        <v/>
      </c>
      <c r="F99" s="180">
        <v>25</v>
      </c>
      <c r="G99" s="181">
        <v>0</v>
      </c>
      <c r="H99">
        <v>0</v>
      </c>
      <c r="I99" t="str">
        <v/>
      </c>
    </row>
    <row r="100" spans="2:9" ht="12" x14ac:dyDescent="0.2">
      <c r="B100" s="57">
        <f>'Name List'!B100</f>
        <v>26</v>
      </c>
      <c r="C100" s="59">
        <f t="shared" si="4"/>
        <v>0</v>
      </c>
      <c r="D100" s="60">
        <f>'Scores and stats'!RN100</f>
        <v>0</v>
      </c>
      <c r="E100" s="61" t="str">
        <f t="shared" si="3"/>
        <v/>
      </c>
      <c r="F100" s="180">
        <v>26</v>
      </c>
      <c r="G100" s="181">
        <v>0</v>
      </c>
      <c r="H100">
        <v>0</v>
      </c>
      <c r="I100" t="str">
        <v/>
      </c>
    </row>
    <row r="101" spans="2:9" ht="12" x14ac:dyDescent="0.2">
      <c r="B101" s="57">
        <f>'Name List'!B101</f>
        <v>27</v>
      </c>
      <c r="C101" s="59">
        <f t="shared" si="4"/>
        <v>0</v>
      </c>
      <c r="D101" s="60">
        <f>'Scores and stats'!RN101</f>
        <v>0</v>
      </c>
      <c r="E101" s="61" t="str">
        <f t="shared" si="3"/>
        <v/>
      </c>
      <c r="F101" s="180">
        <v>27</v>
      </c>
      <c r="G101" s="181">
        <v>0</v>
      </c>
      <c r="H101">
        <v>0</v>
      </c>
      <c r="I101" t="str">
        <v/>
      </c>
    </row>
    <row r="102" spans="2:9" ht="12" x14ac:dyDescent="0.2">
      <c r="B102" s="57">
        <f>'Name List'!B102</f>
        <v>28</v>
      </c>
      <c r="C102" s="59">
        <f t="shared" si="4"/>
        <v>0</v>
      </c>
      <c r="D102" s="60">
        <f>'Scores and stats'!RN102</f>
        <v>0</v>
      </c>
      <c r="E102" s="61" t="str">
        <f t="shared" si="3"/>
        <v/>
      </c>
      <c r="F102" s="180">
        <v>28</v>
      </c>
      <c r="G102" s="181">
        <v>0</v>
      </c>
      <c r="H102">
        <v>0</v>
      </c>
      <c r="I102" t="str">
        <v/>
      </c>
    </row>
    <row r="103" spans="2:9" ht="12" x14ac:dyDescent="0.2">
      <c r="B103" s="57">
        <f>'Name List'!B103</f>
        <v>29</v>
      </c>
      <c r="C103" s="59">
        <f t="shared" si="4"/>
        <v>0</v>
      </c>
      <c r="D103" s="60">
        <f>'Scores and stats'!RN103</f>
        <v>0</v>
      </c>
      <c r="E103" s="61" t="str">
        <f t="shared" si="3"/>
        <v/>
      </c>
      <c r="F103" s="180">
        <v>29</v>
      </c>
      <c r="G103" s="181">
        <v>0</v>
      </c>
      <c r="H103">
        <v>0</v>
      </c>
      <c r="I103" t="str">
        <v/>
      </c>
    </row>
    <row r="104" spans="2:9" ht="12" x14ac:dyDescent="0.2">
      <c r="B104" s="57">
        <f>'Name List'!B104</f>
        <v>30</v>
      </c>
      <c r="C104" s="59">
        <f t="shared" si="4"/>
        <v>0</v>
      </c>
      <c r="D104" s="60">
        <f>'Scores and stats'!RN104</f>
        <v>0</v>
      </c>
      <c r="E104" s="61" t="str">
        <f t="shared" si="3"/>
        <v/>
      </c>
      <c r="F104" s="180">
        <v>30</v>
      </c>
      <c r="G104" s="181">
        <v>0</v>
      </c>
      <c r="H104">
        <v>0</v>
      </c>
      <c r="I104" t="str">
        <v/>
      </c>
    </row>
    <row r="105" spans="2:9" ht="12" x14ac:dyDescent="0.2">
      <c r="B105" s="57">
        <f>'Name List'!B105</f>
        <v>31</v>
      </c>
      <c r="C105" s="59">
        <f t="shared" si="4"/>
        <v>0</v>
      </c>
      <c r="D105" s="60">
        <f>'Scores and stats'!RN105</f>
        <v>0</v>
      </c>
      <c r="E105" s="61" t="str">
        <f t="shared" si="3"/>
        <v/>
      </c>
      <c r="F105" s="196">
        <v>31</v>
      </c>
      <c r="G105" s="197">
        <v>0</v>
      </c>
      <c r="H105">
        <v>0</v>
      </c>
      <c r="I105" t="str">
        <v/>
      </c>
    </row>
  </sheetData>
  <mergeCells count="1">
    <mergeCell ref="F3:G3"/>
  </mergeCells>
  <pageMargins left="0.7" right="0.7" top="0.75" bottom="0.75" header="0.3" footer="0.3"/>
  <pageSetup paperSize="9" orientation="portrait" r:id="rId1"/>
  <headerFooter>
    <oddFooter>&amp;C&amp;1#&amp;"Calibri"&amp;10&amp;K000000PUBLIC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BF29-8C49-47F0-88BF-9A5F0E864827}">
  <dimension ref="B2:M108"/>
  <sheetViews>
    <sheetView zoomScaleNormal="100" workbookViewId="0">
      <selection activeCell="B17" sqref="B17"/>
    </sheetView>
  </sheetViews>
  <sheetFormatPr defaultColWidth="9.33203125" defaultRowHeight="12" x14ac:dyDescent="0.2"/>
  <cols>
    <col min="1" max="1" width="9.33203125" style="57"/>
    <col min="2" max="2" width="23.1640625" style="57" customWidth="1"/>
    <col min="3" max="4" width="17.6640625" style="58" customWidth="1"/>
    <col min="5" max="5" width="3.5" style="57" customWidth="1"/>
    <col min="6" max="6" width="25" style="59" customWidth="1"/>
    <col min="7" max="7" width="9.33203125" style="59"/>
    <col min="8" max="8" width="10.1640625" style="59" bestFit="1" customWidth="1"/>
    <col min="10" max="10" width="18.33203125" style="57" customWidth="1"/>
    <col min="11" max="12" width="9.33203125" style="57"/>
    <col min="13" max="13" width="18" style="57" bestFit="1" customWidth="1"/>
    <col min="14" max="16384" width="9.33203125" style="57"/>
  </cols>
  <sheetData>
    <row r="2" spans="2:13" x14ac:dyDescent="0.2">
      <c r="F2" s="733" t="s">
        <v>155</v>
      </c>
      <c r="G2" s="734"/>
      <c r="H2" s="734"/>
    </row>
    <row r="3" spans="2:13" x14ac:dyDescent="0.2">
      <c r="B3" s="57" t="s">
        <v>49</v>
      </c>
      <c r="C3" s="58" t="s">
        <v>132</v>
      </c>
      <c r="D3" s="58" t="s">
        <v>307</v>
      </c>
      <c r="E3" s="58"/>
      <c r="F3" s="472" t="s">
        <v>308</v>
      </c>
      <c r="G3" s="472" t="s">
        <v>309</v>
      </c>
      <c r="H3" s="472" t="s">
        <v>310</v>
      </c>
      <c r="J3" s="59" t="s">
        <v>134</v>
      </c>
      <c r="L3"/>
      <c r="M3" s="475" t="s">
        <v>300</v>
      </c>
    </row>
    <row r="4" spans="2:13" x14ac:dyDescent="0.2">
      <c r="F4" s="199"/>
      <c r="G4" s="200"/>
      <c r="H4" s="200"/>
      <c r="L4"/>
      <c r="M4" s="475" t="s">
        <v>301</v>
      </c>
    </row>
    <row r="5" spans="2:13" x14ac:dyDescent="0.2">
      <c r="F5" s="199"/>
      <c r="G5" s="200"/>
      <c r="H5" s="200"/>
      <c r="L5"/>
      <c r="M5" s="475" t="s">
        <v>279</v>
      </c>
    </row>
    <row r="6" spans="2:13" x14ac:dyDescent="0.2">
      <c r="B6" s="475" t="str">
        <f>'Name List'!B6</f>
        <v>Stuart Anderson</v>
      </c>
      <c r="C6" s="60">
        <f>'Scores and stats'!QY6+'Scores and stats'!RP6</f>
        <v>0</v>
      </c>
      <c r="D6" s="60">
        <f>C6+1</f>
        <v>1</v>
      </c>
      <c r="E6" s="61"/>
      <c r="F6" s="199" t="str" cm="1">
        <f t="array" ref="F6:H105">_xlfn._xlws.SORT(B6:D105,3,-1)</f>
        <v>Tony Forsyth-James</v>
      </c>
      <c r="G6" s="200">
        <v>17</v>
      </c>
      <c r="H6" s="200">
        <v>18</v>
      </c>
      <c r="J6" s="131">
        <f>IF(G6=0,0,IF(G6&lt;5,35,IF(G6&lt;10,20,IF(G6&lt;15,10,IF(G6&gt;15,0,0)))))</f>
        <v>0</v>
      </c>
      <c r="L6"/>
      <c r="M6" s="475" t="s">
        <v>302</v>
      </c>
    </row>
    <row r="7" spans="2:13" x14ac:dyDescent="0.2">
      <c r="B7" s="475" t="str">
        <f>'Name List'!B7</f>
        <v>Max Ball</v>
      </c>
      <c r="C7" s="60">
        <f>'Scores and stats'!QY7+'Scores and stats'!RP7</f>
        <v>10</v>
      </c>
      <c r="D7" s="60">
        <f>C7+1</f>
        <v>11</v>
      </c>
      <c r="F7" s="199" t="str">
        <v>Dave Randall</v>
      </c>
      <c r="G7" s="200">
        <v>17</v>
      </c>
      <c r="H7" s="200">
        <v>18</v>
      </c>
      <c r="J7" s="131">
        <f t="shared" ref="J7:J71" si="0">IF(G7=0,0,IF(G7&lt;5,35,IF(G7&lt;10,20,IF(G7&lt;15,10,IF(G7&gt;15,0,0)))))</f>
        <v>0</v>
      </c>
      <c r="L7"/>
      <c r="M7" s="475" t="s">
        <v>303</v>
      </c>
    </row>
    <row r="8" spans="2:13" x14ac:dyDescent="0.2">
      <c r="B8" s="57" t="str">
        <f>'Name List'!B8</f>
        <v>Harley Bishop</v>
      </c>
      <c r="C8" s="60">
        <f>'Scores and stats'!QY8+'Scores and stats'!RP8</f>
        <v>7</v>
      </c>
      <c r="D8" s="60">
        <f t="shared" ref="D8:D70" si="1">C8</f>
        <v>7</v>
      </c>
      <c r="F8" s="199" t="str">
        <v>Brad Whitehead</v>
      </c>
      <c r="G8" s="200">
        <v>15</v>
      </c>
      <c r="H8" s="200">
        <v>16</v>
      </c>
      <c r="J8" s="131">
        <f t="shared" si="0"/>
        <v>0</v>
      </c>
      <c r="L8"/>
      <c r="M8" s="475" t="s">
        <v>88</v>
      </c>
    </row>
    <row r="9" spans="2:13" x14ac:dyDescent="0.2">
      <c r="B9" s="57" t="str">
        <f>'Name List'!B9</f>
        <v>Chris Burroughs</v>
      </c>
      <c r="C9" s="60">
        <f>'Scores and stats'!QY9+'Scores and stats'!RP9</f>
        <v>2</v>
      </c>
      <c r="D9" s="60">
        <f t="shared" si="1"/>
        <v>2</v>
      </c>
      <c r="F9" s="199" t="str">
        <v>Ben Fleet</v>
      </c>
      <c r="G9" s="200">
        <v>14</v>
      </c>
      <c r="H9" s="200">
        <v>15</v>
      </c>
      <c r="J9" s="131">
        <f t="shared" si="0"/>
        <v>10</v>
      </c>
      <c r="L9"/>
      <c r="M9" s="475" t="s">
        <v>232</v>
      </c>
    </row>
    <row r="10" spans="2:13" x14ac:dyDescent="0.2">
      <c r="B10" s="57" t="str">
        <f>'Name List'!B10</f>
        <v>George Burton</v>
      </c>
      <c r="C10" s="60">
        <f>'Scores and stats'!QY10+'Scores and stats'!RP10</f>
        <v>2</v>
      </c>
      <c r="D10" s="60">
        <f t="shared" si="1"/>
        <v>2</v>
      </c>
      <c r="F10" s="199" t="str">
        <v>Andy Johnson</v>
      </c>
      <c r="G10" s="200">
        <v>13</v>
      </c>
      <c r="H10" s="200">
        <v>14</v>
      </c>
      <c r="J10" s="131">
        <f t="shared" si="0"/>
        <v>10</v>
      </c>
      <c r="L10"/>
      <c r="M10" s="475" t="s">
        <v>112</v>
      </c>
    </row>
    <row r="11" spans="2:13" x14ac:dyDescent="0.2">
      <c r="B11" s="57" t="str">
        <f>'Name List'!B11</f>
        <v>Tom Burton</v>
      </c>
      <c r="C11" s="60">
        <f>'Scores and stats'!QY11+'Scores and stats'!RP11</f>
        <v>5</v>
      </c>
      <c r="D11" s="60">
        <f t="shared" si="1"/>
        <v>5</v>
      </c>
      <c r="F11" s="199" t="str">
        <v>Martin Coomber</v>
      </c>
      <c r="G11" s="200">
        <v>13</v>
      </c>
      <c r="H11" s="200">
        <v>13</v>
      </c>
      <c r="J11" s="131">
        <f t="shared" si="0"/>
        <v>10</v>
      </c>
      <c r="L11"/>
      <c r="M11" s="475" t="s">
        <v>304</v>
      </c>
    </row>
    <row r="12" spans="2:13" x14ac:dyDescent="0.2">
      <c r="B12" s="57" t="str">
        <f>'Name List'!B12</f>
        <v>Mike Chubb</v>
      </c>
      <c r="C12" s="60">
        <f>'Scores and stats'!QY12+'Scores and stats'!RP12</f>
        <v>1</v>
      </c>
      <c r="D12" s="60">
        <f t="shared" si="1"/>
        <v>1</v>
      </c>
      <c r="F12" s="199" t="str">
        <v>Chris Smith</v>
      </c>
      <c r="G12" s="200">
        <v>11</v>
      </c>
      <c r="H12" s="200">
        <v>12</v>
      </c>
      <c r="J12" s="131">
        <f t="shared" si="0"/>
        <v>10</v>
      </c>
      <c r="L12"/>
      <c r="M12" s="475" t="s">
        <v>92</v>
      </c>
    </row>
    <row r="13" spans="2:13" x14ac:dyDescent="0.2">
      <c r="B13" s="57" t="str">
        <f>'Name List'!B13</f>
        <v>George Clarke</v>
      </c>
      <c r="C13" s="60">
        <f>'Scores and stats'!QY13+'Scores and stats'!RP13</f>
        <v>1</v>
      </c>
      <c r="D13" s="60">
        <f t="shared" si="1"/>
        <v>1</v>
      </c>
      <c r="F13" s="199" t="str">
        <v>Kevin Tribley</v>
      </c>
      <c r="G13" s="200">
        <v>12</v>
      </c>
      <c r="H13" s="200">
        <v>12</v>
      </c>
      <c r="J13" s="131">
        <f t="shared" si="0"/>
        <v>10</v>
      </c>
      <c r="L13"/>
      <c r="M13" s="475" t="s">
        <v>89</v>
      </c>
    </row>
    <row r="14" spans="2:13" x14ac:dyDescent="0.2">
      <c r="B14" s="475" t="str">
        <f>'Name List'!B14</f>
        <v>Paul Clarke</v>
      </c>
      <c r="C14" s="60">
        <f>'Scores and stats'!QY14+'Scores and stats'!RP14</f>
        <v>8</v>
      </c>
      <c r="D14" s="60">
        <f>C14+1</f>
        <v>9</v>
      </c>
      <c r="F14" s="199" t="str">
        <v>Max Ball</v>
      </c>
      <c r="G14" s="200">
        <v>10</v>
      </c>
      <c r="H14" s="200">
        <v>11</v>
      </c>
      <c r="J14" s="131">
        <f t="shared" si="0"/>
        <v>10</v>
      </c>
      <c r="L14"/>
      <c r="M14" s="475" t="s">
        <v>111</v>
      </c>
    </row>
    <row r="15" spans="2:13" x14ac:dyDescent="0.2">
      <c r="B15" s="57" t="str">
        <f>'Name List'!B15</f>
        <v>Martin Coomber</v>
      </c>
      <c r="C15" s="60">
        <f>'Scores and stats'!QY15+'Scores and stats'!RP15</f>
        <v>13</v>
      </c>
      <c r="D15" s="60">
        <f t="shared" si="1"/>
        <v>13</v>
      </c>
      <c r="F15" s="199" t="str">
        <v>Mike Forrest</v>
      </c>
      <c r="G15" s="200">
        <v>10</v>
      </c>
      <c r="H15" s="200">
        <v>11</v>
      </c>
      <c r="J15" s="131">
        <f t="shared" si="0"/>
        <v>10</v>
      </c>
      <c r="L15"/>
      <c r="M15" s="475" t="s">
        <v>306</v>
      </c>
    </row>
    <row r="16" spans="2:13" x14ac:dyDescent="0.2">
      <c r="B16" s="57" t="str">
        <f>'Name List'!B16</f>
        <v>Dominic Coughlin</v>
      </c>
      <c r="C16" s="60">
        <f>'Scores and stats'!QY16+'Scores and stats'!RP16</f>
        <v>1</v>
      </c>
      <c r="D16" s="60">
        <f t="shared" si="1"/>
        <v>1</v>
      </c>
      <c r="F16" s="199" t="str">
        <v>Justin Hunt</v>
      </c>
      <c r="G16" s="200">
        <v>10</v>
      </c>
      <c r="H16" s="200">
        <v>11</v>
      </c>
      <c r="J16" s="131">
        <f t="shared" si="0"/>
        <v>10</v>
      </c>
      <c r="L16"/>
      <c r="M16" s="475" t="s">
        <v>144</v>
      </c>
    </row>
    <row r="17" spans="2:13" x14ac:dyDescent="0.2">
      <c r="B17" s="57" t="str">
        <f>'Name List'!B17</f>
        <v>Gareth Davies</v>
      </c>
      <c r="C17" s="60">
        <f>'Scores and stats'!QY17+'Scores and stats'!RP17</f>
        <v>5</v>
      </c>
      <c r="D17" s="60">
        <f t="shared" si="1"/>
        <v>5</v>
      </c>
      <c r="F17" s="199" t="str">
        <v>Peter Vallely</v>
      </c>
      <c r="G17" s="200">
        <v>11</v>
      </c>
      <c r="H17" s="200">
        <v>11</v>
      </c>
      <c r="J17" s="131">
        <f t="shared" si="0"/>
        <v>10</v>
      </c>
      <c r="L17"/>
      <c r="M17" s="475" t="s">
        <v>266</v>
      </c>
    </row>
    <row r="18" spans="2:13" x14ac:dyDescent="0.2">
      <c r="B18" s="57" t="str">
        <f>'Name List'!B18</f>
        <v>Peter Donovan</v>
      </c>
      <c r="C18" s="60">
        <f>'Scores and stats'!QY18+'Scores and stats'!RP18</f>
        <v>0</v>
      </c>
      <c r="D18" s="60">
        <f t="shared" si="1"/>
        <v>0</v>
      </c>
      <c r="F18" s="199" t="str">
        <v>Jason Wale</v>
      </c>
      <c r="G18" s="200">
        <v>10</v>
      </c>
      <c r="H18" s="200">
        <v>10</v>
      </c>
      <c r="J18" s="131">
        <f t="shared" si="0"/>
        <v>10</v>
      </c>
      <c r="L18"/>
      <c r="M18" s="475" t="s">
        <v>15</v>
      </c>
    </row>
    <row r="19" spans="2:13" x14ac:dyDescent="0.2">
      <c r="B19" s="57" t="str">
        <f>'Name List'!B19</f>
        <v>James Dunn</v>
      </c>
      <c r="C19" s="60">
        <f>'Scores and stats'!QY19+'Scores and stats'!RP19</f>
        <v>1</v>
      </c>
      <c r="D19" s="60">
        <f t="shared" si="1"/>
        <v>1</v>
      </c>
      <c r="F19" s="199" t="str">
        <v>Paul Clarke</v>
      </c>
      <c r="G19" s="200">
        <v>8</v>
      </c>
      <c r="H19" s="200">
        <v>9</v>
      </c>
      <c r="J19" s="131">
        <f t="shared" si="0"/>
        <v>20</v>
      </c>
      <c r="L19"/>
      <c r="M19" s="475" t="s">
        <v>267</v>
      </c>
    </row>
    <row r="20" spans="2:13" x14ac:dyDescent="0.2">
      <c r="B20" s="57" t="str">
        <f>'Name List'!B20</f>
        <v>Gordon Fielding</v>
      </c>
      <c r="C20" s="60">
        <f>'Scores and stats'!QY20+'Scores and stats'!RP20</f>
        <v>0</v>
      </c>
      <c r="D20" s="60">
        <f t="shared" si="1"/>
        <v>0</v>
      </c>
      <c r="F20" s="199" t="str">
        <v>Anthony Harris</v>
      </c>
      <c r="G20" s="200">
        <v>8</v>
      </c>
      <c r="H20" s="200">
        <v>8</v>
      </c>
      <c r="J20" s="131">
        <f t="shared" si="0"/>
        <v>20</v>
      </c>
      <c r="L20"/>
      <c r="M20" s="475" t="s">
        <v>120</v>
      </c>
    </row>
    <row r="21" spans="2:13" x14ac:dyDescent="0.2">
      <c r="B21" s="57" t="str">
        <f>'Name List'!B21</f>
        <v>Paul Fitzgerald</v>
      </c>
      <c r="C21" s="60">
        <f>'Scores and stats'!QY21+'Scores and stats'!RP21</f>
        <v>4</v>
      </c>
      <c r="D21" s="60">
        <f t="shared" si="1"/>
        <v>4</v>
      </c>
      <c r="F21" s="199" t="str">
        <v>Harley Bishop</v>
      </c>
      <c r="G21" s="200">
        <v>7</v>
      </c>
      <c r="H21" s="200">
        <v>7</v>
      </c>
      <c r="J21" s="131">
        <f t="shared" si="0"/>
        <v>20</v>
      </c>
      <c r="M21" s="475" t="s">
        <v>62</v>
      </c>
    </row>
    <row r="22" spans="2:13" x14ac:dyDescent="0.2">
      <c r="B22" s="475" t="str">
        <f>'Name List'!B22</f>
        <v>Ben Fleet</v>
      </c>
      <c r="C22" s="60">
        <f>'Scores and stats'!QY22+'Scores and stats'!RP22</f>
        <v>14</v>
      </c>
      <c r="D22" s="60">
        <f>C22+1</f>
        <v>15</v>
      </c>
      <c r="E22" s="61"/>
      <c r="F22" s="199" t="str">
        <v>Nick Garner</v>
      </c>
      <c r="G22" s="200">
        <v>7</v>
      </c>
      <c r="H22" s="200">
        <v>7</v>
      </c>
      <c r="J22" s="131">
        <f t="shared" si="0"/>
        <v>20</v>
      </c>
      <c r="M22" s="475" t="s">
        <v>146</v>
      </c>
    </row>
    <row r="23" spans="2:13" x14ac:dyDescent="0.2">
      <c r="B23" s="475" t="str">
        <f>'Name List'!B23</f>
        <v>Mike Forrest</v>
      </c>
      <c r="C23" s="60">
        <f>'Scores and stats'!QY23+'Scores and stats'!RP23</f>
        <v>10</v>
      </c>
      <c r="D23" s="60">
        <f>C23+1</f>
        <v>11</v>
      </c>
      <c r="F23" s="199" t="str">
        <v>Sam Cochrane</v>
      </c>
      <c r="G23" s="200">
        <v>7</v>
      </c>
      <c r="H23" s="200">
        <v>7</v>
      </c>
      <c r="J23" s="131">
        <f t="shared" si="0"/>
        <v>20</v>
      </c>
      <c r="M23" s="475" t="s">
        <v>305</v>
      </c>
    </row>
    <row r="24" spans="2:13" x14ac:dyDescent="0.2">
      <c r="B24" s="475" t="str">
        <f>'Name List'!B24</f>
        <v>Tony Forsyth-James</v>
      </c>
      <c r="C24" s="60">
        <f>'Scores and stats'!QY24+'Scores and stats'!RP24</f>
        <v>17</v>
      </c>
      <c r="D24" s="60">
        <f>C24+1</f>
        <v>18</v>
      </c>
      <c r="F24" s="199" t="str">
        <v>Neil Hart</v>
      </c>
      <c r="G24" s="200">
        <v>6</v>
      </c>
      <c r="H24" s="200">
        <v>6</v>
      </c>
      <c r="J24" s="131">
        <f t="shared" si="0"/>
        <v>20</v>
      </c>
    </row>
    <row r="25" spans="2:13" x14ac:dyDescent="0.2">
      <c r="B25" s="475" t="str">
        <f>'Name List'!B25</f>
        <v>Archie Fraser</v>
      </c>
      <c r="C25" s="60">
        <f>'Scores and stats'!QY25+'Scores and stats'!RP25</f>
        <v>2</v>
      </c>
      <c r="D25" s="60">
        <f>C25+1</f>
        <v>3</v>
      </c>
      <c r="F25" s="199" t="str">
        <v>Terry Walker</v>
      </c>
      <c r="G25" s="200">
        <v>5</v>
      </c>
      <c r="H25" s="200">
        <v>6</v>
      </c>
      <c r="J25" s="131">
        <f t="shared" si="0"/>
        <v>20</v>
      </c>
    </row>
    <row r="26" spans="2:13" x14ac:dyDescent="0.2">
      <c r="B26" s="475" t="str">
        <f>'Name List'!B26</f>
        <v>Ross Fraser</v>
      </c>
      <c r="C26" s="60">
        <f>'Scores and stats'!QY26+'Scores and stats'!RP26</f>
        <v>3</v>
      </c>
      <c r="D26" s="60">
        <f>C26+1</f>
        <v>4</v>
      </c>
      <c r="F26" s="199" t="str">
        <v>Shaun Alexander</v>
      </c>
      <c r="G26" s="200">
        <v>6</v>
      </c>
      <c r="H26" s="200">
        <v>6</v>
      </c>
      <c r="J26" s="131">
        <f t="shared" si="0"/>
        <v>20</v>
      </c>
    </row>
    <row r="27" spans="2:13" x14ac:dyDescent="0.2">
      <c r="B27" s="57" t="str">
        <f>'Name List'!B27</f>
        <v>Nick Garner</v>
      </c>
      <c r="C27" s="60">
        <f>'Scores and stats'!QY27+'Scores and stats'!RP27</f>
        <v>7</v>
      </c>
      <c r="D27" s="60">
        <f t="shared" si="1"/>
        <v>7</v>
      </c>
      <c r="E27" s="61"/>
      <c r="F27" s="199" t="str">
        <v>Tom Burton</v>
      </c>
      <c r="G27" s="200">
        <v>5</v>
      </c>
      <c r="H27" s="200">
        <v>5</v>
      </c>
      <c r="J27" s="131">
        <f t="shared" si="0"/>
        <v>20</v>
      </c>
    </row>
    <row r="28" spans="2:13" x14ac:dyDescent="0.2">
      <c r="B28" s="475" t="str">
        <f>'Name List'!B28</f>
        <v>Stuart Gay</v>
      </c>
      <c r="C28" s="60">
        <f>'Scores and stats'!QY28+'Scores and stats'!RP28</f>
        <v>1</v>
      </c>
      <c r="D28" s="60">
        <f>C28+1</f>
        <v>2</v>
      </c>
      <c r="F28" s="199" t="str">
        <v>Gareth Davies</v>
      </c>
      <c r="G28" s="200">
        <v>5</v>
      </c>
      <c r="H28" s="200">
        <v>5</v>
      </c>
      <c r="J28" s="131">
        <f t="shared" si="0"/>
        <v>20</v>
      </c>
    </row>
    <row r="29" spans="2:13" x14ac:dyDescent="0.2">
      <c r="B29" s="57" t="str">
        <f>'Name List'!B29</f>
        <v>Jordan Hall</v>
      </c>
      <c r="C29" s="60">
        <f>'Scores and stats'!QY29+'Scores and stats'!RP29</f>
        <v>1</v>
      </c>
      <c r="D29" s="60">
        <f t="shared" si="1"/>
        <v>1</v>
      </c>
      <c r="E29" s="61"/>
      <c r="F29" s="199" t="str">
        <v>Joe Hooper</v>
      </c>
      <c r="G29" s="200">
        <v>4</v>
      </c>
      <c r="H29" s="200">
        <v>5</v>
      </c>
      <c r="J29" s="131">
        <f t="shared" si="0"/>
        <v>35</v>
      </c>
    </row>
    <row r="30" spans="2:13" x14ac:dyDescent="0.2">
      <c r="B30" s="57" t="str">
        <f>'Name List'!B30</f>
        <v>Gary Hall</v>
      </c>
      <c r="C30" s="60">
        <f>'Scores and stats'!QY30+'Scores and stats'!RP30</f>
        <v>1</v>
      </c>
      <c r="D30" s="60">
        <f t="shared" si="1"/>
        <v>1</v>
      </c>
      <c r="F30" s="199" t="str">
        <v>Paul Fitzgerald</v>
      </c>
      <c r="G30" s="200">
        <v>4</v>
      </c>
      <c r="H30" s="200">
        <v>4</v>
      </c>
      <c r="J30" s="131">
        <f t="shared" si="0"/>
        <v>35</v>
      </c>
    </row>
    <row r="31" spans="2:13" x14ac:dyDescent="0.2">
      <c r="B31" s="57" t="str">
        <f>'Name List'!B31</f>
        <v>Anthony Harris</v>
      </c>
      <c r="C31" s="60">
        <f>'Scores and stats'!QY31+'Scores and stats'!RP31</f>
        <v>8</v>
      </c>
      <c r="D31" s="60">
        <f t="shared" si="1"/>
        <v>8</v>
      </c>
      <c r="F31" s="199" t="str">
        <v>Ross Fraser</v>
      </c>
      <c r="G31" s="200">
        <v>3</v>
      </c>
      <c r="H31" s="200">
        <v>4</v>
      </c>
      <c r="J31" s="131">
        <f t="shared" si="0"/>
        <v>35</v>
      </c>
    </row>
    <row r="32" spans="2:13" x14ac:dyDescent="0.2">
      <c r="B32" s="57" t="str">
        <f>'Name List'!B32</f>
        <v>Neil Hart</v>
      </c>
      <c r="C32" s="60">
        <f>'Scores and stats'!QY32+'Scores and stats'!RP32</f>
        <v>6</v>
      </c>
      <c r="D32" s="60">
        <f t="shared" si="1"/>
        <v>6</v>
      </c>
      <c r="F32" s="199" t="str">
        <v>Dickie Moxham</v>
      </c>
      <c r="G32" s="200">
        <v>4</v>
      </c>
      <c r="H32" s="200">
        <v>4</v>
      </c>
      <c r="J32" s="131">
        <f t="shared" si="0"/>
        <v>35</v>
      </c>
    </row>
    <row r="33" spans="2:10" x14ac:dyDescent="0.2">
      <c r="B33" s="57" t="str">
        <f>'Name List'!B33</f>
        <v>Tony Hearson</v>
      </c>
      <c r="C33" s="60">
        <f>'Scores and stats'!QY33+'Scores and stats'!RP33</f>
        <v>0</v>
      </c>
      <c r="D33" s="60">
        <f t="shared" si="1"/>
        <v>0</v>
      </c>
      <c r="F33" s="199" t="str">
        <v>Finn Wheeler</v>
      </c>
      <c r="G33" s="200">
        <v>3</v>
      </c>
      <c r="H33" s="200">
        <v>4</v>
      </c>
      <c r="J33" s="131">
        <f t="shared" si="0"/>
        <v>35</v>
      </c>
    </row>
    <row r="34" spans="2:10" x14ac:dyDescent="0.2">
      <c r="B34" s="57" t="str">
        <f>'Name List'!B34</f>
        <v>David Hilton</v>
      </c>
      <c r="C34" s="60">
        <f>'Scores and stats'!QY34+'Scores and stats'!RP34</f>
        <v>1</v>
      </c>
      <c r="D34" s="60">
        <f t="shared" si="1"/>
        <v>1</v>
      </c>
      <c r="F34" s="199" t="str">
        <v>Steve Wheeler</v>
      </c>
      <c r="G34" s="200">
        <v>3</v>
      </c>
      <c r="H34" s="200">
        <v>4</v>
      </c>
      <c r="J34" s="131">
        <f t="shared" si="0"/>
        <v>35</v>
      </c>
    </row>
    <row r="35" spans="2:10" x14ac:dyDescent="0.2">
      <c r="B35" s="57" t="str">
        <f>'Name List'!B35</f>
        <v>Eoghan Hilton</v>
      </c>
      <c r="C35" s="60">
        <f>'Scores and stats'!QY35+'Scores and stats'!RP35</f>
        <v>2</v>
      </c>
      <c r="D35" s="60">
        <f t="shared" si="1"/>
        <v>2</v>
      </c>
      <c r="F35" s="199" t="str">
        <v>Archie Fraser</v>
      </c>
      <c r="G35" s="200">
        <v>2</v>
      </c>
      <c r="H35" s="200">
        <v>3</v>
      </c>
      <c r="J35" s="131">
        <f t="shared" si="0"/>
        <v>35</v>
      </c>
    </row>
    <row r="36" spans="2:10" x14ac:dyDescent="0.2">
      <c r="B36" s="57" t="str">
        <f>'Name List'!B36</f>
        <v>Martin Holder</v>
      </c>
      <c r="C36" s="60">
        <f>'Scores and stats'!QY36+'Scores and stats'!RP36</f>
        <v>0</v>
      </c>
      <c r="D36" s="60">
        <f t="shared" si="1"/>
        <v>0</v>
      </c>
      <c r="F36" s="199" t="str">
        <v>Paul Martin</v>
      </c>
      <c r="G36" s="200">
        <v>3</v>
      </c>
      <c r="H36" s="200">
        <v>3</v>
      </c>
      <c r="J36" s="131">
        <f t="shared" si="0"/>
        <v>35</v>
      </c>
    </row>
    <row r="37" spans="2:10" x14ac:dyDescent="0.2">
      <c r="B37" s="475" t="str">
        <f>'Name List'!B37</f>
        <v>Justin Hunt</v>
      </c>
      <c r="C37" s="60">
        <f>'Scores and stats'!QY37+'Scores and stats'!RP37</f>
        <v>10</v>
      </c>
      <c r="D37" s="60">
        <f>C37+1</f>
        <v>11</v>
      </c>
      <c r="F37" s="199" t="str">
        <v>Edward Money</v>
      </c>
      <c r="G37" s="200">
        <v>3</v>
      </c>
      <c r="H37" s="200">
        <v>3</v>
      </c>
      <c r="J37" s="131">
        <f t="shared" si="0"/>
        <v>35</v>
      </c>
    </row>
    <row r="38" spans="2:10" x14ac:dyDescent="0.2">
      <c r="B38" s="57" t="str">
        <f>'Name List'!B38</f>
        <v>Mark Hutchinson</v>
      </c>
      <c r="C38" s="60">
        <f>'Scores and stats'!QY38+'Scores and stats'!RP38</f>
        <v>0</v>
      </c>
      <c r="D38" s="60">
        <f t="shared" si="1"/>
        <v>0</v>
      </c>
      <c r="F38" s="199" t="str">
        <v>Arron Rutherford</v>
      </c>
      <c r="G38" s="200">
        <v>2</v>
      </c>
      <c r="H38" s="200">
        <v>3</v>
      </c>
      <c r="J38" s="131">
        <f t="shared" si="0"/>
        <v>35</v>
      </c>
    </row>
    <row r="39" spans="2:10" x14ac:dyDescent="0.2">
      <c r="B39" s="475" t="str">
        <f>'Name List'!B39</f>
        <v>Andy Johnson</v>
      </c>
      <c r="C39" s="60">
        <f>'Scores and stats'!QY39+'Scores and stats'!RP39</f>
        <v>13</v>
      </c>
      <c r="D39" s="60">
        <f>C39+1</f>
        <v>14</v>
      </c>
      <c r="F39" s="199" t="str">
        <v>Ryan Vaughan</v>
      </c>
      <c r="G39" s="200">
        <v>3</v>
      </c>
      <c r="H39" s="200">
        <v>3</v>
      </c>
      <c r="J39" s="131">
        <f t="shared" si="0"/>
        <v>35</v>
      </c>
    </row>
    <row r="40" spans="2:10" x14ac:dyDescent="0.2">
      <c r="B40" s="57" t="str">
        <f>'Name List'!B40</f>
        <v>Oli Lloyd</v>
      </c>
      <c r="C40" s="60">
        <f>'Scores and stats'!QY40+'Scores and stats'!RP40</f>
        <v>2</v>
      </c>
      <c r="D40" s="60">
        <f t="shared" si="1"/>
        <v>2</v>
      </c>
      <c r="F40" s="199" t="str">
        <v>Chris Burroughs</v>
      </c>
      <c r="G40" s="200">
        <v>2</v>
      </c>
      <c r="H40" s="200">
        <v>2</v>
      </c>
      <c r="J40" s="131">
        <f t="shared" si="0"/>
        <v>35</v>
      </c>
    </row>
    <row r="41" spans="2:10" x14ac:dyDescent="0.2">
      <c r="B41" s="57" t="str">
        <f>'Name List'!B41</f>
        <v>Andy Lucey</v>
      </c>
      <c r="C41" s="60">
        <f>'Scores and stats'!QY41+'Scores and stats'!RP41</f>
        <v>0</v>
      </c>
      <c r="D41" s="60">
        <f t="shared" si="1"/>
        <v>0</v>
      </c>
      <c r="F41" s="199" t="str">
        <v>George Burton</v>
      </c>
      <c r="G41" s="200">
        <v>2</v>
      </c>
      <c r="H41" s="200">
        <v>2</v>
      </c>
      <c r="J41" s="131">
        <f t="shared" si="0"/>
        <v>35</v>
      </c>
    </row>
    <row r="42" spans="2:10" x14ac:dyDescent="0.2">
      <c r="B42" s="57" t="str">
        <f>'Name List'!B42</f>
        <v>Paul Martin</v>
      </c>
      <c r="C42" s="60">
        <f>'Scores and stats'!QY42+'Scores and stats'!RP42</f>
        <v>3</v>
      </c>
      <c r="D42" s="60">
        <f t="shared" si="1"/>
        <v>3</v>
      </c>
      <c r="E42" s="61"/>
      <c r="F42" s="199" t="str">
        <v>Stuart Gay</v>
      </c>
      <c r="G42" s="200">
        <v>1</v>
      </c>
      <c r="H42" s="200">
        <v>2</v>
      </c>
      <c r="J42" s="131">
        <f t="shared" si="0"/>
        <v>35</v>
      </c>
    </row>
    <row r="43" spans="2:10" x14ac:dyDescent="0.2">
      <c r="B43" s="57" t="str">
        <f>'Name List'!B43</f>
        <v>Edward Money</v>
      </c>
      <c r="C43" s="60">
        <f>'Scores and stats'!QY43+'Scores and stats'!RP43</f>
        <v>3</v>
      </c>
      <c r="D43" s="60">
        <f t="shared" si="1"/>
        <v>3</v>
      </c>
      <c r="E43" s="61"/>
      <c r="F43" s="199" t="str">
        <v>Eoghan Hilton</v>
      </c>
      <c r="G43" s="200">
        <v>2</v>
      </c>
      <c r="H43" s="200">
        <v>2</v>
      </c>
      <c r="J43" s="131">
        <f t="shared" si="0"/>
        <v>35</v>
      </c>
    </row>
    <row r="44" spans="2:10" x14ac:dyDescent="0.2">
      <c r="B44" s="57" t="str">
        <f>'Name List'!B44</f>
        <v>Dickie Moxham</v>
      </c>
      <c r="C44" s="60">
        <f>'Scores and stats'!QY44+'Scores and stats'!RP44</f>
        <v>4</v>
      </c>
      <c r="D44" s="60">
        <f t="shared" si="1"/>
        <v>4</v>
      </c>
      <c r="F44" s="199" t="str">
        <v>Oli Lloyd</v>
      </c>
      <c r="G44" s="200">
        <v>2</v>
      </c>
      <c r="H44" s="200">
        <v>2</v>
      </c>
      <c r="J44" s="131">
        <f t="shared" si="0"/>
        <v>35</v>
      </c>
    </row>
    <row r="45" spans="2:10" x14ac:dyDescent="0.2">
      <c r="B45" s="475" t="str">
        <f>'Name List'!B45</f>
        <v>Dave Randall</v>
      </c>
      <c r="C45" s="60">
        <f>'Scores and stats'!QY45+'Scores and stats'!RP45</f>
        <v>17</v>
      </c>
      <c r="D45" s="60">
        <f>C45+1</f>
        <v>18</v>
      </c>
      <c r="F45" s="199" t="str">
        <v>Dan Thomas</v>
      </c>
      <c r="G45" s="200">
        <v>2</v>
      </c>
      <c r="H45" s="200">
        <v>2</v>
      </c>
      <c r="J45" s="131">
        <f t="shared" si="0"/>
        <v>35</v>
      </c>
    </row>
    <row r="46" spans="2:10" x14ac:dyDescent="0.2">
      <c r="B46" s="475" t="str">
        <f>'Name List'!B46</f>
        <v>Arron Rutherford</v>
      </c>
      <c r="C46" s="60">
        <f>'Scores and stats'!QY46+'Scores and stats'!RP46</f>
        <v>2</v>
      </c>
      <c r="D46" s="60">
        <f>C46+1</f>
        <v>3</v>
      </c>
      <c r="F46" s="199" t="str">
        <v>Russell Turner</v>
      </c>
      <c r="G46" s="200">
        <v>2</v>
      </c>
      <c r="H46" s="200">
        <v>2</v>
      </c>
      <c r="J46" s="131">
        <f t="shared" si="0"/>
        <v>35</v>
      </c>
    </row>
    <row r="47" spans="2:10" x14ac:dyDescent="0.2">
      <c r="B47" s="57" t="str">
        <f>'Name List'!B47</f>
        <v>Terry Shoker</v>
      </c>
      <c r="C47" s="60">
        <f>'Scores and stats'!QY47+'Scores and stats'!RP47</f>
        <v>0</v>
      </c>
      <c r="D47" s="60">
        <f t="shared" si="1"/>
        <v>0</v>
      </c>
      <c r="F47" s="199" t="str">
        <v>Jonathan Kanareck</v>
      </c>
      <c r="G47" s="200">
        <v>2</v>
      </c>
      <c r="H47" s="200">
        <v>2</v>
      </c>
      <c r="J47" s="131">
        <f t="shared" si="0"/>
        <v>35</v>
      </c>
    </row>
    <row r="48" spans="2:10" x14ac:dyDescent="0.2">
      <c r="B48" s="475" t="str">
        <f>'Name List'!B48</f>
        <v>Chris Smith</v>
      </c>
      <c r="C48" s="60">
        <f>'Scores and stats'!QY48+'Scores and stats'!RP48</f>
        <v>11</v>
      </c>
      <c r="D48" s="60">
        <f>C48+1</f>
        <v>12</v>
      </c>
      <c r="E48" s="61"/>
      <c r="F48" s="199" t="str">
        <v>Danny Jones</v>
      </c>
      <c r="G48" s="200">
        <v>2</v>
      </c>
      <c r="H48" s="200">
        <v>2</v>
      </c>
      <c r="J48" s="131">
        <f t="shared" si="0"/>
        <v>35</v>
      </c>
    </row>
    <row r="49" spans="2:10" x14ac:dyDescent="0.2">
      <c r="B49" s="57" t="str">
        <f>'Name List'!B49</f>
        <v>Justin Spencer</v>
      </c>
      <c r="C49" s="60">
        <f>'Scores and stats'!QY49+'Scores and stats'!RP49</f>
        <v>1</v>
      </c>
      <c r="D49" s="60">
        <f t="shared" si="1"/>
        <v>1</v>
      </c>
      <c r="F49" s="199" t="str">
        <v>Stuart Anderson</v>
      </c>
      <c r="G49" s="200">
        <v>0</v>
      </c>
      <c r="H49" s="200">
        <v>1</v>
      </c>
      <c r="J49" s="131">
        <f t="shared" si="0"/>
        <v>0</v>
      </c>
    </row>
    <row r="50" spans="2:10" x14ac:dyDescent="0.2">
      <c r="B50" s="57" t="str">
        <f>'Name List'!B50</f>
        <v>Jake Sprosen</v>
      </c>
      <c r="C50" s="60">
        <f>'Scores and stats'!QY50+'Scores and stats'!RP50</f>
        <v>0</v>
      </c>
      <c r="D50" s="60">
        <f t="shared" si="1"/>
        <v>0</v>
      </c>
      <c r="F50" s="199" t="str">
        <v>Mike Chubb</v>
      </c>
      <c r="G50" s="200">
        <v>1</v>
      </c>
      <c r="H50" s="200">
        <v>1</v>
      </c>
      <c r="J50" s="131">
        <f t="shared" si="0"/>
        <v>35</v>
      </c>
    </row>
    <row r="51" spans="2:10" x14ac:dyDescent="0.2">
      <c r="B51" s="57" t="str">
        <f>'Name List'!B51</f>
        <v>Tosh Sprosen</v>
      </c>
      <c r="C51" s="60">
        <f>'Scores and stats'!QY51+'Scores and stats'!RP51</f>
        <v>0</v>
      </c>
      <c r="D51" s="60">
        <f t="shared" si="1"/>
        <v>0</v>
      </c>
      <c r="F51" s="199" t="str">
        <v>George Clarke</v>
      </c>
      <c r="G51" s="200">
        <v>1</v>
      </c>
      <c r="H51" s="200">
        <v>1</v>
      </c>
      <c r="J51" s="131">
        <f t="shared" si="0"/>
        <v>35</v>
      </c>
    </row>
    <row r="52" spans="2:10" x14ac:dyDescent="0.2">
      <c r="B52" s="57" t="str">
        <f>'Name List'!B52</f>
        <v>Bill Sutton</v>
      </c>
      <c r="C52" s="60">
        <f>'Scores and stats'!QY52+'Scores and stats'!RP52</f>
        <v>0</v>
      </c>
      <c r="D52" s="60">
        <f t="shared" si="1"/>
        <v>0</v>
      </c>
      <c r="F52" s="199" t="str">
        <v>Dominic Coughlin</v>
      </c>
      <c r="G52" s="200">
        <v>1</v>
      </c>
      <c r="H52" s="200">
        <v>1</v>
      </c>
      <c r="J52" s="131">
        <f t="shared" si="0"/>
        <v>35</v>
      </c>
    </row>
    <row r="53" spans="2:10" x14ac:dyDescent="0.2">
      <c r="B53" s="57" t="str">
        <f>'Name List'!B53</f>
        <v>Dan Thomas</v>
      </c>
      <c r="C53" s="60">
        <f>'Scores and stats'!QY53+'Scores and stats'!RP53</f>
        <v>2</v>
      </c>
      <c r="D53" s="60">
        <f t="shared" si="1"/>
        <v>2</v>
      </c>
      <c r="F53" s="199" t="str">
        <v>James Dunn</v>
      </c>
      <c r="G53" s="200">
        <v>1</v>
      </c>
      <c r="H53" s="200">
        <v>1</v>
      </c>
      <c r="J53" s="131">
        <f t="shared" si="0"/>
        <v>35</v>
      </c>
    </row>
    <row r="54" spans="2:10" x14ac:dyDescent="0.2">
      <c r="B54" s="57" t="str">
        <f>'Name List'!B54</f>
        <v>Andy Thompson</v>
      </c>
      <c r="C54" s="60">
        <f>'Scores and stats'!QY54+'Scores and stats'!RP54</f>
        <v>0</v>
      </c>
      <c r="D54" s="60">
        <f t="shared" si="1"/>
        <v>0</v>
      </c>
      <c r="F54" s="199" t="str">
        <v>Jordan Hall</v>
      </c>
      <c r="G54" s="200">
        <v>1</v>
      </c>
      <c r="H54" s="200">
        <v>1</v>
      </c>
      <c r="J54" s="131">
        <f t="shared" si="0"/>
        <v>35</v>
      </c>
    </row>
    <row r="55" spans="2:10" x14ac:dyDescent="0.2">
      <c r="B55" s="57" t="str">
        <f>'Name List'!B55</f>
        <v>Rory Thompson</v>
      </c>
      <c r="C55" s="60">
        <f>'Scores and stats'!QY55+'Scores and stats'!RP55</f>
        <v>0</v>
      </c>
      <c r="D55" s="60">
        <f t="shared" si="1"/>
        <v>0</v>
      </c>
      <c r="F55" s="199" t="str">
        <v>Gary Hall</v>
      </c>
      <c r="G55" s="200">
        <v>1</v>
      </c>
      <c r="H55" s="200">
        <v>1</v>
      </c>
      <c r="J55" s="131">
        <f t="shared" si="0"/>
        <v>35</v>
      </c>
    </row>
    <row r="56" spans="2:10" x14ac:dyDescent="0.2">
      <c r="B56" s="57" t="str">
        <f>'Name List'!B56</f>
        <v>Sonny Thompson</v>
      </c>
      <c r="C56" s="60">
        <f>'Scores and stats'!QY56+'Scores and stats'!RP56</f>
        <v>0</v>
      </c>
      <c r="D56" s="60">
        <f t="shared" si="1"/>
        <v>0</v>
      </c>
      <c r="F56" s="199" t="str">
        <v>David Hilton</v>
      </c>
      <c r="G56" s="200">
        <v>1</v>
      </c>
      <c r="H56" s="200">
        <v>1</v>
      </c>
      <c r="J56" s="131">
        <f t="shared" si="0"/>
        <v>35</v>
      </c>
    </row>
    <row r="57" spans="2:10" x14ac:dyDescent="0.2">
      <c r="B57" s="57" t="str">
        <f>'Name List'!B57</f>
        <v>Kevin Tribley</v>
      </c>
      <c r="C57" s="60">
        <f>'Scores and stats'!QY57+'Scores and stats'!RP57</f>
        <v>12</v>
      </c>
      <c r="D57" s="60">
        <f t="shared" si="1"/>
        <v>12</v>
      </c>
      <c r="F57" s="199" t="str">
        <v>Justin Spencer</v>
      </c>
      <c r="G57" s="200">
        <v>1</v>
      </c>
      <c r="H57" s="200">
        <v>1</v>
      </c>
      <c r="J57" s="131">
        <f t="shared" si="0"/>
        <v>35</v>
      </c>
    </row>
    <row r="58" spans="2:10" x14ac:dyDescent="0.2">
      <c r="B58" s="57" t="str">
        <f>'Name List'!B58</f>
        <v>Russell Turner</v>
      </c>
      <c r="C58" s="60">
        <f>'Scores and stats'!QY58+'Scores and stats'!RP58</f>
        <v>2</v>
      </c>
      <c r="D58" s="60">
        <f t="shared" si="1"/>
        <v>2</v>
      </c>
      <c r="F58" s="199" t="str">
        <v>Dave Woodget</v>
      </c>
      <c r="G58" s="200">
        <v>1</v>
      </c>
      <c r="H58" s="200">
        <v>1</v>
      </c>
      <c r="J58" s="131">
        <f t="shared" si="0"/>
        <v>35</v>
      </c>
    </row>
    <row r="59" spans="2:10" x14ac:dyDescent="0.2">
      <c r="B59" s="57" t="str">
        <f>'Name List'!B59</f>
        <v>Peter Vallely</v>
      </c>
      <c r="C59" s="60">
        <f>'Scores and stats'!QY59+'Scores and stats'!RP59</f>
        <v>11</v>
      </c>
      <c r="D59" s="60">
        <f t="shared" si="1"/>
        <v>11</v>
      </c>
      <c r="F59" s="199" t="str">
        <v>Oliver Proud</v>
      </c>
      <c r="G59" s="200">
        <v>1</v>
      </c>
      <c r="H59" s="200">
        <v>1</v>
      </c>
      <c r="J59" s="131">
        <f t="shared" si="0"/>
        <v>35</v>
      </c>
    </row>
    <row r="60" spans="2:10" x14ac:dyDescent="0.2">
      <c r="B60" s="57" t="str">
        <f>'Name List'!B60</f>
        <v>Ryan Vaughan</v>
      </c>
      <c r="C60" s="60">
        <f>'Scores and stats'!QY60+'Scores and stats'!RP60</f>
        <v>3</v>
      </c>
      <c r="D60" s="60">
        <f t="shared" si="1"/>
        <v>3</v>
      </c>
      <c r="F60" s="199" t="str">
        <v>Liam Anderson</v>
      </c>
      <c r="G60" s="200">
        <v>0</v>
      </c>
      <c r="H60" s="200">
        <v>1</v>
      </c>
      <c r="J60" s="131">
        <f t="shared" si="0"/>
        <v>0</v>
      </c>
    </row>
    <row r="61" spans="2:10" x14ac:dyDescent="0.2">
      <c r="B61" s="57" t="str">
        <f>'Name List'!B61</f>
        <v>Jason Wale</v>
      </c>
      <c r="C61" s="60">
        <f>'Scores and stats'!QY61+'Scores and stats'!RP61</f>
        <v>10</v>
      </c>
      <c r="D61" s="60">
        <f t="shared" si="1"/>
        <v>10</v>
      </c>
      <c r="F61" s="199" t="str">
        <v>Kyle Deane</v>
      </c>
      <c r="G61" s="200">
        <v>1</v>
      </c>
      <c r="H61" s="200">
        <v>1</v>
      </c>
      <c r="J61" s="131">
        <f t="shared" si="0"/>
        <v>35</v>
      </c>
    </row>
    <row r="62" spans="2:10" x14ac:dyDescent="0.2">
      <c r="B62" s="475" t="str">
        <f>'Name List'!B62</f>
        <v>Terry Walker</v>
      </c>
      <c r="C62" s="60">
        <f>'Scores and stats'!QY62+'Scores and stats'!RP62</f>
        <v>5</v>
      </c>
      <c r="D62" s="60">
        <f>C62+1</f>
        <v>6</v>
      </c>
      <c r="F62" s="199" t="str">
        <v>Peter Donovan</v>
      </c>
      <c r="G62" s="200">
        <v>0</v>
      </c>
      <c r="H62" s="200">
        <v>0</v>
      </c>
      <c r="J62" s="131">
        <f t="shared" si="0"/>
        <v>0</v>
      </c>
    </row>
    <row r="63" spans="2:10" x14ac:dyDescent="0.2">
      <c r="B63" s="475" t="str">
        <f>'Name List'!B63</f>
        <v>Finn Wheeler</v>
      </c>
      <c r="C63" s="60">
        <f>'Scores and stats'!QY63+'Scores and stats'!RP63</f>
        <v>3</v>
      </c>
      <c r="D63" s="60">
        <f>C63+1</f>
        <v>4</v>
      </c>
      <c r="F63" s="199" t="str">
        <v>Gordon Fielding</v>
      </c>
      <c r="G63" s="200">
        <v>0</v>
      </c>
      <c r="H63" s="200">
        <v>0</v>
      </c>
      <c r="J63" s="131">
        <f t="shared" si="0"/>
        <v>0</v>
      </c>
    </row>
    <row r="64" spans="2:10" x14ac:dyDescent="0.2">
      <c r="B64" s="475" t="str">
        <f>'Name List'!B64</f>
        <v>Steve Wheeler</v>
      </c>
      <c r="C64" s="60">
        <f>'Scores and stats'!QY64+'Scores and stats'!RP64</f>
        <v>3</v>
      </c>
      <c r="D64" s="60">
        <f>C64+1</f>
        <v>4</v>
      </c>
      <c r="F64" s="199" t="str">
        <v>Tony Hearson</v>
      </c>
      <c r="G64" s="200">
        <v>0</v>
      </c>
      <c r="H64" s="200">
        <v>0</v>
      </c>
      <c r="J64" s="131">
        <f t="shared" si="0"/>
        <v>0</v>
      </c>
    </row>
    <row r="65" spans="2:10" x14ac:dyDescent="0.2">
      <c r="B65" s="475" t="str">
        <f>'Name List'!B65</f>
        <v>Brad Whitehead</v>
      </c>
      <c r="C65" s="60">
        <f>'Scores and stats'!QY65+'Scores and stats'!RP65</f>
        <v>15</v>
      </c>
      <c r="D65" s="60">
        <f>C65+1</f>
        <v>16</v>
      </c>
      <c r="F65" s="199" t="str">
        <v>Martin Holder</v>
      </c>
      <c r="G65" s="200">
        <v>0</v>
      </c>
      <c r="H65" s="200">
        <v>0</v>
      </c>
      <c r="J65" s="131">
        <f t="shared" si="0"/>
        <v>0</v>
      </c>
    </row>
    <row r="66" spans="2:10" x14ac:dyDescent="0.2">
      <c r="B66" s="57" t="str">
        <f>'Name List'!B66</f>
        <v>Dave Woodget</v>
      </c>
      <c r="C66" s="60">
        <f>'Scores and stats'!QY66+'Scores and stats'!RP66</f>
        <v>1</v>
      </c>
      <c r="D66" s="60">
        <f t="shared" si="1"/>
        <v>1</v>
      </c>
      <c r="F66" s="199" t="str">
        <v>Mark Hutchinson</v>
      </c>
      <c r="G66" s="200">
        <v>0</v>
      </c>
      <c r="H66" s="200">
        <v>0</v>
      </c>
      <c r="J66" s="131">
        <f t="shared" si="0"/>
        <v>0</v>
      </c>
    </row>
    <row r="67" spans="2:10" x14ac:dyDescent="0.2">
      <c r="B67" s="57" t="str">
        <f>'Name List'!B67</f>
        <v>Jonathan Kanareck</v>
      </c>
      <c r="C67" s="60">
        <f>'Scores and stats'!QY67+'Scores and stats'!RP67</f>
        <v>2</v>
      </c>
      <c r="D67" s="60">
        <f t="shared" si="1"/>
        <v>2</v>
      </c>
      <c r="F67" s="199" t="str">
        <v>Andy Lucey</v>
      </c>
      <c r="G67" s="200">
        <v>0</v>
      </c>
      <c r="H67" s="200">
        <v>0</v>
      </c>
      <c r="J67" s="131">
        <f t="shared" si="0"/>
        <v>0</v>
      </c>
    </row>
    <row r="68" spans="2:10" x14ac:dyDescent="0.2">
      <c r="B68" s="57" t="str">
        <f>'Name List'!B68</f>
        <v>Oliver Proud</v>
      </c>
      <c r="C68" s="60">
        <f>'Scores and stats'!QY68+'Scores and stats'!RP68</f>
        <v>1</v>
      </c>
      <c r="D68" s="60">
        <f t="shared" si="1"/>
        <v>1</v>
      </c>
      <c r="F68" s="199" t="str">
        <v>Terry Shoker</v>
      </c>
      <c r="G68" s="200">
        <v>0</v>
      </c>
      <c r="H68" s="200">
        <v>0</v>
      </c>
      <c r="J68" s="131">
        <f t="shared" si="0"/>
        <v>0</v>
      </c>
    </row>
    <row r="69" spans="2:10" x14ac:dyDescent="0.2">
      <c r="B69" s="475" t="str">
        <f>'Name List'!B69</f>
        <v>Joe Hooper</v>
      </c>
      <c r="C69" s="60">
        <f>'Scores and stats'!QY69+'Scores and stats'!RP69</f>
        <v>4</v>
      </c>
      <c r="D69" s="60">
        <f>C69+1</f>
        <v>5</v>
      </c>
      <c r="F69" s="199" t="str">
        <v>Jake Sprosen</v>
      </c>
      <c r="G69" s="200">
        <v>0</v>
      </c>
      <c r="H69" s="200">
        <v>0</v>
      </c>
      <c r="J69" s="131">
        <f t="shared" si="0"/>
        <v>0</v>
      </c>
    </row>
    <row r="70" spans="2:10" x14ac:dyDescent="0.2">
      <c r="B70" s="57" t="str">
        <f>'Name List'!B70</f>
        <v>Danny Jones</v>
      </c>
      <c r="C70" s="60">
        <f>'Scores and stats'!QY70+'Scores and stats'!RP70</f>
        <v>2</v>
      </c>
      <c r="D70" s="60">
        <f t="shared" si="1"/>
        <v>2</v>
      </c>
      <c r="F70" s="199" t="str">
        <v>Tosh Sprosen</v>
      </c>
      <c r="G70" s="200">
        <v>0</v>
      </c>
      <c r="H70" s="200">
        <v>0</v>
      </c>
      <c r="J70" s="131">
        <f t="shared" si="0"/>
        <v>0</v>
      </c>
    </row>
    <row r="71" spans="2:10" x14ac:dyDescent="0.2">
      <c r="B71" s="475" t="str">
        <f>'Name List'!B71</f>
        <v>Liam Anderson</v>
      </c>
      <c r="C71" s="60">
        <f>'Scores and stats'!QY71+'Scores and stats'!RP71</f>
        <v>0</v>
      </c>
      <c r="D71" s="60">
        <f>C71+1</f>
        <v>1</v>
      </c>
      <c r="F71" s="199" t="str">
        <v>Bill Sutton</v>
      </c>
      <c r="G71" s="200">
        <v>0</v>
      </c>
      <c r="H71" s="200">
        <v>0</v>
      </c>
      <c r="J71" s="131">
        <f t="shared" si="0"/>
        <v>0</v>
      </c>
    </row>
    <row r="72" spans="2:10" x14ac:dyDescent="0.2">
      <c r="B72" s="57" t="str">
        <f>'Name List'!B72</f>
        <v>Sam Cochrane</v>
      </c>
      <c r="C72" s="60">
        <f>'Scores and stats'!QY72+'Scores and stats'!RP72</f>
        <v>7</v>
      </c>
      <c r="D72" s="60">
        <f t="shared" ref="D72:D105" si="2">C72</f>
        <v>7</v>
      </c>
      <c r="F72" s="199" t="str">
        <v>Andy Thompson</v>
      </c>
      <c r="G72" s="200">
        <v>0</v>
      </c>
      <c r="H72" s="200">
        <v>0</v>
      </c>
      <c r="J72" s="131">
        <f t="shared" ref="J72:J105" si="3">IF(G72=0,0,IF(G72&lt;5,35,IF(G72&lt;10,20,IF(G72&lt;15,10,IF(G72&gt;15,0,0)))))</f>
        <v>0</v>
      </c>
    </row>
    <row r="73" spans="2:10" x14ac:dyDescent="0.2">
      <c r="B73" s="57" t="str">
        <f>'Name List'!B73</f>
        <v>Shaun Alexander</v>
      </c>
      <c r="C73" s="60">
        <f>'Scores and stats'!QY73+'Scores and stats'!RP73</f>
        <v>6</v>
      </c>
      <c r="D73" s="60">
        <f t="shared" si="2"/>
        <v>6</v>
      </c>
      <c r="F73" s="199" t="str">
        <v>Rory Thompson</v>
      </c>
      <c r="G73" s="200">
        <v>0</v>
      </c>
      <c r="H73" s="200">
        <v>0</v>
      </c>
      <c r="J73" s="131">
        <f t="shared" si="3"/>
        <v>0</v>
      </c>
    </row>
    <row r="74" spans="2:10" x14ac:dyDescent="0.2">
      <c r="B74" s="57" t="str">
        <f>'Name List'!B74</f>
        <v>Kyle Deane</v>
      </c>
      <c r="C74" s="60">
        <f>'Scores and stats'!QY74+'Scores and stats'!RP74</f>
        <v>1</v>
      </c>
      <c r="D74" s="60">
        <f t="shared" si="2"/>
        <v>1</v>
      </c>
      <c r="F74" s="199" t="str">
        <v>Sonny Thompson</v>
      </c>
      <c r="G74" s="200">
        <v>0</v>
      </c>
      <c r="H74" s="200">
        <v>0</v>
      </c>
      <c r="J74" s="131">
        <f t="shared" si="3"/>
        <v>0</v>
      </c>
    </row>
    <row r="75" spans="2:10" x14ac:dyDescent="0.2">
      <c r="B75" s="57">
        <f>'Name List'!B75</f>
        <v>1</v>
      </c>
      <c r="C75" s="60">
        <f>'Scores and stats'!QY75+'Scores and stats'!RP75</f>
        <v>0</v>
      </c>
      <c r="D75" s="60">
        <f t="shared" si="2"/>
        <v>0</v>
      </c>
      <c r="F75" s="199">
        <v>1</v>
      </c>
      <c r="G75" s="200">
        <v>0</v>
      </c>
      <c r="H75" s="200">
        <v>0</v>
      </c>
      <c r="J75" s="131">
        <f t="shared" si="3"/>
        <v>0</v>
      </c>
    </row>
    <row r="76" spans="2:10" x14ac:dyDescent="0.2">
      <c r="B76" s="57">
        <f>'Name List'!B76</f>
        <v>2</v>
      </c>
      <c r="C76" s="60">
        <f>'Scores and stats'!QY76+'Scores and stats'!RP76</f>
        <v>0</v>
      </c>
      <c r="D76" s="60">
        <f t="shared" si="2"/>
        <v>0</v>
      </c>
      <c r="F76" s="199">
        <v>2</v>
      </c>
      <c r="G76" s="200">
        <v>0</v>
      </c>
      <c r="H76" s="200">
        <v>0</v>
      </c>
      <c r="J76" s="131">
        <f t="shared" si="3"/>
        <v>0</v>
      </c>
    </row>
    <row r="77" spans="2:10" x14ac:dyDescent="0.2">
      <c r="B77" s="57">
        <f>'Name List'!B77</f>
        <v>3</v>
      </c>
      <c r="C77" s="60">
        <f>'Scores and stats'!QY77+'Scores and stats'!RP77</f>
        <v>0</v>
      </c>
      <c r="D77" s="60">
        <f t="shared" si="2"/>
        <v>0</v>
      </c>
      <c r="F77" s="199">
        <v>3</v>
      </c>
      <c r="G77" s="200">
        <v>0</v>
      </c>
      <c r="H77" s="200">
        <v>0</v>
      </c>
      <c r="J77" s="131">
        <f t="shared" si="3"/>
        <v>0</v>
      </c>
    </row>
    <row r="78" spans="2:10" x14ac:dyDescent="0.2">
      <c r="B78" s="57">
        <f>'Name List'!B78</f>
        <v>4</v>
      </c>
      <c r="C78" s="60">
        <f>'Scores and stats'!QY78+'Scores and stats'!RP78</f>
        <v>0</v>
      </c>
      <c r="D78" s="60">
        <f t="shared" si="2"/>
        <v>0</v>
      </c>
      <c r="F78" s="199">
        <v>4</v>
      </c>
      <c r="G78" s="200">
        <v>0</v>
      </c>
      <c r="H78" s="200">
        <v>0</v>
      </c>
      <c r="J78" s="131">
        <f t="shared" si="3"/>
        <v>0</v>
      </c>
    </row>
    <row r="79" spans="2:10" x14ac:dyDescent="0.2">
      <c r="B79" s="57">
        <f>'Name List'!B79</f>
        <v>5</v>
      </c>
      <c r="C79" s="60">
        <f>'Scores and stats'!QY79+'Scores and stats'!RP79</f>
        <v>0</v>
      </c>
      <c r="D79" s="60">
        <f t="shared" si="2"/>
        <v>0</v>
      </c>
      <c r="F79" s="199">
        <v>5</v>
      </c>
      <c r="G79" s="200">
        <v>0</v>
      </c>
      <c r="H79" s="200">
        <v>0</v>
      </c>
      <c r="J79" s="131">
        <f t="shared" si="3"/>
        <v>0</v>
      </c>
    </row>
    <row r="80" spans="2:10" x14ac:dyDescent="0.2">
      <c r="B80" s="57">
        <f>'Name List'!B80</f>
        <v>6</v>
      </c>
      <c r="C80" s="60">
        <f>'Scores and stats'!QY80+'Scores and stats'!RP80</f>
        <v>0</v>
      </c>
      <c r="D80" s="60">
        <f t="shared" si="2"/>
        <v>0</v>
      </c>
      <c r="F80" s="199">
        <v>6</v>
      </c>
      <c r="G80" s="200">
        <v>0</v>
      </c>
      <c r="H80" s="200">
        <v>0</v>
      </c>
      <c r="J80" s="131">
        <f t="shared" si="3"/>
        <v>0</v>
      </c>
    </row>
    <row r="81" spans="2:10" x14ac:dyDescent="0.2">
      <c r="B81" s="57">
        <f>'Name List'!B81</f>
        <v>7</v>
      </c>
      <c r="C81" s="60">
        <f>'Scores and stats'!QY81+'Scores and stats'!RP81</f>
        <v>0</v>
      </c>
      <c r="D81" s="60">
        <f t="shared" si="2"/>
        <v>0</v>
      </c>
      <c r="F81" s="199">
        <v>7</v>
      </c>
      <c r="G81" s="200">
        <v>0</v>
      </c>
      <c r="H81" s="200">
        <v>0</v>
      </c>
      <c r="J81" s="131">
        <f t="shared" si="3"/>
        <v>0</v>
      </c>
    </row>
    <row r="82" spans="2:10" x14ac:dyDescent="0.2">
      <c r="B82" s="57">
        <f>'Name List'!B82</f>
        <v>8</v>
      </c>
      <c r="C82" s="60">
        <f>'Scores and stats'!QY82+'Scores and stats'!RP82</f>
        <v>0</v>
      </c>
      <c r="D82" s="60">
        <f t="shared" si="2"/>
        <v>0</v>
      </c>
      <c r="F82" s="199">
        <v>8</v>
      </c>
      <c r="G82" s="200">
        <v>0</v>
      </c>
      <c r="H82" s="200">
        <v>0</v>
      </c>
      <c r="J82" s="131">
        <f t="shared" si="3"/>
        <v>0</v>
      </c>
    </row>
    <row r="83" spans="2:10" x14ac:dyDescent="0.2">
      <c r="B83" s="57">
        <f>'Name List'!B83</f>
        <v>9</v>
      </c>
      <c r="C83" s="60">
        <f>'Scores and stats'!QY83+'Scores and stats'!RP83</f>
        <v>0</v>
      </c>
      <c r="D83" s="60">
        <f t="shared" si="2"/>
        <v>0</v>
      </c>
      <c r="F83" s="199">
        <v>9</v>
      </c>
      <c r="G83" s="200">
        <v>0</v>
      </c>
      <c r="H83" s="200">
        <v>0</v>
      </c>
      <c r="J83" s="131">
        <f t="shared" si="3"/>
        <v>0</v>
      </c>
    </row>
    <row r="84" spans="2:10" x14ac:dyDescent="0.2">
      <c r="B84" s="57">
        <f>'Name List'!B84</f>
        <v>10</v>
      </c>
      <c r="C84" s="60">
        <f>'Scores and stats'!QY84+'Scores and stats'!RP84</f>
        <v>0</v>
      </c>
      <c r="D84" s="60">
        <f t="shared" si="2"/>
        <v>0</v>
      </c>
      <c r="F84" s="199">
        <v>10</v>
      </c>
      <c r="G84" s="200">
        <v>0</v>
      </c>
      <c r="H84" s="200">
        <v>0</v>
      </c>
      <c r="J84" s="131">
        <f t="shared" si="3"/>
        <v>0</v>
      </c>
    </row>
    <row r="85" spans="2:10" x14ac:dyDescent="0.2">
      <c r="B85" s="57">
        <f>'Name List'!B85</f>
        <v>11</v>
      </c>
      <c r="C85" s="60">
        <f>'Scores and stats'!QY85+'Scores and stats'!RP85</f>
        <v>0</v>
      </c>
      <c r="D85" s="60">
        <f t="shared" si="2"/>
        <v>0</v>
      </c>
      <c r="F85" s="199">
        <v>11</v>
      </c>
      <c r="G85" s="200">
        <v>0</v>
      </c>
      <c r="H85" s="200">
        <v>0</v>
      </c>
      <c r="J85" s="131">
        <f t="shared" si="3"/>
        <v>0</v>
      </c>
    </row>
    <row r="86" spans="2:10" x14ac:dyDescent="0.2">
      <c r="B86" s="57">
        <f>'Name List'!B86</f>
        <v>12</v>
      </c>
      <c r="C86" s="60">
        <f>'Scores and stats'!QY86+'Scores and stats'!RP86</f>
        <v>0</v>
      </c>
      <c r="D86" s="60">
        <f t="shared" si="2"/>
        <v>0</v>
      </c>
      <c r="F86" s="199">
        <v>12</v>
      </c>
      <c r="G86" s="200">
        <v>0</v>
      </c>
      <c r="H86" s="200">
        <v>0</v>
      </c>
      <c r="J86" s="131">
        <f t="shared" si="3"/>
        <v>0</v>
      </c>
    </row>
    <row r="87" spans="2:10" x14ac:dyDescent="0.2">
      <c r="B87" s="57">
        <f>'Name List'!B87</f>
        <v>13</v>
      </c>
      <c r="C87" s="60">
        <f>'Scores and stats'!QY87+'Scores and stats'!RP87</f>
        <v>0</v>
      </c>
      <c r="D87" s="60">
        <f t="shared" si="2"/>
        <v>0</v>
      </c>
      <c r="F87" s="199">
        <v>13</v>
      </c>
      <c r="G87" s="200">
        <v>0</v>
      </c>
      <c r="H87" s="200">
        <v>0</v>
      </c>
      <c r="J87" s="131">
        <f t="shared" si="3"/>
        <v>0</v>
      </c>
    </row>
    <row r="88" spans="2:10" x14ac:dyDescent="0.2">
      <c r="B88" s="57">
        <f>'Name List'!B88</f>
        <v>14</v>
      </c>
      <c r="C88" s="60">
        <f>'Scores and stats'!QY88+'Scores and stats'!RP88</f>
        <v>0</v>
      </c>
      <c r="D88" s="60">
        <f t="shared" si="2"/>
        <v>0</v>
      </c>
      <c r="F88" s="199">
        <v>14</v>
      </c>
      <c r="G88" s="200">
        <v>0</v>
      </c>
      <c r="H88" s="200">
        <v>0</v>
      </c>
      <c r="J88" s="131">
        <f t="shared" si="3"/>
        <v>0</v>
      </c>
    </row>
    <row r="89" spans="2:10" x14ac:dyDescent="0.2">
      <c r="B89" s="57">
        <f>'Name List'!B89</f>
        <v>15</v>
      </c>
      <c r="C89" s="60">
        <f>'Scores and stats'!QY89+'Scores and stats'!RP89</f>
        <v>0</v>
      </c>
      <c r="D89" s="60">
        <f t="shared" si="2"/>
        <v>0</v>
      </c>
      <c r="F89" s="199">
        <v>15</v>
      </c>
      <c r="G89" s="200">
        <v>0</v>
      </c>
      <c r="H89" s="200">
        <v>0</v>
      </c>
      <c r="J89" s="131">
        <f t="shared" si="3"/>
        <v>0</v>
      </c>
    </row>
    <row r="90" spans="2:10" x14ac:dyDescent="0.2">
      <c r="B90" s="57">
        <f>'Name List'!B90</f>
        <v>16</v>
      </c>
      <c r="C90" s="60">
        <f>'Scores and stats'!QY90+'Scores and stats'!RP90</f>
        <v>0</v>
      </c>
      <c r="D90" s="60">
        <f t="shared" si="2"/>
        <v>0</v>
      </c>
      <c r="F90" s="199">
        <v>16</v>
      </c>
      <c r="G90" s="200">
        <v>0</v>
      </c>
      <c r="H90" s="200">
        <v>0</v>
      </c>
      <c r="J90" s="131">
        <f t="shared" si="3"/>
        <v>0</v>
      </c>
    </row>
    <row r="91" spans="2:10" x14ac:dyDescent="0.2">
      <c r="B91" s="57">
        <f>'Name List'!B91</f>
        <v>17</v>
      </c>
      <c r="C91" s="60">
        <f>'Scores and stats'!QY91+'Scores and stats'!RP91</f>
        <v>0</v>
      </c>
      <c r="D91" s="60">
        <f t="shared" si="2"/>
        <v>0</v>
      </c>
      <c r="F91" s="199">
        <v>17</v>
      </c>
      <c r="G91" s="200">
        <v>0</v>
      </c>
      <c r="H91" s="200">
        <v>0</v>
      </c>
      <c r="J91" s="131">
        <f t="shared" si="3"/>
        <v>0</v>
      </c>
    </row>
    <row r="92" spans="2:10" x14ac:dyDescent="0.2">
      <c r="B92" s="57">
        <f>'Name List'!B92</f>
        <v>18</v>
      </c>
      <c r="C92" s="60">
        <f>'Scores and stats'!QY92+'Scores and stats'!RP92</f>
        <v>0</v>
      </c>
      <c r="D92" s="60">
        <f t="shared" si="2"/>
        <v>0</v>
      </c>
      <c r="F92" s="199">
        <v>18</v>
      </c>
      <c r="G92" s="200">
        <v>0</v>
      </c>
      <c r="H92" s="200">
        <v>0</v>
      </c>
      <c r="J92" s="131">
        <f t="shared" si="3"/>
        <v>0</v>
      </c>
    </row>
    <row r="93" spans="2:10" x14ac:dyDescent="0.2">
      <c r="B93" s="57">
        <f>'Name List'!B93</f>
        <v>19</v>
      </c>
      <c r="C93" s="60">
        <f>'Scores and stats'!QY93+'Scores and stats'!RP93</f>
        <v>0</v>
      </c>
      <c r="D93" s="60">
        <f t="shared" si="2"/>
        <v>0</v>
      </c>
      <c r="F93" s="199">
        <v>19</v>
      </c>
      <c r="G93" s="200">
        <v>0</v>
      </c>
      <c r="H93" s="200">
        <v>0</v>
      </c>
      <c r="J93" s="131">
        <f t="shared" si="3"/>
        <v>0</v>
      </c>
    </row>
    <row r="94" spans="2:10" x14ac:dyDescent="0.2">
      <c r="B94" s="57">
        <f>'Name List'!B94</f>
        <v>20</v>
      </c>
      <c r="C94" s="60">
        <f>'Scores and stats'!QY94+'Scores and stats'!RP94</f>
        <v>0</v>
      </c>
      <c r="D94" s="60">
        <f t="shared" si="2"/>
        <v>0</v>
      </c>
      <c r="F94" s="199">
        <v>20</v>
      </c>
      <c r="G94" s="200">
        <v>0</v>
      </c>
      <c r="H94" s="200">
        <v>0</v>
      </c>
      <c r="J94" s="131">
        <f t="shared" si="3"/>
        <v>0</v>
      </c>
    </row>
    <row r="95" spans="2:10" x14ac:dyDescent="0.2">
      <c r="B95" s="57">
        <f>'Name List'!B95</f>
        <v>21</v>
      </c>
      <c r="C95" s="60">
        <f>'Scores and stats'!QY95+'Scores and stats'!RP95</f>
        <v>0</v>
      </c>
      <c r="D95" s="60">
        <f t="shared" si="2"/>
        <v>0</v>
      </c>
      <c r="F95" s="199">
        <v>21</v>
      </c>
      <c r="G95" s="200">
        <v>0</v>
      </c>
      <c r="H95" s="200">
        <v>0</v>
      </c>
      <c r="J95" s="131">
        <f t="shared" si="3"/>
        <v>0</v>
      </c>
    </row>
    <row r="96" spans="2:10" x14ac:dyDescent="0.2">
      <c r="B96" s="57">
        <f>'Name List'!B96</f>
        <v>22</v>
      </c>
      <c r="C96" s="60">
        <f>'Scores and stats'!QY96+'Scores and stats'!RP96</f>
        <v>0</v>
      </c>
      <c r="D96" s="60">
        <f t="shared" si="2"/>
        <v>0</v>
      </c>
      <c r="F96" s="199">
        <v>22</v>
      </c>
      <c r="G96" s="200">
        <v>0</v>
      </c>
      <c r="H96" s="200">
        <v>0</v>
      </c>
      <c r="J96" s="131">
        <f t="shared" si="3"/>
        <v>0</v>
      </c>
    </row>
    <row r="97" spans="2:10" x14ac:dyDescent="0.2">
      <c r="B97" s="57">
        <f>'Name List'!B97</f>
        <v>23</v>
      </c>
      <c r="C97" s="60">
        <f>'Scores and stats'!QY97+'Scores and stats'!RP97</f>
        <v>0</v>
      </c>
      <c r="D97" s="60">
        <f t="shared" si="2"/>
        <v>0</v>
      </c>
      <c r="F97" s="199">
        <v>23</v>
      </c>
      <c r="G97" s="200">
        <v>0</v>
      </c>
      <c r="H97" s="200">
        <v>0</v>
      </c>
      <c r="J97" s="131">
        <f t="shared" si="3"/>
        <v>0</v>
      </c>
    </row>
    <row r="98" spans="2:10" x14ac:dyDescent="0.2">
      <c r="B98" s="57">
        <f>'Name List'!B98</f>
        <v>24</v>
      </c>
      <c r="C98" s="60">
        <f>'Scores and stats'!QY98+'Scores and stats'!RP98</f>
        <v>0</v>
      </c>
      <c r="D98" s="60">
        <f t="shared" si="2"/>
        <v>0</v>
      </c>
      <c r="F98" s="199">
        <v>24</v>
      </c>
      <c r="G98" s="200">
        <v>0</v>
      </c>
      <c r="H98" s="200">
        <v>0</v>
      </c>
      <c r="J98" s="131">
        <f t="shared" si="3"/>
        <v>0</v>
      </c>
    </row>
    <row r="99" spans="2:10" x14ac:dyDescent="0.2">
      <c r="B99" s="57">
        <f>'Name List'!B99</f>
        <v>25</v>
      </c>
      <c r="C99" s="60">
        <f>'Scores and stats'!QY99+'Scores and stats'!RP99</f>
        <v>0</v>
      </c>
      <c r="D99" s="60">
        <f t="shared" si="2"/>
        <v>0</v>
      </c>
      <c r="F99" s="199">
        <v>25</v>
      </c>
      <c r="G99" s="200">
        <v>0</v>
      </c>
      <c r="H99" s="200">
        <v>0</v>
      </c>
      <c r="J99" s="131">
        <f t="shared" si="3"/>
        <v>0</v>
      </c>
    </row>
    <row r="100" spans="2:10" x14ac:dyDescent="0.2">
      <c r="B100" s="57">
        <f>'Name List'!B100</f>
        <v>26</v>
      </c>
      <c r="C100" s="60">
        <f>'Scores and stats'!QY100+'Scores and stats'!RP100</f>
        <v>0</v>
      </c>
      <c r="D100" s="60">
        <f t="shared" si="2"/>
        <v>0</v>
      </c>
      <c r="F100" s="199">
        <v>26</v>
      </c>
      <c r="G100" s="200">
        <v>0</v>
      </c>
      <c r="H100" s="200">
        <v>0</v>
      </c>
      <c r="J100" s="131">
        <f t="shared" si="3"/>
        <v>0</v>
      </c>
    </row>
    <row r="101" spans="2:10" x14ac:dyDescent="0.2">
      <c r="B101" s="57">
        <f>'Name List'!B101</f>
        <v>27</v>
      </c>
      <c r="C101" s="60">
        <f>'Scores and stats'!QY101+'Scores and stats'!RP101</f>
        <v>0</v>
      </c>
      <c r="D101" s="60">
        <f t="shared" si="2"/>
        <v>0</v>
      </c>
      <c r="F101" s="199">
        <v>27</v>
      </c>
      <c r="G101" s="200">
        <v>0</v>
      </c>
      <c r="H101" s="200">
        <v>0</v>
      </c>
      <c r="J101" s="131">
        <f t="shared" si="3"/>
        <v>0</v>
      </c>
    </row>
    <row r="102" spans="2:10" x14ac:dyDescent="0.2">
      <c r="B102" s="57">
        <f>'Name List'!B102</f>
        <v>28</v>
      </c>
      <c r="C102" s="60">
        <f>'Scores and stats'!QY102+'Scores and stats'!RP102</f>
        <v>0</v>
      </c>
      <c r="D102" s="60">
        <f t="shared" si="2"/>
        <v>0</v>
      </c>
      <c r="F102" s="199">
        <v>28</v>
      </c>
      <c r="G102" s="200">
        <v>0</v>
      </c>
      <c r="H102" s="200">
        <v>0</v>
      </c>
      <c r="J102" s="131">
        <f t="shared" si="3"/>
        <v>0</v>
      </c>
    </row>
    <row r="103" spans="2:10" x14ac:dyDescent="0.2">
      <c r="B103" s="57">
        <f>'Name List'!B103</f>
        <v>29</v>
      </c>
      <c r="C103" s="60">
        <f>'Scores and stats'!QY103+'Scores and stats'!RP103</f>
        <v>0</v>
      </c>
      <c r="D103" s="60">
        <f t="shared" si="2"/>
        <v>0</v>
      </c>
      <c r="F103" s="199">
        <v>29</v>
      </c>
      <c r="G103" s="200">
        <v>0</v>
      </c>
      <c r="H103" s="200">
        <v>0</v>
      </c>
      <c r="J103" s="131">
        <f t="shared" si="3"/>
        <v>0</v>
      </c>
    </row>
    <row r="104" spans="2:10" x14ac:dyDescent="0.2">
      <c r="B104" s="57">
        <f>'Name List'!B104</f>
        <v>30</v>
      </c>
      <c r="C104" s="60">
        <f>'Scores and stats'!QY104+'Scores and stats'!RP104</f>
        <v>0</v>
      </c>
      <c r="D104" s="60">
        <f t="shared" si="2"/>
        <v>0</v>
      </c>
      <c r="F104" s="199">
        <v>30</v>
      </c>
      <c r="G104" s="200">
        <v>0</v>
      </c>
      <c r="H104" s="200">
        <v>0</v>
      </c>
      <c r="J104" s="131">
        <f t="shared" si="3"/>
        <v>0</v>
      </c>
    </row>
    <row r="105" spans="2:10" x14ac:dyDescent="0.2">
      <c r="B105" s="57">
        <f>'Name List'!B105</f>
        <v>31</v>
      </c>
      <c r="C105" s="60">
        <f>'Scores and stats'!QY105+'Scores and stats'!RP105</f>
        <v>0</v>
      </c>
      <c r="D105" s="60">
        <f t="shared" si="2"/>
        <v>0</v>
      </c>
      <c r="F105" s="201">
        <v>31</v>
      </c>
      <c r="G105" s="202">
        <v>0</v>
      </c>
      <c r="H105" s="202">
        <v>0</v>
      </c>
      <c r="J105" s="131">
        <f t="shared" si="3"/>
        <v>0</v>
      </c>
    </row>
    <row r="108" spans="2:10" x14ac:dyDescent="0.2">
      <c r="J108" s="131">
        <f>SUM(J6:J105)</f>
        <v>1385</v>
      </c>
    </row>
  </sheetData>
  <mergeCells count="1">
    <mergeCell ref="F2:H2"/>
  </mergeCells>
  <pageMargins left="0.7" right="0.7" top="0.75" bottom="0.75" header="0.3" footer="0.3"/>
  <pageSetup paperSize="9" orientation="portrait" r:id="rId1"/>
  <headerFooter>
    <oddFooter>&amp;C&amp;1#&amp;"Calibri"&amp;10&amp;K000000PUBLIC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93F9-DF94-4607-B47B-48316D09DBEE}">
  <dimension ref="A1:K124"/>
  <sheetViews>
    <sheetView showWhiteSpace="0" view="pageLayout" workbookViewId="0">
      <selection activeCell="E59" sqref="E59"/>
    </sheetView>
  </sheetViews>
  <sheetFormatPr defaultRowHeight="11.25" x14ac:dyDescent="0.2"/>
  <cols>
    <col min="1" max="1" width="41.6640625" customWidth="1"/>
    <col min="2" max="2" width="4.83203125" customWidth="1"/>
    <col min="3" max="3" width="12.1640625" customWidth="1"/>
    <col min="4" max="4" width="3.33203125" customWidth="1"/>
    <col min="5" max="5" width="12.5" customWidth="1"/>
    <col min="6" max="6" width="4.33203125" customWidth="1"/>
    <col min="7" max="7" width="12.83203125" customWidth="1"/>
    <col min="8" max="8" width="3.5" customWidth="1"/>
    <col min="9" max="9" width="14.6640625" customWidth="1"/>
    <col min="10" max="10" width="4.6640625" customWidth="1"/>
    <col min="11" max="11" width="16.83203125" customWidth="1"/>
  </cols>
  <sheetData>
    <row r="1" spans="1:11" ht="18" customHeight="1" x14ac:dyDescent="0.2">
      <c r="A1" s="17" t="s">
        <v>30</v>
      </c>
      <c r="B1" s="737"/>
      <c r="C1" s="738"/>
      <c r="D1" s="738"/>
      <c r="E1" s="739"/>
      <c r="G1" s="742" t="s">
        <v>69</v>
      </c>
      <c r="H1" s="742"/>
      <c r="I1" s="742"/>
      <c r="J1" s="742"/>
      <c r="K1" s="742"/>
    </row>
    <row r="2" spans="1:11" ht="6" customHeight="1" x14ac:dyDescent="0.2"/>
    <row r="3" spans="1:11" ht="19.5" customHeight="1" x14ac:dyDescent="0.2">
      <c r="A3" s="17" t="s">
        <v>65</v>
      </c>
      <c r="B3" s="737"/>
      <c r="C3" s="738"/>
      <c r="D3" s="738"/>
      <c r="E3" s="738"/>
      <c r="F3" s="738"/>
      <c r="G3" s="738"/>
      <c r="H3" s="738"/>
      <c r="I3" s="738"/>
      <c r="J3" s="738"/>
      <c r="K3" s="739"/>
    </row>
    <row r="4" spans="1:11" ht="6" customHeight="1" x14ac:dyDescent="0.2"/>
    <row r="5" spans="1:11" x14ac:dyDescent="0.2">
      <c r="A5" s="740" t="s">
        <v>49</v>
      </c>
      <c r="C5" s="742" t="s">
        <v>34</v>
      </c>
      <c r="E5" s="742" t="s">
        <v>31</v>
      </c>
      <c r="G5" s="742" t="s">
        <v>35</v>
      </c>
      <c r="I5" s="742" t="s">
        <v>66</v>
      </c>
      <c r="K5" s="742" t="s">
        <v>67</v>
      </c>
    </row>
    <row r="6" spans="1:11" x14ac:dyDescent="0.2">
      <c r="A6" s="741"/>
      <c r="C6" s="742"/>
      <c r="E6" s="742"/>
      <c r="G6" s="742"/>
      <c r="I6" s="742"/>
      <c r="K6" s="742"/>
    </row>
    <row r="7" spans="1:11" ht="6" customHeight="1" x14ac:dyDescent="0.2"/>
    <row r="8" spans="1:11" x14ac:dyDescent="0.2">
      <c r="A8" s="735"/>
      <c r="C8" s="18"/>
      <c r="E8" s="18"/>
      <c r="G8" s="18"/>
      <c r="I8" s="18"/>
      <c r="K8" s="735"/>
    </row>
    <row r="9" spans="1:11" ht="19.5" customHeight="1" x14ac:dyDescent="0.2">
      <c r="A9" s="736"/>
      <c r="C9" s="19"/>
      <c r="E9" s="19"/>
      <c r="G9" s="19"/>
      <c r="I9" s="19"/>
      <c r="K9" s="736"/>
    </row>
    <row r="10" spans="1:11" ht="6" customHeight="1" x14ac:dyDescent="0.2"/>
    <row r="11" spans="1:11" x14ac:dyDescent="0.2">
      <c r="A11" s="735"/>
      <c r="C11" s="18"/>
      <c r="E11" s="18"/>
      <c r="G11" s="18"/>
      <c r="I11" s="18"/>
      <c r="K11" s="735"/>
    </row>
    <row r="12" spans="1:11" ht="19.5" customHeight="1" x14ac:dyDescent="0.2">
      <c r="A12" s="736"/>
      <c r="C12" s="19"/>
      <c r="E12" s="19"/>
      <c r="G12" s="19"/>
      <c r="I12" s="19"/>
      <c r="K12" s="736"/>
    </row>
    <row r="13" spans="1:11" ht="6" customHeight="1" x14ac:dyDescent="0.2"/>
    <row r="14" spans="1:11" x14ac:dyDescent="0.2">
      <c r="A14" s="735"/>
      <c r="C14" s="18"/>
      <c r="E14" s="18"/>
      <c r="G14" s="18"/>
      <c r="I14" s="18"/>
      <c r="K14" s="735"/>
    </row>
    <row r="15" spans="1:11" ht="19.5" customHeight="1" x14ac:dyDescent="0.2">
      <c r="A15" s="736"/>
      <c r="C15" s="19"/>
      <c r="E15" s="19"/>
      <c r="G15" s="19"/>
      <c r="I15" s="19"/>
      <c r="K15" s="736"/>
    </row>
    <row r="16" spans="1:11" ht="6" customHeight="1" x14ac:dyDescent="0.2"/>
    <row r="17" spans="1:11" x14ac:dyDescent="0.2">
      <c r="A17" s="735"/>
      <c r="C17" s="18"/>
      <c r="E17" s="18"/>
      <c r="G17" s="18"/>
      <c r="I17" s="18"/>
      <c r="K17" s="735"/>
    </row>
    <row r="18" spans="1:11" ht="19.5" customHeight="1" x14ac:dyDescent="0.2">
      <c r="A18" s="736"/>
      <c r="C18" s="19"/>
      <c r="E18" s="19"/>
      <c r="G18" s="19"/>
      <c r="I18" s="19"/>
      <c r="K18" s="736"/>
    </row>
    <row r="19" spans="1:11" ht="6" customHeight="1" x14ac:dyDescent="0.2"/>
    <row r="20" spans="1:11" x14ac:dyDescent="0.2">
      <c r="A20" s="735"/>
      <c r="C20" s="18"/>
      <c r="E20" s="18"/>
      <c r="G20" s="18"/>
      <c r="I20" s="18"/>
      <c r="K20" s="735"/>
    </row>
    <row r="21" spans="1:11" ht="19.5" customHeight="1" x14ac:dyDescent="0.2">
      <c r="A21" s="736"/>
      <c r="C21" s="19"/>
      <c r="E21" s="19"/>
      <c r="G21" s="19"/>
      <c r="I21" s="19"/>
      <c r="K21" s="736"/>
    </row>
    <row r="22" spans="1:11" ht="6" customHeight="1" x14ac:dyDescent="0.2"/>
    <row r="23" spans="1:11" x14ac:dyDescent="0.2">
      <c r="A23" s="735"/>
      <c r="C23" s="18"/>
      <c r="E23" s="18"/>
      <c r="G23" s="18"/>
      <c r="I23" s="18"/>
      <c r="K23" s="735"/>
    </row>
    <row r="24" spans="1:11" ht="19.5" customHeight="1" x14ac:dyDescent="0.2">
      <c r="A24" s="736"/>
      <c r="C24" s="19"/>
      <c r="E24" s="19"/>
      <c r="G24" s="19"/>
      <c r="I24" s="19"/>
      <c r="K24" s="736"/>
    </row>
    <row r="25" spans="1:11" ht="6" customHeight="1" x14ac:dyDescent="0.2"/>
    <row r="26" spans="1:11" x14ac:dyDescent="0.2">
      <c r="A26" s="735"/>
      <c r="C26" s="18"/>
      <c r="E26" s="18"/>
      <c r="G26" s="18"/>
      <c r="I26" s="18"/>
      <c r="K26" s="735"/>
    </row>
    <row r="27" spans="1:11" ht="19.5" customHeight="1" x14ac:dyDescent="0.2">
      <c r="A27" s="736"/>
      <c r="C27" s="19"/>
      <c r="E27" s="19"/>
      <c r="G27" s="19"/>
      <c r="I27" s="19"/>
      <c r="K27" s="736"/>
    </row>
    <row r="28" spans="1:11" ht="6" customHeight="1" x14ac:dyDescent="0.2"/>
    <row r="29" spans="1:11" x14ac:dyDescent="0.2">
      <c r="A29" s="735"/>
      <c r="C29" s="18"/>
      <c r="E29" s="18"/>
      <c r="G29" s="18"/>
      <c r="I29" s="18"/>
      <c r="K29" s="735"/>
    </row>
    <row r="30" spans="1:11" ht="19.5" customHeight="1" x14ac:dyDescent="0.2">
      <c r="A30" s="736"/>
      <c r="C30" s="19"/>
      <c r="E30" s="19"/>
      <c r="G30" s="19"/>
      <c r="I30" s="19"/>
      <c r="K30" s="736"/>
    </row>
    <row r="31" spans="1:11" ht="6" customHeight="1" x14ac:dyDescent="0.2"/>
    <row r="32" spans="1:11" x14ac:dyDescent="0.2">
      <c r="A32" s="735"/>
      <c r="C32" s="18"/>
      <c r="E32" s="18"/>
      <c r="G32" s="18"/>
      <c r="I32" s="18"/>
      <c r="K32" s="735"/>
    </row>
    <row r="33" spans="1:11" ht="19.5" customHeight="1" x14ac:dyDescent="0.2">
      <c r="A33" s="736"/>
      <c r="C33" s="19"/>
      <c r="E33" s="19"/>
      <c r="G33" s="19"/>
      <c r="I33" s="19"/>
      <c r="K33" s="736"/>
    </row>
    <row r="34" spans="1:11" ht="6" customHeight="1" x14ac:dyDescent="0.2"/>
    <row r="35" spans="1:11" x14ac:dyDescent="0.2">
      <c r="A35" s="735"/>
      <c r="C35" s="18"/>
      <c r="E35" s="18"/>
      <c r="G35" s="18"/>
      <c r="I35" s="18"/>
      <c r="K35" s="735"/>
    </row>
    <row r="36" spans="1:11" ht="19.5" customHeight="1" x14ac:dyDescent="0.2">
      <c r="A36" s="736"/>
      <c r="C36" s="19"/>
      <c r="E36" s="19"/>
      <c r="G36" s="19"/>
      <c r="I36" s="19"/>
      <c r="K36" s="736"/>
    </row>
    <row r="37" spans="1:11" ht="6" customHeight="1" x14ac:dyDescent="0.2"/>
    <row r="38" spans="1:11" x14ac:dyDescent="0.2">
      <c r="A38" s="735"/>
      <c r="C38" s="18"/>
      <c r="E38" s="18"/>
      <c r="G38" s="18"/>
      <c r="I38" s="18"/>
      <c r="K38" s="735"/>
    </row>
    <row r="39" spans="1:11" ht="19.5" customHeight="1" x14ac:dyDescent="0.2">
      <c r="A39" s="736"/>
      <c r="C39" s="19"/>
      <c r="E39" s="19"/>
      <c r="G39" s="19"/>
      <c r="I39" s="19"/>
      <c r="K39" s="736"/>
    </row>
    <row r="40" spans="1:11" ht="6" customHeight="1" x14ac:dyDescent="0.2"/>
    <row r="41" spans="1:11" x14ac:dyDescent="0.2">
      <c r="A41" s="735"/>
      <c r="C41" s="18"/>
      <c r="E41" s="18"/>
      <c r="G41" s="18"/>
      <c r="I41" s="18"/>
      <c r="K41" s="735"/>
    </row>
    <row r="42" spans="1:11" ht="19.5" customHeight="1" x14ac:dyDescent="0.2">
      <c r="A42" s="736"/>
      <c r="C42" s="19"/>
      <c r="E42" s="19"/>
      <c r="G42" s="19"/>
      <c r="I42" s="19"/>
      <c r="K42" s="736"/>
    </row>
    <row r="43" spans="1:11" ht="6" customHeight="1" x14ac:dyDescent="0.2"/>
    <row r="44" spans="1:11" x14ac:dyDescent="0.2">
      <c r="A44" s="735"/>
      <c r="C44" s="18"/>
      <c r="E44" s="18"/>
      <c r="G44" s="18"/>
      <c r="I44" s="18"/>
      <c r="K44" s="735"/>
    </row>
    <row r="45" spans="1:11" ht="19.5" customHeight="1" x14ac:dyDescent="0.2">
      <c r="A45" s="736"/>
      <c r="C45" s="19"/>
      <c r="E45" s="19"/>
      <c r="G45" s="19"/>
      <c r="I45" s="19"/>
      <c r="K45" s="736"/>
    </row>
    <row r="46" spans="1:11" ht="6" customHeight="1" x14ac:dyDescent="0.2"/>
    <row r="47" spans="1:11" x14ac:dyDescent="0.2">
      <c r="A47" s="735"/>
      <c r="C47" s="18"/>
      <c r="E47" s="18"/>
      <c r="G47" s="18"/>
      <c r="I47" s="18"/>
      <c r="K47" s="735"/>
    </row>
    <row r="48" spans="1:11" ht="19.5" customHeight="1" x14ac:dyDescent="0.2">
      <c r="A48" s="736"/>
      <c r="C48" s="19"/>
      <c r="E48" s="19"/>
      <c r="G48" s="19"/>
      <c r="I48" s="19"/>
      <c r="K48" s="736"/>
    </row>
    <row r="49" spans="1:11" ht="6" customHeight="1" x14ac:dyDescent="0.2"/>
    <row r="50" spans="1:11" x14ac:dyDescent="0.2">
      <c r="A50" s="735"/>
      <c r="C50" s="18"/>
      <c r="E50" s="18"/>
      <c r="G50" s="18"/>
      <c r="I50" s="18"/>
      <c r="K50" s="735"/>
    </row>
    <row r="51" spans="1:11" ht="19.5" customHeight="1" x14ac:dyDescent="0.2">
      <c r="A51" s="736"/>
      <c r="C51" s="19"/>
      <c r="E51" s="19"/>
      <c r="G51" s="19"/>
      <c r="I51" s="19"/>
      <c r="K51" s="736"/>
    </row>
    <row r="52" spans="1:11" ht="6" customHeight="1" x14ac:dyDescent="0.2"/>
    <row r="53" spans="1:11" x14ac:dyDescent="0.2">
      <c r="A53" s="735"/>
      <c r="C53" s="18"/>
      <c r="E53" s="18"/>
      <c r="G53" s="18"/>
      <c r="I53" s="18"/>
      <c r="K53" s="735"/>
    </row>
    <row r="54" spans="1:11" ht="19.5" customHeight="1" x14ac:dyDescent="0.2">
      <c r="A54" s="736"/>
      <c r="C54" s="19"/>
      <c r="E54" s="19"/>
      <c r="G54" s="19"/>
      <c r="I54" s="19"/>
      <c r="K54" s="736"/>
    </row>
    <row r="55" spans="1:11" ht="6" customHeight="1" x14ac:dyDescent="0.2"/>
    <row r="56" spans="1:11" x14ac:dyDescent="0.2">
      <c r="G56" s="743" t="s">
        <v>68</v>
      </c>
      <c r="H56" s="744"/>
      <c r="I56" s="745"/>
      <c r="K56" s="735"/>
    </row>
    <row r="57" spans="1:11" ht="14.25" customHeight="1" x14ac:dyDescent="0.2">
      <c r="G57" s="746"/>
      <c r="H57" s="747"/>
      <c r="I57" s="748"/>
      <c r="K57" s="736"/>
    </row>
    <row r="58" spans="1:11" ht="6" customHeight="1" x14ac:dyDescent="0.2"/>
    <row r="59" spans="1:11" ht="13.5" customHeight="1" x14ac:dyDescent="0.25">
      <c r="A59" s="11" t="s">
        <v>71</v>
      </c>
      <c r="G59" s="743" t="s">
        <v>70</v>
      </c>
      <c r="H59" s="744"/>
      <c r="I59" s="745"/>
      <c r="K59" s="735"/>
    </row>
    <row r="60" spans="1:11" ht="12" customHeight="1" x14ac:dyDescent="0.2">
      <c r="G60" s="746"/>
      <c r="H60" s="747"/>
      <c r="I60" s="748"/>
      <c r="K60" s="736"/>
    </row>
    <row r="61" spans="1:11" ht="6" customHeight="1" x14ac:dyDescent="0.2"/>
    <row r="62" spans="1:11" ht="13.5" customHeight="1" x14ac:dyDescent="0.2">
      <c r="G62" s="743" t="s">
        <v>72</v>
      </c>
      <c r="H62" s="744"/>
      <c r="I62" s="745"/>
      <c r="K62" s="735"/>
    </row>
    <row r="63" spans="1:11" ht="12" customHeight="1" x14ac:dyDescent="0.2">
      <c r="G63" s="746"/>
      <c r="H63" s="747"/>
      <c r="I63" s="748"/>
      <c r="K63" s="736"/>
    </row>
    <row r="64" spans="1:11" ht="18" customHeight="1" x14ac:dyDescent="0.2">
      <c r="A64" s="17" t="s">
        <v>30</v>
      </c>
      <c r="B64" s="737"/>
      <c r="C64" s="738"/>
      <c r="D64" s="738"/>
      <c r="E64" s="739"/>
      <c r="G64" s="742" t="s">
        <v>69</v>
      </c>
      <c r="H64" s="742"/>
      <c r="I64" s="742"/>
      <c r="J64" s="742"/>
      <c r="K64" s="742"/>
    </row>
    <row r="65" spans="1:11" ht="6" customHeight="1" x14ac:dyDescent="0.2"/>
    <row r="66" spans="1:11" ht="19.5" customHeight="1" x14ac:dyDescent="0.2">
      <c r="A66" s="17" t="s">
        <v>65</v>
      </c>
      <c r="B66" s="737"/>
      <c r="C66" s="738"/>
      <c r="D66" s="738"/>
      <c r="E66" s="738"/>
      <c r="F66" s="738"/>
      <c r="G66" s="738"/>
      <c r="H66" s="738"/>
      <c r="I66" s="738"/>
      <c r="J66" s="738"/>
      <c r="K66" s="739"/>
    </row>
    <row r="67" spans="1:11" ht="6" customHeight="1" x14ac:dyDescent="0.2"/>
    <row r="68" spans="1:11" ht="11.25" customHeight="1" x14ac:dyDescent="0.2">
      <c r="A68" s="740" t="s">
        <v>49</v>
      </c>
      <c r="C68" s="742" t="s">
        <v>34</v>
      </c>
      <c r="E68" s="742" t="s">
        <v>31</v>
      </c>
      <c r="G68" s="742" t="s">
        <v>35</v>
      </c>
      <c r="I68" s="742" t="s">
        <v>66</v>
      </c>
      <c r="K68" s="742" t="s">
        <v>67</v>
      </c>
    </row>
    <row r="69" spans="1:11" ht="11.25" customHeight="1" x14ac:dyDescent="0.2">
      <c r="A69" s="741"/>
      <c r="C69" s="742"/>
      <c r="E69" s="742"/>
      <c r="G69" s="742"/>
      <c r="I69" s="742"/>
      <c r="K69" s="742"/>
    </row>
    <row r="70" spans="1:11" ht="6" customHeight="1" x14ac:dyDescent="0.2"/>
    <row r="71" spans="1:11" x14ac:dyDescent="0.2">
      <c r="A71" s="735"/>
      <c r="C71" s="18"/>
      <c r="E71" s="18"/>
      <c r="G71" s="18"/>
      <c r="I71" s="18"/>
      <c r="K71" s="735"/>
    </row>
    <row r="72" spans="1:11" ht="19.5" customHeight="1" x14ac:dyDescent="0.2">
      <c r="A72" s="736"/>
      <c r="C72" s="19"/>
      <c r="E72" s="19"/>
      <c r="G72" s="19"/>
      <c r="I72" s="19"/>
      <c r="K72" s="736"/>
    </row>
    <row r="73" spans="1:11" ht="6" customHeight="1" x14ac:dyDescent="0.2"/>
    <row r="74" spans="1:11" x14ac:dyDescent="0.2">
      <c r="A74" s="735"/>
      <c r="C74" s="18"/>
      <c r="E74" s="18"/>
      <c r="G74" s="18"/>
      <c r="I74" s="18"/>
      <c r="K74" s="735"/>
    </row>
    <row r="75" spans="1:11" ht="19.5" customHeight="1" x14ac:dyDescent="0.2">
      <c r="A75" s="736"/>
      <c r="C75" s="19"/>
      <c r="E75" s="19"/>
      <c r="G75" s="19"/>
      <c r="I75" s="19"/>
      <c r="K75" s="736"/>
    </row>
    <row r="76" spans="1:11" ht="6" customHeight="1" x14ac:dyDescent="0.2"/>
    <row r="77" spans="1:11" x14ac:dyDescent="0.2">
      <c r="A77" s="735"/>
      <c r="C77" s="18"/>
      <c r="E77" s="18"/>
      <c r="G77" s="18"/>
      <c r="I77" s="18"/>
      <c r="K77" s="735"/>
    </row>
    <row r="78" spans="1:11" ht="19.5" customHeight="1" x14ac:dyDescent="0.2">
      <c r="A78" s="736"/>
      <c r="C78" s="19"/>
      <c r="E78" s="19"/>
      <c r="G78" s="19"/>
      <c r="I78" s="19"/>
      <c r="K78" s="736"/>
    </row>
    <row r="79" spans="1:11" ht="6" customHeight="1" x14ac:dyDescent="0.2"/>
    <row r="80" spans="1:11" x14ac:dyDescent="0.2">
      <c r="A80" s="735"/>
      <c r="C80" s="18"/>
      <c r="E80" s="18"/>
      <c r="G80" s="18"/>
      <c r="I80" s="18"/>
      <c r="K80" s="735"/>
    </row>
    <row r="81" spans="1:11" ht="19.5" customHeight="1" x14ac:dyDescent="0.2">
      <c r="A81" s="736"/>
      <c r="C81" s="19"/>
      <c r="E81" s="19"/>
      <c r="G81" s="19"/>
      <c r="I81" s="19"/>
      <c r="K81" s="736"/>
    </row>
    <row r="82" spans="1:11" ht="6" customHeight="1" x14ac:dyDescent="0.2"/>
    <row r="83" spans="1:11" x14ac:dyDescent="0.2">
      <c r="A83" s="735"/>
      <c r="C83" s="18"/>
      <c r="E83" s="18"/>
      <c r="G83" s="18"/>
      <c r="I83" s="18"/>
      <c r="K83" s="735"/>
    </row>
    <row r="84" spans="1:11" ht="19.5" customHeight="1" x14ac:dyDescent="0.2">
      <c r="A84" s="736"/>
      <c r="C84" s="19"/>
      <c r="E84" s="19"/>
      <c r="G84" s="19"/>
      <c r="I84" s="19"/>
      <c r="K84" s="736"/>
    </row>
    <row r="85" spans="1:11" ht="6" customHeight="1" x14ac:dyDescent="0.2"/>
    <row r="86" spans="1:11" x14ac:dyDescent="0.2">
      <c r="A86" s="735"/>
      <c r="C86" s="18"/>
      <c r="E86" s="18"/>
      <c r="G86" s="18"/>
      <c r="I86" s="18"/>
      <c r="K86" s="735"/>
    </row>
    <row r="87" spans="1:11" ht="19.5" customHeight="1" x14ac:dyDescent="0.2">
      <c r="A87" s="736"/>
      <c r="C87" s="19"/>
      <c r="E87" s="19"/>
      <c r="G87" s="19"/>
      <c r="I87" s="19"/>
      <c r="K87" s="736"/>
    </row>
    <row r="88" spans="1:11" ht="6" customHeight="1" x14ac:dyDescent="0.2"/>
    <row r="89" spans="1:11" x14ac:dyDescent="0.2">
      <c r="A89" s="735"/>
      <c r="C89" s="18"/>
      <c r="E89" s="18"/>
      <c r="G89" s="18"/>
      <c r="I89" s="18"/>
      <c r="K89" s="735"/>
    </row>
    <row r="90" spans="1:11" ht="19.5" customHeight="1" x14ac:dyDescent="0.2">
      <c r="A90" s="736"/>
      <c r="C90" s="19"/>
      <c r="E90" s="19"/>
      <c r="G90" s="19"/>
      <c r="I90" s="19"/>
      <c r="K90" s="736"/>
    </row>
    <row r="91" spans="1:11" ht="6" customHeight="1" x14ac:dyDescent="0.2"/>
    <row r="92" spans="1:11" x14ac:dyDescent="0.2">
      <c r="A92" s="735"/>
      <c r="C92" s="18"/>
      <c r="E92" s="18"/>
      <c r="G92" s="18"/>
      <c r="I92" s="18"/>
      <c r="K92" s="735"/>
    </row>
    <row r="93" spans="1:11" ht="19.5" customHeight="1" x14ac:dyDescent="0.2">
      <c r="A93" s="736"/>
      <c r="C93" s="19"/>
      <c r="E93" s="19"/>
      <c r="G93" s="19"/>
      <c r="I93" s="19"/>
      <c r="K93" s="736"/>
    </row>
    <row r="94" spans="1:11" ht="6" customHeight="1" x14ac:dyDescent="0.2"/>
    <row r="95" spans="1:11" x14ac:dyDescent="0.2">
      <c r="A95" s="735"/>
      <c r="C95" s="18"/>
      <c r="E95" s="18"/>
      <c r="G95" s="18"/>
      <c r="I95" s="18"/>
      <c r="K95" s="735"/>
    </row>
    <row r="96" spans="1:11" ht="19.5" customHeight="1" x14ac:dyDescent="0.2">
      <c r="A96" s="736"/>
      <c r="C96" s="19"/>
      <c r="E96" s="19"/>
      <c r="G96" s="19"/>
      <c r="I96" s="19"/>
      <c r="K96" s="736"/>
    </row>
    <row r="97" spans="1:11" ht="6" customHeight="1" x14ac:dyDescent="0.2"/>
    <row r="98" spans="1:11" x14ac:dyDescent="0.2">
      <c r="A98" s="735"/>
      <c r="C98" s="18"/>
      <c r="E98" s="18"/>
      <c r="G98" s="18"/>
      <c r="I98" s="18"/>
      <c r="K98" s="735"/>
    </row>
    <row r="99" spans="1:11" ht="19.5" customHeight="1" x14ac:dyDescent="0.2">
      <c r="A99" s="736"/>
      <c r="C99" s="19"/>
      <c r="E99" s="19"/>
      <c r="G99" s="19"/>
      <c r="I99" s="19"/>
      <c r="K99" s="736"/>
    </row>
    <row r="100" spans="1:11" ht="6" customHeight="1" x14ac:dyDescent="0.2"/>
    <row r="101" spans="1:11" x14ac:dyDescent="0.2">
      <c r="A101" s="735"/>
      <c r="C101" s="18"/>
      <c r="E101" s="18"/>
      <c r="G101" s="18"/>
      <c r="I101" s="18"/>
      <c r="K101" s="735"/>
    </row>
    <row r="102" spans="1:11" ht="19.5" customHeight="1" x14ac:dyDescent="0.2">
      <c r="A102" s="736"/>
      <c r="C102" s="19"/>
      <c r="E102" s="19"/>
      <c r="G102" s="19"/>
      <c r="I102" s="19"/>
      <c r="K102" s="736"/>
    </row>
    <row r="103" spans="1:11" ht="6" customHeight="1" x14ac:dyDescent="0.2"/>
    <row r="104" spans="1:11" x14ac:dyDescent="0.2">
      <c r="A104" s="735"/>
      <c r="C104" s="18"/>
      <c r="E104" s="18"/>
      <c r="G104" s="18"/>
      <c r="I104" s="18"/>
      <c r="K104" s="735"/>
    </row>
    <row r="105" spans="1:11" ht="19.5" customHeight="1" x14ac:dyDescent="0.2">
      <c r="A105" s="736"/>
      <c r="C105" s="19"/>
      <c r="E105" s="19"/>
      <c r="G105" s="19"/>
      <c r="I105" s="19"/>
      <c r="K105" s="736"/>
    </row>
    <row r="106" spans="1:11" ht="6" customHeight="1" x14ac:dyDescent="0.2"/>
    <row r="107" spans="1:11" x14ac:dyDescent="0.2">
      <c r="A107" s="735"/>
      <c r="C107" s="18"/>
      <c r="E107" s="18"/>
      <c r="G107" s="18"/>
      <c r="I107" s="18"/>
      <c r="K107" s="735"/>
    </row>
    <row r="108" spans="1:11" ht="19.5" customHeight="1" x14ac:dyDescent="0.2">
      <c r="A108" s="736"/>
      <c r="C108" s="19"/>
      <c r="E108" s="19"/>
      <c r="G108" s="19"/>
      <c r="I108" s="19"/>
      <c r="K108" s="736"/>
    </row>
    <row r="109" spans="1:11" ht="6" customHeight="1" x14ac:dyDescent="0.2"/>
    <row r="110" spans="1:11" x14ac:dyDescent="0.2">
      <c r="A110" s="735"/>
      <c r="C110" s="18"/>
      <c r="E110" s="18"/>
      <c r="G110" s="18"/>
      <c r="I110" s="18"/>
      <c r="K110" s="735"/>
    </row>
    <row r="111" spans="1:11" ht="19.5" customHeight="1" x14ac:dyDescent="0.2">
      <c r="A111" s="736"/>
      <c r="C111" s="19"/>
      <c r="E111" s="19"/>
      <c r="G111" s="19"/>
      <c r="I111" s="19"/>
      <c r="K111" s="736"/>
    </row>
    <row r="112" spans="1:11" ht="6" customHeight="1" x14ac:dyDescent="0.2"/>
    <row r="113" spans="1:11" x14ac:dyDescent="0.2">
      <c r="A113" s="735"/>
      <c r="C113" s="18"/>
      <c r="E113" s="18"/>
      <c r="G113" s="18"/>
      <c r="I113" s="18"/>
      <c r="K113" s="735"/>
    </row>
    <row r="114" spans="1:11" ht="19.5" customHeight="1" x14ac:dyDescent="0.2">
      <c r="A114" s="736"/>
      <c r="C114" s="19"/>
      <c r="E114" s="19"/>
      <c r="G114" s="19"/>
      <c r="I114" s="19"/>
      <c r="K114" s="736"/>
    </row>
    <row r="115" spans="1:11" ht="6" customHeight="1" x14ac:dyDescent="0.2"/>
    <row r="116" spans="1:11" x14ac:dyDescent="0.2">
      <c r="A116" s="735"/>
      <c r="C116" s="18"/>
      <c r="E116" s="18"/>
      <c r="G116" s="18"/>
      <c r="I116" s="18"/>
      <c r="K116" s="735"/>
    </row>
    <row r="117" spans="1:11" ht="19.5" customHeight="1" x14ac:dyDescent="0.2">
      <c r="A117" s="736"/>
      <c r="C117" s="19"/>
      <c r="E117" s="19"/>
      <c r="G117" s="19"/>
      <c r="I117" s="19"/>
      <c r="K117" s="736"/>
    </row>
    <row r="118" spans="1:11" ht="6" customHeight="1" x14ac:dyDescent="0.2"/>
    <row r="119" spans="1:11" ht="6" customHeight="1" x14ac:dyDescent="0.2"/>
    <row r="120" spans="1:11" x14ac:dyDescent="0.2">
      <c r="A120" s="735"/>
      <c r="C120" s="18"/>
      <c r="E120" s="18"/>
      <c r="G120" s="18"/>
      <c r="I120" s="18"/>
      <c r="K120" s="735"/>
    </row>
    <row r="121" spans="1:11" ht="19.5" customHeight="1" x14ac:dyDescent="0.2">
      <c r="A121" s="736"/>
      <c r="C121" s="19"/>
      <c r="E121" s="19"/>
      <c r="G121" s="19"/>
      <c r="I121" s="19"/>
      <c r="K121" s="736"/>
    </row>
    <row r="122" spans="1:11" ht="6" customHeight="1" x14ac:dyDescent="0.2"/>
    <row r="123" spans="1:11" x14ac:dyDescent="0.2">
      <c r="G123" s="743" t="s">
        <v>68</v>
      </c>
      <c r="H123" s="744"/>
      <c r="I123" s="745"/>
      <c r="K123" s="735"/>
    </row>
    <row r="124" spans="1:11" ht="15" customHeight="1" x14ac:dyDescent="0.2">
      <c r="G124" s="746"/>
      <c r="H124" s="747"/>
      <c r="I124" s="748"/>
      <c r="K124" s="736"/>
    </row>
  </sheetData>
  <mergeCells count="92">
    <mergeCell ref="G123:I124"/>
    <mergeCell ref="K123:K124"/>
    <mergeCell ref="G1:K1"/>
    <mergeCell ref="G56:I57"/>
    <mergeCell ref="G62:I63"/>
    <mergeCell ref="K62:K63"/>
    <mergeCell ref="B66:K66"/>
    <mergeCell ref="K68:K69"/>
    <mergeCell ref="K56:K57"/>
    <mergeCell ref="K59:K60"/>
    <mergeCell ref="G59:I60"/>
    <mergeCell ref="B64:E64"/>
    <mergeCell ref="G64:K64"/>
    <mergeCell ref="K47:K48"/>
    <mergeCell ref="K26:K27"/>
    <mergeCell ref="K29:K30"/>
    <mergeCell ref="A120:A121"/>
    <mergeCell ref="K120:K121"/>
    <mergeCell ref="A116:A117"/>
    <mergeCell ref="K116:K117"/>
    <mergeCell ref="A107:A108"/>
    <mergeCell ref="K107:K108"/>
    <mergeCell ref="A110:A111"/>
    <mergeCell ref="K110:K111"/>
    <mergeCell ref="A113:A114"/>
    <mergeCell ref="K113:K114"/>
    <mergeCell ref="A98:A99"/>
    <mergeCell ref="K98:K99"/>
    <mergeCell ref="A101:A102"/>
    <mergeCell ref="K101:K102"/>
    <mergeCell ref="A104:A105"/>
    <mergeCell ref="K104:K105"/>
    <mergeCell ref="A89:A90"/>
    <mergeCell ref="K89:K90"/>
    <mergeCell ref="A92:A93"/>
    <mergeCell ref="K92:K93"/>
    <mergeCell ref="A95:A96"/>
    <mergeCell ref="K95:K96"/>
    <mergeCell ref="A80:A81"/>
    <mergeCell ref="K80:K81"/>
    <mergeCell ref="A83:A84"/>
    <mergeCell ref="K83:K84"/>
    <mergeCell ref="A86:A87"/>
    <mergeCell ref="K86:K87"/>
    <mergeCell ref="A71:A72"/>
    <mergeCell ref="K71:K72"/>
    <mergeCell ref="A74:A75"/>
    <mergeCell ref="K74:K75"/>
    <mergeCell ref="A77:A78"/>
    <mergeCell ref="K77:K78"/>
    <mergeCell ref="A68:A69"/>
    <mergeCell ref="C68:C69"/>
    <mergeCell ref="E68:E69"/>
    <mergeCell ref="G68:G69"/>
    <mergeCell ref="I68:I69"/>
    <mergeCell ref="A50:A51"/>
    <mergeCell ref="K50:K51"/>
    <mergeCell ref="A53:A54"/>
    <mergeCell ref="K53:K54"/>
    <mergeCell ref="K44:K45"/>
    <mergeCell ref="A47:A48"/>
    <mergeCell ref="A44:A45"/>
    <mergeCell ref="K32:K33"/>
    <mergeCell ref="K35:K36"/>
    <mergeCell ref="K38:K39"/>
    <mergeCell ref="K41:K42"/>
    <mergeCell ref="K5:K6"/>
    <mergeCell ref="K11:K12"/>
    <mergeCell ref="K14:K15"/>
    <mergeCell ref="K17:K18"/>
    <mergeCell ref="K20:K21"/>
    <mergeCell ref="K23:K24"/>
    <mergeCell ref="A29:A30"/>
    <mergeCell ref="A32:A33"/>
    <mergeCell ref="A35:A36"/>
    <mergeCell ref="A38:A39"/>
    <mergeCell ref="A41:A42"/>
    <mergeCell ref="A26:A27"/>
    <mergeCell ref="B1:E1"/>
    <mergeCell ref="B3:K3"/>
    <mergeCell ref="A5:A6"/>
    <mergeCell ref="A8:A9"/>
    <mergeCell ref="C5:C6"/>
    <mergeCell ref="E5:E6"/>
    <mergeCell ref="G5:G6"/>
    <mergeCell ref="I5:I6"/>
    <mergeCell ref="K8:K9"/>
    <mergeCell ref="A11:A12"/>
    <mergeCell ref="A14:A15"/>
    <mergeCell ref="A17:A18"/>
    <mergeCell ref="A20:A21"/>
    <mergeCell ref="A23:A24"/>
  </mergeCells>
  <pageMargins left="0.25" right="0.25" top="0.75" bottom="0.75" header="0.3" footer="0.3"/>
  <pageSetup paperSize="9" orientation="portrait" r:id="rId1"/>
  <headerFooter>
    <oddFooter>&amp;C&amp;1#&amp;"Calibri"&amp;10&amp;K000000PUBLIC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1E15-6B89-479E-AB5F-7585D2F910D4}">
  <dimension ref="A1:Q105"/>
  <sheetViews>
    <sheetView zoomScaleNormal="100" workbookViewId="0">
      <selection activeCell="G14" sqref="G14"/>
    </sheetView>
  </sheetViews>
  <sheetFormatPr defaultRowHeight="11.25" x14ac:dyDescent="0.2"/>
  <cols>
    <col min="1" max="1" width="41.6640625" customWidth="1"/>
    <col min="2" max="2" width="3.5" customWidth="1"/>
    <col min="3" max="3" width="12.1640625" customWidth="1"/>
    <col min="4" max="4" width="2.83203125" customWidth="1"/>
    <col min="5" max="5" width="12.5" customWidth="1"/>
    <col min="6" max="6" width="3.33203125" customWidth="1"/>
    <col min="7" max="7" width="12.83203125" customWidth="1"/>
    <col min="8" max="8" width="2.33203125" customWidth="1"/>
    <col min="9" max="9" width="14.6640625" customWidth="1"/>
    <col min="10" max="10" width="4.6640625" customWidth="1"/>
    <col min="11" max="11" width="14.6640625" customWidth="1"/>
    <col min="12" max="12" width="4.6640625" customWidth="1"/>
    <col min="13" max="13" width="14.6640625" customWidth="1"/>
    <col min="14" max="14" width="4.6640625" customWidth="1"/>
    <col min="15" max="15" width="14.6640625" customWidth="1"/>
    <col min="16" max="16" width="4.33203125" customWidth="1"/>
    <col min="17" max="17" width="16.1640625" customWidth="1"/>
  </cols>
  <sheetData>
    <row r="1" spans="1:17" ht="18" customHeight="1" x14ac:dyDescent="0.2">
      <c r="A1" s="17" t="s">
        <v>30</v>
      </c>
      <c r="B1" s="737"/>
      <c r="C1" s="738"/>
      <c r="D1" s="738"/>
      <c r="E1" s="739"/>
      <c r="G1" s="742" t="s">
        <v>73</v>
      </c>
      <c r="H1" s="742"/>
      <c r="I1" s="742"/>
      <c r="J1" s="742"/>
      <c r="K1" s="742"/>
      <c r="L1" s="742"/>
      <c r="M1" s="742"/>
      <c r="N1" s="742"/>
      <c r="O1" s="742"/>
      <c r="P1" s="742"/>
      <c r="Q1" s="742"/>
    </row>
    <row r="2" spans="1:17" ht="6" customHeight="1" x14ac:dyDescent="0.2"/>
    <row r="3" spans="1:17" ht="19.5" customHeight="1" x14ac:dyDescent="0.2">
      <c r="A3" s="17" t="s">
        <v>65</v>
      </c>
      <c r="B3" s="737"/>
      <c r="C3" s="738"/>
      <c r="D3" s="738"/>
      <c r="E3" s="738"/>
      <c r="F3" s="738"/>
      <c r="G3" s="738"/>
      <c r="H3" s="738"/>
      <c r="I3" s="738"/>
      <c r="J3" s="738"/>
      <c r="K3" s="738"/>
      <c r="L3" s="738"/>
      <c r="M3" s="738"/>
      <c r="N3" s="738"/>
      <c r="O3" s="738"/>
      <c r="P3" s="738"/>
      <c r="Q3" s="739"/>
    </row>
    <row r="4" spans="1:17" ht="6" customHeight="1" x14ac:dyDescent="0.2"/>
    <row r="5" spans="1:17" x14ac:dyDescent="0.2">
      <c r="A5" s="740" t="s">
        <v>49</v>
      </c>
      <c r="C5" s="742" t="s">
        <v>33</v>
      </c>
      <c r="E5" s="742" t="s">
        <v>34</v>
      </c>
      <c r="G5" s="742" t="s">
        <v>31</v>
      </c>
      <c r="I5" s="742" t="s">
        <v>35</v>
      </c>
      <c r="K5" s="742" t="s">
        <v>74</v>
      </c>
      <c r="M5" s="742" t="s">
        <v>75</v>
      </c>
      <c r="O5" s="742" t="s">
        <v>66</v>
      </c>
      <c r="Q5" s="742" t="s">
        <v>67</v>
      </c>
    </row>
    <row r="6" spans="1:17" x14ac:dyDescent="0.2">
      <c r="A6" s="741"/>
      <c r="C6" s="742"/>
      <c r="E6" s="742"/>
      <c r="G6" s="742"/>
      <c r="I6" s="742"/>
      <c r="K6" s="742"/>
      <c r="M6" s="742"/>
      <c r="O6" s="742"/>
      <c r="Q6" s="742"/>
    </row>
    <row r="7" spans="1:17" ht="6" customHeight="1" x14ac:dyDescent="0.2"/>
    <row r="8" spans="1:17" ht="10.5" customHeight="1" x14ac:dyDescent="0.2">
      <c r="A8" s="735"/>
      <c r="C8" s="18"/>
      <c r="E8" s="18"/>
      <c r="G8" s="18"/>
      <c r="I8" s="18"/>
      <c r="K8" s="18"/>
      <c r="M8" s="18"/>
      <c r="O8" s="18"/>
      <c r="Q8" s="735"/>
    </row>
    <row r="9" spans="1:17" ht="9" customHeight="1" x14ac:dyDescent="0.2">
      <c r="A9" s="736"/>
      <c r="C9" s="19"/>
      <c r="E9" s="19"/>
      <c r="G9" s="19"/>
      <c r="I9" s="19"/>
      <c r="K9" s="19"/>
      <c r="M9" s="19"/>
      <c r="O9" s="19"/>
      <c r="Q9" s="736"/>
    </row>
    <row r="10" spans="1:17" x14ac:dyDescent="0.2">
      <c r="A10" s="735"/>
      <c r="C10" s="18"/>
      <c r="E10" s="18"/>
      <c r="G10" s="18"/>
      <c r="I10" s="18"/>
      <c r="K10" s="18"/>
      <c r="M10" s="18"/>
      <c r="O10" s="18"/>
      <c r="Q10" s="735"/>
    </row>
    <row r="11" spans="1:17" ht="9" customHeight="1" x14ac:dyDescent="0.2">
      <c r="A11" s="736"/>
      <c r="C11" s="19"/>
      <c r="E11" s="19"/>
      <c r="G11" s="19"/>
      <c r="I11" s="19"/>
      <c r="K11" s="19"/>
      <c r="M11" s="19"/>
      <c r="O11" s="19"/>
      <c r="Q11" s="736"/>
    </row>
    <row r="12" spans="1:17" x14ac:dyDescent="0.2">
      <c r="A12" s="735"/>
      <c r="C12" s="18"/>
      <c r="E12" s="18"/>
      <c r="G12" s="18"/>
      <c r="I12" s="18"/>
      <c r="K12" s="18"/>
      <c r="M12" s="18"/>
      <c r="O12" s="18"/>
      <c r="Q12" s="735"/>
    </row>
    <row r="13" spans="1:17" ht="9.75" customHeight="1" x14ac:dyDescent="0.2">
      <c r="A13" s="736"/>
      <c r="C13" s="19"/>
      <c r="E13" s="19"/>
      <c r="G13" s="19"/>
      <c r="I13" s="19"/>
      <c r="K13" s="19"/>
      <c r="M13" s="19"/>
      <c r="O13" s="19"/>
      <c r="Q13" s="736"/>
    </row>
    <row r="14" spans="1:17" x14ac:dyDescent="0.2">
      <c r="A14" s="735"/>
      <c r="C14" s="18"/>
      <c r="E14" s="18"/>
      <c r="G14" s="18"/>
      <c r="I14" s="18"/>
      <c r="K14" s="18"/>
      <c r="M14" s="18"/>
      <c r="O14" s="18"/>
      <c r="Q14" s="735"/>
    </row>
    <row r="15" spans="1:17" ht="9" customHeight="1" thickBot="1" x14ac:dyDescent="0.25">
      <c r="A15" s="736"/>
      <c r="C15" s="19"/>
      <c r="E15" s="19"/>
      <c r="G15" s="19"/>
      <c r="I15" s="19"/>
      <c r="K15" s="19"/>
      <c r="M15" s="19"/>
      <c r="O15" s="22"/>
      <c r="Q15" s="736"/>
    </row>
    <row r="16" spans="1:17" ht="12" customHeight="1" x14ac:dyDescent="0.2">
      <c r="A16" s="1"/>
      <c r="J16" s="742" t="s">
        <v>77</v>
      </c>
      <c r="K16" s="742"/>
      <c r="L16" s="742"/>
      <c r="M16" s="742"/>
      <c r="O16" s="23"/>
      <c r="Q16" s="1"/>
    </row>
    <row r="17" spans="1:17" ht="8.25" customHeight="1" thickBot="1" x14ac:dyDescent="0.25">
      <c r="A17" s="1"/>
      <c r="J17" s="742"/>
      <c r="K17" s="742"/>
      <c r="L17" s="742"/>
      <c r="M17" s="742"/>
      <c r="O17" s="24"/>
      <c r="Q17" s="1"/>
    </row>
    <row r="18" spans="1:17" ht="6" customHeight="1" x14ac:dyDescent="0.2"/>
    <row r="19" spans="1:17" x14ac:dyDescent="0.2">
      <c r="A19" s="735"/>
      <c r="C19" s="18"/>
      <c r="E19" s="18"/>
      <c r="G19" s="18"/>
      <c r="I19" s="18"/>
      <c r="K19" s="18"/>
      <c r="M19" s="18"/>
      <c r="O19" s="18"/>
      <c r="Q19" s="735"/>
    </row>
    <row r="20" spans="1:17" ht="9" customHeight="1" x14ac:dyDescent="0.2">
      <c r="A20" s="736"/>
      <c r="C20" s="19"/>
      <c r="E20" s="19"/>
      <c r="G20" s="19"/>
      <c r="I20" s="19"/>
      <c r="K20" s="19"/>
      <c r="M20" s="19"/>
      <c r="O20" s="19"/>
      <c r="Q20" s="736"/>
    </row>
    <row r="21" spans="1:17" x14ac:dyDescent="0.2">
      <c r="A21" s="735"/>
      <c r="C21" s="18"/>
      <c r="E21" s="18"/>
      <c r="G21" s="18"/>
      <c r="I21" s="18"/>
      <c r="K21" s="18"/>
      <c r="M21" s="18"/>
      <c r="O21" s="18"/>
      <c r="Q21" s="735"/>
    </row>
    <row r="22" spans="1:17" ht="9" customHeight="1" x14ac:dyDescent="0.2">
      <c r="A22" s="736"/>
      <c r="C22" s="19"/>
      <c r="E22" s="19"/>
      <c r="G22" s="19"/>
      <c r="I22" s="19"/>
      <c r="K22" s="19"/>
      <c r="M22" s="19"/>
      <c r="O22" s="19"/>
      <c r="Q22" s="736"/>
    </row>
    <row r="23" spans="1:17" x14ac:dyDescent="0.2">
      <c r="A23" s="735"/>
      <c r="C23" s="18"/>
      <c r="E23" s="18"/>
      <c r="G23" s="18"/>
      <c r="I23" s="18"/>
      <c r="K23" s="18"/>
      <c r="M23" s="18"/>
      <c r="O23" s="18"/>
      <c r="Q23" s="735"/>
    </row>
    <row r="24" spans="1:17" ht="9.75" customHeight="1" x14ac:dyDescent="0.2">
      <c r="A24" s="736"/>
      <c r="C24" s="19"/>
      <c r="E24" s="19"/>
      <c r="G24" s="19"/>
      <c r="I24" s="19"/>
      <c r="K24" s="19"/>
      <c r="M24" s="19"/>
      <c r="O24" s="19"/>
      <c r="Q24" s="736"/>
    </row>
    <row r="25" spans="1:17" x14ac:dyDescent="0.2">
      <c r="A25" s="735"/>
      <c r="C25" s="18"/>
      <c r="E25" s="18"/>
      <c r="G25" s="18"/>
      <c r="I25" s="18"/>
      <c r="K25" s="18"/>
      <c r="M25" s="18"/>
      <c r="O25" s="18"/>
      <c r="Q25" s="735"/>
    </row>
    <row r="26" spans="1:17" ht="9" customHeight="1" thickBot="1" x14ac:dyDescent="0.25">
      <c r="A26" s="736"/>
      <c r="C26" s="19"/>
      <c r="E26" s="19"/>
      <c r="G26" s="19"/>
      <c r="I26" s="19"/>
      <c r="K26" s="19"/>
      <c r="M26" s="19"/>
      <c r="O26" s="22"/>
      <c r="Q26" s="736"/>
    </row>
    <row r="27" spans="1:17" ht="12" customHeight="1" x14ac:dyDescent="0.2">
      <c r="A27" s="1"/>
      <c r="J27" s="742" t="s">
        <v>77</v>
      </c>
      <c r="K27" s="742"/>
      <c r="L27" s="742"/>
      <c r="M27" s="742"/>
      <c r="O27" s="23"/>
      <c r="Q27" s="1"/>
    </row>
    <row r="28" spans="1:17" ht="8.25" customHeight="1" thickBot="1" x14ac:dyDescent="0.25">
      <c r="A28" s="1"/>
      <c r="J28" s="742"/>
      <c r="K28" s="742"/>
      <c r="L28" s="742"/>
      <c r="M28" s="742"/>
      <c r="O28" s="24"/>
      <c r="Q28" s="1"/>
    </row>
    <row r="29" spans="1:17" ht="6" customHeight="1" x14ac:dyDescent="0.2"/>
    <row r="30" spans="1:17" x14ac:dyDescent="0.2">
      <c r="A30" s="735"/>
      <c r="C30" s="18"/>
      <c r="E30" s="18"/>
      <c r="G30" s="18"/>
      <c r="I30" s="18"/>
      <c r="K30" s="18"/>
      <c r="M30" s="18"/>
      <c r="O30" s="18"/>
      <c r="Q30" s="735"/>
    </row>
    <row r="31" spans="1:17" ht="9" customHeight="1" x14ac:dyDescent="0.2">
      <c r="A31" s="736"/>
      <c r="C31" s="19"/>
      <c r="E31" s="19"/>
      <c r="G31" s="19"/>
      <c r="I31" s="19"/>
      <c r="K31" s="19"/>
      <c r="M31" s="19"/>
      <c r="O31" s="19"/>
      <c r="Q31" s="736"/>
    </row>
    <row r="32" spans="1:17" x14ac:dyDescent="0.2">
      <c r="A32" s="735"/>
      <c r="C32" s="18"/>
      <c r="E32" s="18"/>
      <c r="G32" s="18"/>
      <c r="I32" s="18"/>
      <c r="K32" s="18"/>
      <c r="M32" s="18"/>
      <c r="O32" s="18"/>
      <c r="Q32" s="735"/>
    </row>
    <row r="33" spans="1:17" ht="9" customHeight="1" x14ac:dyDescent="0.2">
      <c r="A33" s="736"/>
      <c r="C33" s="19"/>
      <c r="E33" s="19"/>
      <c r="G33" s="19"/>
      <c r="I33" s="19"/>
      <c r="K33" s="19"/>
      <c r="M33" s="19"/>
      <c r="O33" s="19"/>
      <c r="Q33" s="736"/>
    </row>
    <row r="34" spans="1:17" x14ac:dyDescent="0.2">
      <c r="A34" s="735"/>
      <c r="C34" s="18"/>
      <c r="E34" s="18"/>
      <c r="G34" s="18"/>
      <c r="I34" s="18"/>
      <c r="K34" s="18"/>
      <c r="M34" s="18"/>
      <c r="O34" s="18"/>
      <c r="Q34" s="735"/>
    </row>
    <row r="35" spans="1:17" ht="9.75" customHeight="1" x14ac:dyDescent="0.2">
      <c r="A35" s="736"/>
      <c r="C35" s="19"/>
      <c r="E35" s="19"/>
      <c r="G35" s="19"/>
      <c r="I35" s="19"/>
      <c r="K35" s="19"/>
      <c r="M35" s="19"/>
      <c r="O35" s="19"/>
      <c r="Q35" s="736"/>
    </row>
    <row r="36" spans="1:17" x14ac:dyDescent="0.2">
      <c r="A36" s="735"/>
      <c r="C36" s="18"/>
      <c r="E36" s="18"/>
      <c r="G36" s="18"/>
      <c r="I36" s="18"/>
      <c r="K36" s="18"/>
      <c r="M36" s="18"/>
      <c r="O36" s="18"/>
      <c r="Q36" s="735"/>
    </row>
    <row r="37" spans="1:17" ht="9" customHeight="1" thickBot="1" x14ac:dyDescent="0.25">
      <c r="A37" s="736"/>
      <c r="C37" s="19"/>
      <c r="E37" s="19"/>
      <c r="G37" s="19"/>
      <c r="I37" s="19"/>
      <c r="K37" s="19"/>
      <c r="M37" s="19"/>
      <c r="O37" s="22"/>
      <c r="Q37" s="736"/>
    </row>
    <row r="38" spans="1:17" ht="12" customHeight="1" x14ac:dyDescent="0.2">
      <c r="A38" s="1"/>
      <c r="J38" s="742" t="s">
        <v>77</v>
      </c>
      <c r="K38" s="742"/>
      <c r="L38" s="742"/>
      <c r="M38" s="742"/>
      <c r="O38" s="23"/>
      <c r="Q38" s="1"/>
    </row>
    <row r="39" spans="1:17" ht="9" customHeight="1" thickBot="1" x14ac:dyDescent="0.25">
      <c r="A39" s="1"/>
      <c r="J39" s="742"/>
      <c r="K39" s="742"/>
      <c r="L39" s="742"/>
      <c r="M39" s="742"/>
      <c r="O39" s="24"/>
      <c r="Q39" s="1"/>
    </row>
    <row r="40" spans="1:17" ht="6" customHeight="1" x14ac:dyDescent="0.2">
      <c r="A40" s="1"/>
      <c r="Q40" s="1"/>
    </row>
    <row r="41" spans="1:17" x14ac:dyDescent="0.2">
      <c r="A41" s="735"/>
      <c r="C41" s="18"/>
      <c r="E41" s="18"/>
      <c r="G41" s="18"/>
      <c r="I41" s="18"/>
      <c r="K41" s="18"/>
      <c r="M41" s="18"/>
      <c r="O41" s="18"/>
      <c r="Q41" s="735"/>
    </row>
    <row r="42" spans="1:17" ht="9" customHeight="1" x14ac:dyDescent="0.2">
      <c r="A42" s="736"/>
      <c r="C42" s="19"/>
      <c r="E42" s="19"/>
      <c r="G42" s="19"/>
      <c r="I42" s="19"/>
      <c r="K42" s="19"/>
      <c r="M42" s="19"/>
      <c r="O42" s="19"/>
      <c r="Q42" s="736"/>
    </row>
    <row r="43" spans="1:17" x14ac:dyDescent="0.2">
      <c r="A43" s="735"/>
      <c r="C43" s="18"/>
      <c r="E43" s="18"/>
      <c r="G43" s="18"/>
      <c r="I43" s="18"/>
      <c r="K43" s="18"/>
      <c r="M43" s="18"/>
      <c r="O43" s="18"/>
      <c r="Q43" s="735"/>
    </row>
    <row r="44" spans="1:17" ht="9" customHeight="1" x14ac:dyDescent="0.2">
      <c r="A44" s="736"/>
      <c r="C44" s="19"/>
      <c r="E44" s="19"/>
      <c r="G44" s="19"/>
      <c r="I44" s="19"/>
      <c r="K44" s="19"/>
      <c r="M44" s="19"/>
      <c r="O44" s="19"/>
      <c r="Q44" s="736"/>
    </row>
    <row r="45" spans="1:17" x14ac:dyDescent="0.2">
      <c r="A45" s="735"/>
      <c r="C45" s="18"/>
      <c r="E45" s="18"/>
      <c r="G45" s="18"/>
      <c r="I45" s="18"/>
      <c r="K45" s="18"/>
      <c r="M45" s="18"/>
      <c r="O45" s="18"/>
      <c r="Q45" s="735"/>
    </row>
    <row r="46" spans="1:17" ht="9.75" customHeight="1" x14ac:dyDescent="0.2">
      <c r="A46" s="736"/>
      <c r="C46" s="19"/>
      <c r="E46" s="19"/>
      <c r="G46" s="19"/>
      <c r="I46" s="19"/>
      <c r="K46" s="19"/>
      <c r="M46" s="19"/>
      <c r="O46" s="19"/>
      <c r="Q46" s="736"/>
    </row>
    <row r="47" spans="1:17" x14ac:dyDescent="0.2">
      <c r="A47" s="735"/>
      <c r="C47" s="18"/>
      <c r="E47" s="18"/>
      <c r="G47" s="18"/>
      <c r="I47" s="18"/>
      <c r="K47" s="18"/>
      <c r="M47" s="18"/>
      <c r="O47" s="18"/>
      <c r="Q47" s="735"/>
    </row>
    <row r="48" spans="1:17" ht="9" customHeight="1" thickBot="1" x14ac:dyDescent="0.25">
      <c r="A48" s="736"/>
      <c r="C48" s="19"/>
      <c r="E48" s="19"/>
      <c r="G48" s="19"/>
      <c r="I48" s="19"/>
      <c r="K48" s="19"/>
      <c r="M48" s="19"/>
      <c r="O48" s="22"/>
      <c r="Q48" s="736"/>
    </row>
    <row r="49" spans="1:17" ht="12" customHeight="1" x14ac:dyDescent="0.2">
      <c r="A49" s="1"/>
      <c r="K49" s="749" t="s">
        <v>76</v>
      </c>
      <c r="L49" s="749"/>
      <c r="M49" s="749"/>
      <c r="O49" s="23"/>
      <c r="Q49" s="1"/>
    </row>
    <row r="50" spans="1:17" ht="8.25" customHeight="1" thickBot="1" x14ac:dyDescent="0.25">
      <c r="A50" s="1"/>
      <c r="K50" s="749"/>
      <c r="L50" s="749"/>
      <c r="M50" s="749"/>
      <c r="O50" s="24"/>
      <c r="Q50" s="1"/>
    </row>
    <row r="51" spans="1:17" ht="6" customHeight="1" x14ac:dyDescent="0.2">
      <c r="A51" s="1"/>
      <c r="Q51" s="1"/>
    </row>
    <row r="52" spans="1:17" x14ac:dyDescent="0.2">
      <c r="A52" s="735"/>
      <c r="C52" s="18"/>
      <c r="E52" s="18"/>
      <c r="G52" s="18"/>
      <c r="I52" s="18"/>
      <c r="K52" s="18"/>
      <c r="M52" s="18"/>
      <c r="O52" s="18"/>
      <c r="Q52" s="735"/>
    </row>
    <row r="53" spans="1:17" ht="9" customHeight="1" x14ac:dyDescent="0.2">
      <c r="A53" s="736"/>
      <c r="C53" s="19"/>
      <c r="E53" s="19"/>
      <c r="G53" s="19"/>
      <c r="I53" s="19"/>
      <c r="K53" s="19"/>
      <c r="M53" s="19"/>
      <c r="O53" s="19"/>
      <c r="Q53" s="736"/>
    </row>
    <row r="54" spans="1:17" x14ac:dyDescent="0.2">
      <c r="A54" s="735"/>
      <c r="C54" s="18"/>
      <c r="E54" s="18"/>
      <c r="G54" s="18"/>
      <c r="I54" s="18"/>
      <c r="K54" s="18"/>
      <c r="M54" s="18"/>
      <c r="O54" s="18"/>
      <c r="Q54" s="735"/>
    </row>
    <row r="55" spans="1:17" ht="9" customHeight="1" x14ac:dyDescent="0.2">
      <c r="A55" s="736"/>
      <c r="C55" s="19"/>
      <c r="E55" s="19"/>
      <c r="G55" s="19"/>
      <c r="I55" s="19"/>
      <c r="K55" s="19"/>
      <c r="M55" s="19"/>
      <c r="O55" s="19"/>
      <c r="Q55" s="736"/>
    </row>
    <row r="56" spans="1:17" x14ac:dyDescent="0.2">
      <c r="A56" s="735"/>
      <c r="C56" s="18"/>
      <c r="E56" s="18"/>
      <c r="G56" s="18"/>
      <c r="I56" s="18"/>
      <c r="K56" s="18"/>
      <c r="M56" s="18"/>
      <c r="O56" s="18"/>
      <c r="Q56" s="735"/>
    </row>
    <row r="57" spans="1:17" ht="9.75" customHeight="1" x14ac:dyDescent="0.2">
      <c r="A57" s="736"/>
      <c r="C57" s="19"/>
      <c r="E57" s="19"/>
      <c r="G57" s="19"/>
      <c r="I57" s="19"/>
      <c r="K57" s="19"/>
      <c r="M57" s="19"/>
      <c r="O57" s="19"/>
      <c r="Q57" s="736"/>
    </row>
    <row r="58" spans="1:17" x14ac:dyDescent="0.2">
      <c r="A58" s="735"/>
      <c r="C58" s="18"/>
      <c r="E58" s="18"/>
      <c r="G58" s="18"/>
      <c r="I58" s="18"/>
      <c r="K58" s="18"/>
      <c r="M58" s="18"/>
      <c r="O58" s="18"/>
      <c r="Q58" s="735"/>
    </row>
    <row r="59" spans="1:17" ht="9" customHeight="1" thickBot="1" x14ac:dyDescent="0.25">
      <c r="A59" s="736"/>
      <c r="C59" s="19"/>
      <c r="E59" s="19"/>
      <c r="G59" s="19"/>
      <c r="I59" s="19"/>
      <c r="K59" s="19"/>
      <c r="M59" s="19"/>
      <c r="O59" s="22"/>
      <c r="Q59" s="736"/>
    </row>
    <row r="60" spans="1:17" ht="12" customHeight="1" x14ac:dyDescent="0.2">
      <c r="A60" s="1"/>
      <c r="J60" s="742" t="s">
        <v>77</v>
      </c>
      <c r="K60" s="742"/>
      <c r="L60" s="742"/>
      <c r="M60" s="742"/>
      <c r="O60" s="23"/>
      <c r="Q60" s="1"/>
    </row>
    <row r="61" spans="1:17" ht="8.25" customHeight="1" thickBot="1" x14ac:dyDescent="0.25">
      <c r="A61" s="1"/>
      <c r="J61" s="742"/>
      <c r="K61" s="742"/>
      <c r="L61" s="742"/>
      <c r="M61" s="742"/>
      <c r="O61" s="24"/>
      <c r="Q61" s="1"/>
    </row>
    <row r="62" spans="1:17" ht="6" customHeight="1" x14ac:dyDescent="0.2">
      <c r="A62" s="1"/>
      <c r="Q62" s="1"/>
    </row>
    <row r="63" spans="1:17" x14ac:dyDescent="0.2">
      <c r="A63" s="735"/>
      <c r="C63" s="18"/>
      <c r="E63" s="18"/>
      <c r="G63" s="18"/>
      <c r="I63" s="18"/>
      <c r="K63" s="18"/>
      <c r="M63" s="18"/>
      <c r="O63" s="18"/>
      <c r="Q63" s="735"/>
    </row>
    <row r="64" spans="1:17" ht="9" customHeight="1" x14ac:dyDescent="0.2">
      <c r="A64" s="736"/>
      <c r="C64" s="19"/>
      <c r="E64" s="19"/>
      <c r="G64" s="19"/>
      <c r="I64" s="19"/>
      <c r="K64" s="19"/>
      <c r="M64" s="19"/>
      <c r="O64" s="19"/>
      <c r="Q64" s="736"/>
    </row>
    <row r="65" spans="1:17" x14ac:dyDescent="0.2">
      <c r="A65" s="735"/>
      <c r="C65" s="18"/>
      <c r="E65" s="18"/>
      <c r="G65" s="18"/>
      <c r="I65" s="18"/>
      <c r="K65" s="18"/>
      <c r="M65" s="18"/>
      <c r="O65" s="18"/>
      <c r="Q65" s="735"/>
    </row>
    <row r="66" spans="1:17" ht="9" customHeight="1" x14ac:dyDescent="0.2">
      <c r="A66" s="736"/>
      <c r="C66" s="19"/>
      <c r="E66" s="19"/>
      <c r="G66" s="19"/>
      <c r="I66" s="19"/>
      <c r="K66" s="19"/>
      <c r="M66" s="19"/>
      <c r="O66" s="19"/>
      <c r="Q66" s="736"/>
    </row>
    <row r="67" spans="1:17" x14ac:dyDescent="0.2">
      <c r="A67" s="735"/>
      <c r="C67" s="18"/>
      <c r="E67" s="18"/>
      <c r="G67" s="18"/>
      <c r="I67" s="18"/>
      <c r="K67" s="18"/>
      <c r="M67" s="18"/>
      <c r="O67" s="18"/>
      <c r="Q67" s="735"/>
    </row>
    <row r="68" spans="1:17" ht="9.75" customHeight="1" x14ac:dyDescent="0.2">
      <c r="A68" s="736"/>
      <c r="C68" s="19"/>
      <c r="E68" s="19"/>
      <c r="G68" s="19"/>
      <c r="I68" s="19"/>
      <c r="K68" s="19"/>
      <c r="M68" s="19"/>
      <c r="O68" s="19"/>
      <c r="Q68" s="736"/>
    </row>
    <row r="69" spans="1:17" x14ac:dyDescent="0.2">
      <c r="A69" s="735"/>
      <c r="C69" s="18"/>
      <c r="E69" s="18"/>
      <c r="G69" s="18"/>
      <c r="I69" s="18"/>
      <c r="K69" s="18"/>
      <c r="M69" s="18"/>
      <c r="O69" s="18"/>
      <c r="Q69" s="735"/>
    </row>
    <row r="70" spans="1:17" ht="9" customHeight="1" thickBot="1" x14ac:dyDescent="0.25">
      <c r="A70" s="736"/>
      <c r="C70" s="19"/>
      <c r="E70" s="19"/>
      <c r="G70" s="19"/>
      <c r="I70" s="19"/>
      <c r="K70" s="19"/>
      <c r="M70" s="19"/>
      <c r="O70" s="22"/>
      <c r="Q70" s="736"/>
    </row>
    <row r="71" spans="1:17" ht="12" customHeight="1" x14ac:dyDescent="0.2">
      <c r="A71" s="1"/>
      <c r="J71" s="742" t="s">
        <v>77</v>
      </c>
      <c r="K71" s="742"/>
      <c r="L71" s="742"/>
      <c r="M71" s="742"/>
      <c r="O71" s="23"/>
      <c r="Q71" s="1"/>
    </row>
    <row r="72" spans="1:17" ht="8.25" customHeight="1" thickBot="1" x14ac:dyDescent="0.25">
      <c r="A72" s="1"/>
      <c r="J72" s="742"/>
      <c r="K72" s="742"/>
      <c r="L72" s="742"/>
      <c r="M72" s="742"/>
      <c r="O72" s="24"/>
      <c r="Q72" s="1"/>
    </row>
    <row r="73" spans="1:17" ht="8.25" customHeight="1" x14ac:dyDescent="0.2">
      <c r="A73" s="1"/>
      <c r="K73" s="21"/>
      <c r="L73" s="21"/>
      <c r="M73" s="21"/>
      <c r="Q73" s="1"/>
    </row>
    <row r="74" spans="1:17" ht="6" customHeight="1" x14ac:dyDescent="0.2">
      <c r="A74" s="1"/>
      <c r="Q74" s="1"/>
    </row>
    <row r="75" spans="1:17" x14ac:dyDescent="0.2">
      <c r="A75" s="735"/>
      <c r="C75" s="18"/>
      <c r="E75" s="18"/>
      <c r="G75" s="18"/>
      <c r="I75" s="18"/>
      <c r="K75" s="18"/>
      <c r="M75" s="18"/>
      <c r="O75" s="18"/>
      <c r="Q75" s="735"/>
    </row>
    <row r="76" spans="1:17" ht="9" customHeight="1" x14ac:dyDescent="0.2">
      <c r="A76" s="736"/>
      <c r="C76" s="19"/>
      <c r="E76" s="19"/>
      <c r="G76" s="19"/>
      <c r="I76" s="19"/>
      <c r="K76" s="19"/>
      <c r="M76" s="19"/>
      <c r="O76" s="19"/>
      <c r="Q76" s="736"/>
    </row>
    <row r="77" spans="1:17" x14ac:dyDescent="0.2">
      <c r="A77" s="735"/>
      <c r="C77" s="18"/>
      <c r="E77" s="18"/>
      <c r="G77" s="18"/>
      <c r="I77" s="18"/>
      <c r="K77" s="18"/>
      <c r="M77" s="18"/>
      <c r="O77" s="18"/>
      <c r="Q77" s="735"/>
    </row>
    <row r="78" spans="1:17" ht="9" customHeight="1" x14ac:dyDescent="0.2">
      <c r="A78" s="736"/>
      <c r="C78" s="19"/>
      <c r="E78" s="19"/>
      <c r="G78" s="19"/>
      <c r="I78" s="19"/>
      <c r="K78" s="19"/>
      <c r="M78" s="19"/>
      <c r="O78" s="19"/>
      <c r="Q78" s="736"/>
    </row>
    <row r="79" spans="1:17" x14ac:dyDescent="0.2">
      <c r="A79" s="735"/>
      <c r="C79" s="18"/>
      <c r="E79" s="18"/>
      <c r="G79" s="18"/>
      <c r="I79" s="18"/>
      <c r="K79" s="18"/>
      <c r="M79" s="18"/>
      <c r="O79" s="18"/>
      <c r="Q79" s="735"/>
    </row>
    <row r="80" spans="1:17" ht="9.75" customHeight="1" x14ac:dyDescent="0.2">
      <c r="A80" s="736"/>
      <c r="C80" s="19"/>
      <c r="E80" s="19"/>
      <c r="G80" s="19"/>
      <c r="I80" s="19"/>
      <c r="K80" s="19"/>
      <c r="M80" s="19"/>
      <c r="O80" s="19"/>
      <c r="Q80" s="736"/>
    </row>
    <row r="81" spans="1:17" x14ac:dyDescent="0.2">
      <c r="A81" s="735"/>
      <c r="C81" s="18"/>
      <c r="E81" s="18"/>
      <c r="G81" s="18"/>
      <c r="I81" s="18"/>
      <c r="K81" s="18"/>
      <c r="M81" s="18"/>
      <c r="O81" s="18"/>
      <c r="Q81" s="735"/>
    </row>
    <row r="82" spans="1:17" ht="9" customHeight="1" thickBot="1" x14ac:dyDescent="0.25">
      <c r="A82" s="736"/>
      <c r="C82" s="19"/>
      <c r="E82" s="19"/>
      <c r="G82" s="19"/>
      <c r="I82" s="19"/>
      <c r="K82" s="19"/>
      <c r="M82" s="19"/>
      <c r="O82" s="22"/>
      <c r="Q82" s="736"/>
    </row>
    <row r="83" spans="1:17" ht="12" customHeight="1" x14ac:dyDescent="0.2">
      <c r="A83" s="1"/>
      <c r="J83" s="742" t="s">
        <v>77</v>
      </c>
      <c r="K83" s="742"/>
      <c r="L83" s="742"/>
      <c r="M83" s="742"/>
      <c r="O83" s="23"/>
      <c r="Q83" s="1"/>
    </row>
    <row r="84" spans="1:17" ht="8.25" customHeight="1" thickBot="1" x14ac:dyDescent="0.25">
      <c r="A84" s="1"/>
      <c r="J84" s="742"/>
      <c r="K84" s="742"/>
      <c r="L84" s="742"/>
      <c r="M84" s="742"/>
      <c r="O84" s="24"/>
      <c r="Q84" s="1"/>
    </row>
    <row r="85" spans="1:17" ht="6" customHeight="1" x14ac:dyDescent="0.2"/>
    <row r="86" spans="1:17" x14ac:dyDescent="0.2">
      <c r="A86" s="735"/>
      <c r="C86" s="18"/>
      <c r="E86" s="18"/>
      <c r="G86" s="18"/>
      <c r="I86" s="18"/>
      <c r="K86" s="18"/>
      <c r="M86" s="18"/>
      <c r="O86" s="18"/>
      <c r="Q86" s="735"/>
    </row>
    <row r="87" spans="1:17" ht="9" customHeight="1" x14ac:dyDescent="0.2">
      <c r="A87" s="736"/>
      <c r="C87" s="19"/>
      <c r="E87" s="19"/>
      <c r="G87" s="19"/>
      <c r="I87" s="19"/>
      <c r="K87" s="19"/>
      <c r="M87" s="19"/>
      <c r="O87" s="19"/>
      <c r="Q87" s="736"/>
    </row>
    <row r="88" spans="1:17" x14ac:dyDescent="0.2">
      <c r="A88" s="735"/>
      <c r="C88" s="18"/>
      <c r="E88" s="18"/>
      <c r="G88" s="18"/>
      <c r="I88" s="18"/>
      <c r="K88" s="18"/>
      <c r="M88" s="18"/>
      <c r="O88" s="18"/>
      <c r="Q88" s="735"/>
    </row>
    <row r="89" spans="1:17" ht="9" customHeight="1" x14ac:dyDescent="0.2">
      <c r="A89" s="736"/>
      <c r="C89" s="19"/>
      <c r="E89" s="19"/>
      <c r="G89" s="19"/>
      <c r="I89" s="19"/>
      <c r="K89" s="19"/>
      <c r="M89" s="19"/>
      <c r="O89" s="19"/>
      <c r="Q89" s="736"/>
    </row>
    <row r="90" spans="1:17" x14ac:dyDescent="0.2">
      <c r="A90" s="735"/>
      <c r="C90" s="18"/>
      <c r="E90" s="18"/>
      <c r="G90" s="18"/>
      <c r="I90" s="18"/>
      <c r="K90" s="18"/>
      <c r="M90" s="18"/>
      <c r="O90" s="18"/>
      <c r="Q90" s="735"/>
    </row>
    <row r="91" spans="1:17" ht="9.75" customHeight="1" x14ac:dyDescent="0.2">
      <c r="A91" s="736"/>
      <c r="C91" s="19"/>
      <c r="E91" s="19"/>
      <c r="G91" s="19"/>
      <c r="I91" s="19"/>
      <c r="K91" s="19"/>
      <c r="M91" s="19"/>
      <c r="O91" s="19"/>
      <c r="Q91" s="736"/>
    </row>
    <row r="92" spans="1:17" x14ac:dyDescent="0.2">
      <c r="A92" s="735"/>
      <c r="C92" s="18"/>
      <c r="E92" s="18"/>
      <c r="G92" s="18"/>
      <c r="I92" s="18"/>
      <c r="K92" s="18"/>
      <c r="M92" s="18"/>
      <c r="O92" s="18"/>
      <c r="Q92" s="735"/>
    </row>
    <row r="93" spans="1:17" ht="9" customHeight="1" thickBot="1" x14ac:dyDescent="0.25">
      <c r="A93" s="736"/>
      <c r="C93" s="19"/>
      <c r="E93" s="19"/>
      <c r="G93" s="19"/>
      <c r="I93" s="19"/>
      <c r="K93" s="19"/>
      <c r="M93" s="19"/>
      <c r="O93" s="22"/>
      <c r="Q93" s="736"/>
    </row>
    <row r="94" spans="1:17" ht="12" customHeight="1" x14ac:dyDescent="0.2">
      <c r="A94" s="1"/>
      <c r="J94" s="742" t="s">
        <v>77</v>
      </c>
      <c r="K94" s="742"/>
      <c r="L94" s="742"/>
      <c r="M94" s="742"/>
      <c r="O94" s="23"/>
      <c r="Q94" s="1"/>
    </row>
    <row r="95" spans="1:17" ht="8.25" customHeight="1" thickBot="1" x14ac:dyDescent="0.25">
      <c r="A95" s="1"/>
      <c r="J95" s="742"/>
      <c r="K95" s="742"/>
      <c r="L95" s="742"/>
      <c r="M95" s="742"/>
      <c r="O95" s="24"/>
      <c r="Q95" s="1"/>
    </row>
    <row r="96" spans="1:17" ht="6" customHeight="1" x14ac:dyDescent="0.2"/>
    <row r="97" spans="1:15" ht="19.5" customHeight="1" x14ac:dyDescent="0.2">
      <c r="A97" s="17" t="s">
        <v>68</v>
      </c>
      <c r="B97" s="17"/>
      <c r="C97" s="25"/>
      <c r="E97" s="742" t="s">
        <v>70</v>
      </c>
      <c r="F97" s="742"/>
      <c r="G97" s="742"/>
      <c r="I97" s="20"/>
      <c r="K97" s="742" t="s">
        <v>78</v>
      </c>
      <c r="L97" s="742"/>
      <c r="M97" s="742"/>
      <c r="O97" s="20"/>
    </row>
    <row r="98" spans="1:15" ht="6" customHeight="1" x14ac:dyDescent="0.2">
      <c r="A98" s="17"/>
      <c r="B98" s="17"/>
      <c r="C98" s="17"/>
    </row>
    <row r="99" spans="1:15" ht="6" customHeight="1" x14ac:dyDescent="0.2"/>
    <row r="100" spans="1:15" ht="6" customHeight="1" x14ac:dyDescent="0.2"/>
    <row r="101" spans="1:15" ht="6" customHeight="1" x14ac:dyDescent="0.2"/>
    <row r="102" spans="1:15" ht="6" customHeight="1" x14ac:dyDescent="0.2"/>
    <row r="103" spans="1:15" ht="6" customHeight="1" x14ac:dyDescent="0.2"/>
    <row r="104" spans="1:15" ht="6" customHeight="1" x14ac:dyDescent="0.2"/>
    <row r="105" spans="1:15" ht="6" customHeight="1" x14ac:dyDescent="0.2"/>
  </sheetData>
  <mergeCells count="86">
    <mergeCell ref="J60:M61"/>
    <mergeCell ref="J71:M72"/>
    <mergeCell ref="A90:A91"/>
    <mergeCell ref="Q90:Q91"/>
    <mergeCell ref="A79:A80"/>
    <mergeCell ref="Q79:Q80"/>
    <mergeCell ref="A81:A82"/>
    <mergeCell ref="Q81:Q82"/>
    <mergeCell ref="J83:M84"/>
    <mergeCell ref="A86:A87"/>
    <mergeCell ref="Q86:Q87"/>
    <mergeCell ref="A88:A89"/>
    <mergeCell ref="Q88:Q89"/>
    <mergeCell ref="A69:A70"/>
    <mergeCell ref="Q69:Q70"/>
    <mergeCell ref="A75:A76"/>
    <mergeCell ref="Q75:Q76"/>
    <mergeCell ref="A77:A78"/>
    <mergeCell ref="Q77:Q78"/>
    <mergeCell ref="A63:A64"/>
    <mergeCell ref="Q63:Q64"/>
    <mergeCell ref="A65:A66"/>
    <mergeCell ref="Q65:Q66"/>
    <mergeCell ref="A67:A68"/>
    <mergeCell ref="Q67:Q68"/>
    <mergeCell ref="A32:A33"/>
    <mergeCell ref="Q32:Q33"/>
    <mergeCell ref="A34:A35"/>
    <mergeCell ref="Q34:Q35"/>
    <mergeCell ref="A54:A55"/>
    <mergeCell ref="Q54:Q55"/>
    <mergeCell ref="J38:M39"/>
    <mergeCell ref="A36:A37"/>
    <mergeCell ref="Q36:Q37"/>
    <mergeCell ref="A41:A42"/>
    <mergeCell ref="Q41:Q42"/>
    <mergeCell ref="A43:A44"/>
    <mergeCell ref="Q43:Q44"/>
    <mergeCell ref="A30:A31"/>
    <mergeCell ref="Q30:Q31"/>
    <mergeCell ref="A14:A15"/>
    <mergeCell ref="Q14:Q15"/>
    <mergeCell ref="A21:A22"/>
    <mergeCell ref="A25:A26"/>
    <mergeCell ref="Q25:Q26"/>
    <mergeCell ref="J16:M17"/>
    <mergeCell ref="J27:M28"/>
    <mergeCell ref="Q21:Q22"/>
    <mergeCell ref="A19:A20"/>
    <mergeCell ref="Q19:Q20"/>
    <mergeCell ref="A23:A24"/>
    <mergeCell ref="Q23:Q24"/>
    <mergeCell ref="J94:M95"/>
    <mergeCell ref="E97:G97"/>
    <mergeCell ref="K97:M97"/>
    <mergeCell ref="A45:A46"/>
    <mergeCell ref="Q45:Q46"/>
    <mergeCell ref="A47:A48"/>
    <mergeCell ref="Q47:Q48"/>
    <mergeCell ref="A52:A53"/>
    <mergeCell ref="Q52:Q53"/>
    <mergeCell ref="K49:M50"/>
    <mergeCell ref="A92:A93"/>
    <mergeCell ref="Q92:Q93"/>
    <mergeCell ref="A56:A57"/>
    <mergeCell ref="Q56:Q57"/>
    <mergeCell ref="A58:A59"/>
    <mergeCell ref="Q58:Q59"/>
    <mergeCell ref="A8:A9"/>
    <mergeCell ref="Q8:Q9"/>
    <mergeCell ref="A10:A11"/>
    <mergeCell ref="Q10:Q11"/>
    <mergeCell ref="A12:A13"/>
    <mergeCell ref="Q12:Q13"/>
    <mergeCell ref="B1:E1"/>
    <mergeCell ref="G1:Q1"/>
    <mergeCell ref="B3:Q3"/>
    <mergeCell ref="A5:A6"/>
    <mergeCell ref="C5:C6"/>
    <mergeCell ref="E5:E6"/>
    <mergeCell ref="G5:G6"/>
    <mergeCell ref="I5:I6"/>
    <mergeCell ref="Q5:Q6"/>
    <mergeCell ref="K5:K6"/>
    <mergeCell ref="M5:M6"/>
    <mergeCell ref="O5:O6"/>
  </mergeCells>
  <pageMargins left="0.25" right="0.25" top="0.75" bottom="0.75" header="0.3" footer="0.3"/>
  <pageSetup paperSize="9" orientation="landscape" r:id="rId1"/>
  <headerFooter>
    <oddFooter>&amp;C&amp;1#&amp;"Calibri"&amp;10&amp;K000000PUBLIC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F98EB841173B41A5439910832543A7" ma:contentTypeVersion="8" ma:contentTypeDescription="Create a new document." ma:contentTypeScope="" ma:versionID="fe916d5bb9ce1ec79b5383bee20b8940">
  <xsd:schema xmlns:xsd="http://www.w3.org/2001/XMLSchema" xmlns:xs="http://www.w3.org/2001/XMLSchema" xmlns:p="http://schemas.microsoft.com/office/2006/metadata/properties" xmlns:ns3="c2ed3992-5069-4b0e-9e12-11af57f47c16" targetNamespace="http://schemas.microsoft.com/office/2006/metadata/properties" ma:root="true" ma:fieldsID="a21219c5cfad9da3138f7fa43726d31a" ns3:_="">
    <xsd:import namespace="c2ed3992-5069-4b0e-9e12-11af57f47c1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d3992-5069-4b0e-9e12-11af57f47c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825CF7-04FC-4397-9001-24DF5D8FA92F}">
  <ds:schemaRefs>
    <ds:schemaRef ds:uri="http://schemas.microsoft.com/sharepoint/v3/contenttype/forms"/>
  </ds:schemaRefs>
</ds:datastoreItem>
</file>

<file path=customXml/itemProps2.xml><?xml version="1.0" encoding="utf-8"?>
<ds:datastoreItem xmlns:ds="http://schemas.openxmlformats.org/officeDocument/2006/customXml" ds:itemID="{4C68137C-1D2C-4A0E-A450-B4CAEEC5C758}">
  <ds:schemaRefs>
    <ds:schemaRef ds:uri="http://schemas.microsoft.com/office/2006/metadata/contentType"/>
    <ds:schemaRef ds:uri="http://schemas.microsoft.com/office/2006/metadata/properties/metaAttributes"/>
    <ds:schemaRef ds:uri="http://www.w3.org/2000/xmlns/"/>
    <ds:schemaRef ds:uri="http://www.w3.org/2001/XMLSchema"/>
    <ds:schemaRef ds:uri="c2ed3992-5069-4b0e-9e12-11af57f47c16"/>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161BAD-0884-4449-82C8-EB4AF5480911}">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Hall of Fame</vt:lpstr>
      <vt:lpstr>Name List</vt:lpstr>
      <vt:lpstr>Scores and stats</vt:lpstr>
      <vt:lpstr>Weekly Summary</vt:lpstr>
      <vt:lpstr>Money</vt:lpstr>
      <vt:lpstr>New Stats Sheet</vt:lpstr>
      <vt:lpstr>Yearly Records</vt:lpstr>
      <vt:lpstr>Order of merit 2025</vt:lpstr>
      <vt:lpstr>Eagles</vt:lpstr>
      <vt:lpstr>Birdies</vt:lpstr>
      <vt:lpstr>Pars</vt:lpstr>
      <vt:lpstr>Blobs</vt:lpstr>
      <vt:lpstr>Best front 9</vt:lpstr>
      <vt:lpstr>Best Back 9</vt:lpstr>
      <vt:lpstr>Highest Swindle SS</vt:lpstr>
      <vt:lpstr>Worst front 9</vt:lpstr>
      <vt:lpstr>Worst Back 9</vt:lpstr>
      <vt:lpstr>Worst Stableford score</vt:lpstr>
      <vt:lpstr>Highest Competition SS </vt:lpstr>
      <vt:lpstr>lowest comp Stableford score</vt:lpstr>
      <vt:lpstr>Highest Competition Medal</vt:lpstr>
      <vt:lpstr>lowest comp Medal score</vt:lpstr>
      <vt:lpstr>Appearances &amp; Xmas Dinner</vt:lpstr>
      <vt:lpstr>Individual Scores Print sheet</vt:lpstr>
      <vt:lpstr>Team Scores Print Sheet</vt:lpstr>
      <vt:lpstr>'Yearly Records'!Print_Area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 Reeves</dc:creator>
  <cp:keywords/>
  <dc:description/>
  <cp:lastModifiedBy>Paul Clarke</cp:lastModifiedBy>
  <cp:revision/>
  <cp:lastPrinted>2026-06-17T09:32:45Z</cp:lastPrinted>
  <dcterms:created xsi:type="dcterms:W3CDTF">2022-09-26T10:22:13Z</dcterms:created>
  <dcterms:modified xsi:type="dcterms:W3CDTF">2026-07-03T07:43:22Z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0x010100B7F98EB841173B41A5439910832543A7</vt:lpwstr>
  </property>
  <property fmtid="{D5CDD505-2E9C-101B-9397-08002B2CF9AE}" pid="3" name="MSIP_Label_3486a02c-2dfb-4efe-823f-aa2d1f0e6ab7_Enabled">
    <vt:lpwstr>true</vt:lpwstr>
  </property>
  <property fmtid="{D5CDD505-2E9C-101B-9397-08002B2CF9AE}" pid="4" name="MSIP_Label_3486a02c-2dfb-4efe-823f-aa2d1f0e6ab7_SetDate">
    <vt:lpwstr>2025-01-27T08:58:02Z</vt:lpwstr>
  </property>
  <property fmtid="{D5CDD505-2E9C-101B-9397-08002B2CF9AE}" pid="5" name="MSIP_Label_3486a02c-2dfb-4efe-823f-aa2d1f0e6ab7_Method">
    <vt:lpwstr>Privileged</vt:lpwstr>
  </property>
  <property fmtid="{D5CDD505-2E9C-101B-9397-08002B2CF9AE}" pid="6" name="MSIP_Label_3486a02c-2dfb-4efe-823f-aa2d1f0e6ab7_Name">
    <vt:lpwstr>CLAPUBLIC</vt:lpwstr>
  </property>
  <property fmtid="{D5CDD505-2E9C-101B-9397-08002B2CF9AE}" pid="7" name="MSIP_Label_3486a02c-2dfb-4efe-823f-aa2d1f0e6ab7_SiteId">
    <vt:lpwstr>e0fd434d-ba64-497b-90d2-859c472e1a92</vt:lpwstr>
  </property>
  <property fmtid="{D5CDD505-2E9C-101B-9397-08002B2CF9AE}" pid="8" name="MSIP_Label_3486a02c-2dfb-4efe-823f-aa2d1f0e6ab7_ActionId">
    <vt:lpwstr>f33c065c-2ecf-44d7-bb22-b80b23e3f288</vt:lpwstr>
  </property>
  <property fmtid="{D5CDD505-2E9C-101B-9397-08002B2CF9AE}" pid="9" name="MSIP_Label_3486a02c-2dfb-4efe-823f-aa2d1f0e6ab7_ContentBits">
    <vt:lpwstr>2</vt:lpwstr>
  </property>
  <property fmtid="{D5CDD505-2E9C-101B-9397-08002B2CF9AE}" pid="10" name="Classification">
    <vt:lpwstr>PUBLIC</vt:lpwstr>
  </property>
</Properties>
</file>